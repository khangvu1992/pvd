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ANGVU\Desktop\"/>
    </mc:Choice>
  </mc:AlternateContent>
  <xr:revisionPtr revIDLastSave="0" documentId="8_{055615E7-FF61-4998-9210-89FE2FD2F038}" xr6:coauthVersionLast="47" xr6:coauthVersionMax="47" xr10:uidLastSave="{00000000-0000-0000-0000-000000000000}"/>
  <bookViews>
    <workbookView xWindow="-108" yWindow="-108" windowWidth="23256" windowHeight="12576" tabRatio="935" activeTab="1" xr2:uid="{00000000-000D-0000-FFFF-FFFF00000000}"/>
  </bookViews>
  <sheets>
    <sheet name="BAO CAO" sheetId="11" r:id="rId1"/>
    <sheet name="BAO CAO (2)" sheetId="12" r:id="rId2"/>
  </sheets>
  <definedNames>
    <definedName name="_xlnm.Print_Area" localSheetId="0">'BAO CAO'!$A$1:$H$722</definedName>
    <definedName name="_xlnm.Print_Area" localSheetId="1">'BAO CAO (2)'!$A$1:$H$500</definedName>
    <definedName name="_xlnm.Print_Titles" localSheetId="0">'BAO CAO'!$9:$9</definedName>
    <definedName name="_xlnm.Print_Titles" localSheetId="1">'BAO CAO (2)'!$9:$9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9" i="12" l="1"/>
  <c r="H491" i="12"/>
  <c r="D490" i="12"/>
  <c r="E489" i="12"/>
  <c r="H479" i="12"/>
  <c r="H480" i="12"/>
  <c r="H481" i="12"/>
  <c r="H482" i="12"/>
  <c r="H483" i="12"/>
  <c r="H484" i="12"/>
  <c r="H485" i="12"/>
  <c r="H486" i="12"/>
  <c r="H487" i="12"/>
  <c r="H1756" i="12"/>
  <c r="H1755" i="12"/>
  <c r="H1754" i="12"/>
  <c r="H1753" i="12"/>
  <c r="H1752" i="12"/>
  <c r="H1751" i="12"/>
  <c r="H1750" i="12"/>
  <c r="H1749" i="12"/>
  <c r="H1748" i="12"/>
  <c r="H1747" i="12"/>
  <c r="H1746" i="12"/>
  <c r="H1745" i="12"/>
  <c r="H1744" i="12"/>
  <c r="H1743" i="12"/>
  <c r="H1742" i="12"/>
  <c r="H1741" i="12"/>
  <c r="H1740" i="12"/>
  <c r="H1739" i="12"/>
  <c r="H1738" i="12"/>
  <c r="H1737" i="12"/>
  <c r="H1736" i="12"/>
  <c r="H1735" i="12"/>
  <c r="H1734" i="12"/>
  <c r="H1733" i="12"/>
  <c r="H1732" i="12"/>
  <c r="H1731" i="12"/>
  <c r="H1730" i="12"/>
  <c r="H1729" i="12"/>
  <c r="H1728" i="12"/>
  <c r="H1727" i="12"/>
  <c r="H1726" i="12"/>
  <c r="H1725" i="12"/>
  <c r="H1724" i="12"/>
  <c r="H1723" i="12"/>
  <c r="H1722" i="12"/>
  <c r="H1721" i="12"/>
  <c r="H1720" i="12"/>
  <c r="H1719" i="12"/>
  <c r="H1718" i="12"/>
  <c r="H1717" i="12"/>
  <c r="H1716" i="12"/>
  <c r="H1715" i="12"/>
  <c r="H1714" i="12"/>
  <c r="H1713" i="12"/>
  <c r="H1712" i="12"/>
  <c r="H1711" i="12"/>
  <c r="H1710" i="12"/>
  <c r="H1709" i="12"/>
  <c r="H1708" i="12"/>
  <c r="H1707" i="12"/>
  <c r="H1706" i="12"/>
  <c r="H1705" i="12"/>
  <c r="H1704" i="12"/>
  <c r="H1703" i="12"/>
  <c r="H1702" i="12"/>
  <c r="H1701" i="12"/>
  <c r="H1700" i="12"/>
  <c r="H1699" i="12"/>
  <c r="H1698" i="12"/>
  <c r="H1697" i="12"/>
  <c r="H1696" i="12"/>
  <c r="H1695" i="12"/>
  <c r="H1694" i="12"/>
  <c r="H1693" i="12"/>
  <c r="H1692" i="12"/>
  <c r="H1691" i="12"/>
  <c r="H1690" i="12"/>
  <c r="H1689" i="12"/>
  <c r="H1688" i="12"/>
  <c r="H1687" i="12"/>
  <c r="H1686" i="12"/>
  <c r="H1685" i="12"/>
  <c r="H1684" i="12"/>
  <c r="H1683" i="12"/>
  <c r="H1682" i="12"/>
  <c r="H1681" i="12"/>
  <c r="H1680" i="12"/>
  <c r="H1679" i="12"/>
  <c r="H1678" i="12"/>
  <c r="H1677" i="12"/>
  <c r="H1676" i="12"/>
  <c r="H1675" i="12"/>
  <c r="H1674" i="12"/>
  <c r="H1673" i="12"/>
  <c r="H1672" i="12"/>
  <c r="H1671" i="12"/>
  <c r="H1670" i="12"/>
  <c r="H1669" i="12"/>
  <c r="H1668" i="12"/>
  <c r="H1667" i="12"/>
  <c r="H1666" i="12"/>
  <c r="H1665" i="12"/>
  <c r="H1664" i="12"/>
  <c r="H1663" i="12"/>
  <c r="H1662" i="12"/>
  <c r="H1661" i="12"/>
  <c r="H1660" i="12"/>
  <c r="H1659" i="12"/>
  <c r="H1658" i="12"/>
  <c r="H1657" i="12"/>
  <c r="H1656" i="12"/>
  <c r="H1655" i="12"/>
  <c r="H1654" i="12"/>
  <c r="H1653" i="12"/>
  <c r="H1652" i="12"/>
  <c r="H1651" i="12"/>
  <c r="H1650" i="12"/>
  <c r="H1649" i="12"/>
  <c r="H1648" i="12"/>
  <c r="H1647" i="12"/>
  <c r="H1646" i="12"/>
  <c r="H1645" i="12"/>
  <c r="H1644" i="12"/>
  <c r="H1643" i="12"/>
  <c r="H1642" i="12"/>
  <c r="H1641" i="12"/>
  <c r="H1640" i="12"/>
  <c r="H1639" i="12"/>
  <c r="H1638" i="12"/>
  <c r="H1637" i="12"/>
  <c r="H1636" i="12"/>
  <c r="H1635" i="12"/>
  <c r="H1634" i="12"/>
  <c r="H1633" i="12"/>
  <c r="H1632" i="12"/>
  <c r="H1631" i="12"/>
  <c r="H1630" i="12"/>
  <c r="H1629" i="12"/>
  <c r="H1628" i="12"/>
  <c r="H1627" i="12"/>
  <c r="H1626" i="12"/>
  <c r="H1625" i="12"/>
  <c r="H1624" i="12"/>
  <c r="H1623" i="12"/>
  <c r="H1622" i="12"/>
  <c r="H1621" i="12"/>
  <c r="H1620" i="12"/>
  <c r="H1619" i="12"/>
  <c r="H1618" i="12"/>
  <c r="H1617" i="12"/>
  <c r="H1616" i="12"/>
  <c r="H1615" i="12"/>
  <c r="H1614" i="12"/>
  <c r="H1613" i="12"/>
  <c r="H1612" i="12"/>
  <c r="H1611" i="12"/>
  <c r="H1610" i="12"/>
  <c r="H1609" i="12"/>
  <c r="H1608" i="12"/>
  <c r="H1607" i="12"/>
  <c r="H1606" i="12"/>
  <c r="H1605" i="12"/>
  <c r="H1604" i="12"/>
  <c r="H1603" i="12"/>
  <c r="H1602" i="12"/>
  <c r="H1601" i="12"/>
  <c r="H1600" i="12"/>
  <c r="H1599" i="12"/>
  <c r="H1598" i="12"/>
  <c r="H1597" i="12"/>
  <c r="H1596" i="12"/>
  <c r="H1595" i="12"/>
  <c r="H1594" i="12"/>
  <c r="H1593" i="12"/>
  <c r="H1592" i="12"/>
  <c r="H1591" i="12"/>
  <c r="H1590" i="12"/>
  <c r="H1589" i="12"/>
  <c r="H1588" i="12"/>
  <c r="H1587" i="12"/>
  <c r="H1586" i="12"/>
  <c r="H1585" i="12"/>
  <c r="H1584" i="12"/>
  <c r="H1583" i="12"/>
  <c r="H1582" i="12"/>
  <c r="H1581" i="12"/>
  <c r="H1580" i="12"/>
  <c r="H1579" i="12"/>
  <c r="H1578" i="12"/>
  <c r="H1577" i="12"/>
  <c r="H1576" i="12"/>
  <c r="H1575" i="12"/>
  <c r="H1574" i="12"/>
  <c r="H1573" i="12"/>
  <c r="H1572" i="12"/>
  <c r="H1571" i="12"/>
  <c r="H1570" i="12"/>
  <c r="H1569" i="12"/>
  <c r="H1568" i="12"/>
  <c r="H1567" i="12"/>
  <c r="H1566" i="12"/>
  <c r="H1565" i="12"/>
  <c r="H1564" i="12"/>
  <c r="H1563" i="12"/>
  <c r="H1562" i="12"/>
  <c r="H1561" i="12"/>
  <c r="H1560" i="12"/>
  <c r="H1559" i="12"/>
  <c r="H1558" i="12"/>
  <c r="H1557" i="12"/>
  <c r="H1556" i="12"/>
  <c r="H1555" i="12"/>
  <c r="H1554" i="12"/>
  <c r="H1553" i="12"/>
  <c r="H1552" i="12"/>
  <c r="H1551" i="12"/>
  <c r="H1550" i="12"/>
  <c r="H1549" i="12"/>
  <c r="H1548" i="12"/>
  <c r="H1547" i="12"/>
  <c r="H1546" i="12"/>
  <c r="H1545" i="12"/>
  <c r="H1544" i="12"/>
  <c r="H1543" i="12"/>
  <c r="H1542" i="12"/>
  <c r="H1541" i="12"/>
  <c r="H1540" i="12"/>
  <c r="H1539" i="12"/>
  <c r="H1538" i="12"/>
  <c r="H1537" i="12"/>
  <c r="H1536" i="12"/>
  <c r="H1535" i="12"/>
  <c r="H1534" i="12"/>
  <c r="H1533" i="12"/>
  <c r="H1532" i="12"/>
  <c r="H1531" i="12"/>
  <c r="H1530" i="12"/>
  <c r="H1529" i="12"/>
  <c r="H1528" i="12"/>
  <c r="H1527" i="12"/>
  <c r="H1526" i="12"/>
  <c r="H1525" i="12"/>
  <c r="H1524" i="12"/>
  <c r="H1523" i="12"/>
  <c r="H1522" i="12"/>
  <c r="H1521" i="12"/>
  <c r="H1520" i="12"/>
  <c r="H1519" i="12"/>
  <c r="H1518" i="12"/>
  <c r="H1517" i="12"/>
  <c r="H1516" i="12"/>
  <c r="H1515" i="12"/>
  <c r="H1514" i="12"/>
  <c r="H1513" i="12"/>
  <c r="H1512" i="12"/>
  <c r="H1511" i="12"/>
  <c r="H1510" i="12"/>
  <c r="H1509" i="12"/>
  <c r="H1508" i="12"/>
  <c r="H1507" i="12"/>
  <c r="H1506" i="12"/>
  <c r="H1505" i="12"/>
  <c r="H1504" i="12"/>
  <c r="H1503" i="12"/>
  <c r="H1502" i="12"/>
  <c r="H1501" i="12"/>
  <c r="H1500" i="12"/>
  <c r="H1499" i="12"/>
  <c r="H1498" i="12"/>
  <c r="H1497" i="12"/>
  <c r="H1496" i="12"/>
  <c r="H1495" i="12"/>
  <c r="H1494" i="12"/>
  <c r="H1493" i="12"/>
  <c r="H1492" i="12"/>
  <c r="H1491" i="12"/>
  <c r="H1490" i="12"/>
  <c r="H1489" i="12"/>
  <c r="H1488" i="12"/>
  <c r="H1487" i="12"/>
  <c r="H1486" i="12"/>
  <c r="H1485" i="12"/>
  <c r="H1484" i="12"/>
  <c r="H1483" i="12"/>
  <c r="H1482" i="12"/>
  <c r="H1481" i="12"/>
  <c r="H1480" i="12"/>
  <c r="H1479" i="12"/>
  <c r="H1478" i="12"/>
  <c r="H1477" i="12"/>
  <c r="H1476" i="12"/>
  <c r="H1475" i="12"/>
  <c r="H1474" i="12"/>
  <c r="H1473" i="12"/>
  <c r="H1472" i="12"/>
  <c r="H1471" i="12"/>
  <c r="H1470" i="12"/>
  <c r="H1469" i="12"/>
  <c r="H1468" i="12"/>
  <c r="H1467" i="12"/>
  <c r="H1466" i="12"/>
  <c r="H1465" i="12"/>
  <c r="H1464" i="12"/>
  <c r="H1463" i="12"/>
  <c r="H1462" i="12"/>
  <c r="H1461" i="12"/>
  <c r="H1460" i="12"/>
  <c r="H1459" i="12"/>
  <c r="H1458" i="12"/>
  <c r="H1457" i="12"/>
  <c r="H1456" i="12"/>
  <c r="H1455" i="12"/>
  <c r="H1454" i="12"/>
  <c r="H1453" i="12"/>
  <c r="H1452" i="12"/>
  <c r="H1451" i="12"/>
  <c r="H1450" i="12"/>
  <c r="H1449" i="12"/>
  <c r="H1448" i="12"/>
  <c r="H1447" i="12"/>
  <c r="H1446" i="12"/>
  <c r="H1445" i="12"/>
  <c r="H1444" i="12"/>
  <c r="H1443" i="12"/>
  <c r="H1442" i="12"/>
  <c r="H1441" i="12"/>
  <c r="H1440" i="12"/>
  <c r="H1439" i="12"/>
  <c r="H1438" i="12"/>
  <c r="H1437" i="12"/>
  <c r="H1436" i="12"/>
  <c r="H1435" i="12"/>
  <c r="H1434" i="12"/>
  <c r="H1433" i="12"/>
  <c r="H1432" i="12"/>
  <c r="H1431" i="12"/>
  <c r="H1430" i="12"/>
  <c r="H1429" i="12"/>
  <c r="H1428" i="12"/>
  <c r="H1427" i="12"/>
  <c r="H1426" i="12"/>
  <c r="H1425" i="12"/>
  <c r="H1424" i="12"/>
  <c r="H1423" i="12"/>
  <c r="H1422" i="12"/>
  <c r="H1421" i="12"/>
  <c r="H1420" i="12"/>
  <c r="H1419" i="12"/>
  <c r="H1418" i="12"/>
  <c r="H1417" i="12"/>
  <c r="H1416" i="12"/>
  <c r="H1415" i="12"/>
  <c r="H1414" i="12"/>
  <c r="H1413" i="12"/>
  <c r="H1412" i="12"/>
  <c r="H1411" i="12"/>
  <c r="H1410" i="12"/>
  <c r="H1409" i="12"/>
  <c r="H1408" i="12"/>
  <c r="H1407" i="12"/>
  <c r="H1406" i="12"/>
  <c r="H1405" i="12"/>
  <c r="H1404" i="12"/>
  <c r="H1403" i="12"/>
  <c r="H1402" i="12"/>
  <c r="H1401" i="12"/>
  <c r="H1400" i="12"/>
  <c r="H1399" i="12"/>
  <c r="H1398" i="12"/>
  <c r="H1397" i="12"/>
  <c r="H1396" i="12"/>
  <c r="H1395" i="12"/>
  <c r="H1394" i="12"/>
  <c r="H1393" i="12"/>
  <c r="H1392" i="12"/>
  <c r="H1391" i="12"/>
  <c r="H1390" i="12"/>
  <c r="H1389" i="12"/>
  <c r="H1388" i="12"/>
  <c r="H1387" i="12"/>
  <c r="H1386" i="12"/>
  <c r="H1385" i="12"/>
  <c r="H1384" i="12"/>
  <c r="H1383" i="12"/>
  <c r="H1382" i="12"/>
  <c r="H1381" i="12"/>
  <c r="H1380" i="12"/>
  <c r="H1379" i="12"/>
  <c r="H1378" i="12"/>
  <c r="H1377" i="12"/>
  <c r="H1376" i="12"/>
  <c r="H1375" i="12"/>
  <c r="H1374" i="12"/>
  <c r="H1373" i="12"/>
  <c r="H1372" i="12"/>
  <c r="H1371" i="12"/>
  <c r="H1370" i="12"/>
  <c r="H1369" i="12"/>
  <c r="H1368" i="12"/>
  <c r="H1367" i="12"/>
  <c r="H1366" i="12"/>
  <c r="H1365" i="12"/>
  <c r="H1364" i="12"/>
  <c r="H1363" i="12"/>
  <c r="H1362" i="12"/>
  <c r="H1361" i="12"/>
  <c r="H1360" i="12"/>
  <c r="H1359" i="12"/>
  <c r="H1358" i="12"/>
  <c r="H1357" i="12"/>
  <c r="H1356" i="12"/>
  <c r="H1355" i="12"/>
  <c r="H1354" i="12"/>
  <c r="H1353" i="12"/>
  <c r="H1352" i="12"/>
  <c r="H1351" i="12"/>
  <c r="H1350" i="12"/>
  <c r="H1349" i="12"/>
  <c r="H1348" i="12"/>
  <c r="H1347" i="12"/>
  <c r="H1346" i="12"/>
  <c r="H1345" i="12"/>
  <c r="H1344" i="12"/>
  <c r="H1343" i="12"/>
  <c r="H1342" i="12"/>
  <c r="H1341" i="12"/>
  <c r="H1340" i="12"/>
  <c r="H1339" i="12"/>
  <c r="H1338" i="12"/>
  <c r="H1337" i="12"/>
  <c r="H1336" i="12"/>
  <c r="H1335" i="12"/>
  <c r="H1334" i="12"/>
  <c r="H1333" i="12"/>
  <c r="H1332" i="12"/>
  <c r="H1331" i="12"/>
  <c r="H1330" i="12"/>
  <c r="H1329" i="12"/>
  <c r="H1328" i="12"/>
  <c r="H1327" i="12"/>
  <c r="H1326" i="12"/>
  <c r="H1325" i="12"/>
  <c r="H1324" i="12"/>
  <c r="H1323" i="12"/>
  <c r="H1322" i="12"/>
  <c r="H1321" i="12"/>
  <c r="H1320" i="12"/>
  <c r="H1319" i="12"/>
  <c r="H1318" i="12"/>
  <c r="H1317" i="12"/>
  <c r="H1316" i="12"/>
  <c r="H1315" i="12"/>
  <c r="H1314" i="12"/>
  <c r="H1313" i="12"/>
  <c r="H1312" i="12"/>
  <c r="H1311" i="12"/>
  <c r="H1310" i="12"/>
  <c r="H1309" i="12"/>
  <c r="H1308" i="12"/>
  <c r="H1307" i="12"/>
  <c r="H1306" i="12"/>
  <c r="H1305" i="12"/>
  <c r="H1304" i="12"/>
  <c r="H1303" i="12"/>
  <c r="H1302" i="12"/>
  <c r="H1301" i="12"/>
  <c r="H1300" i="12"/>
  <c r="H1299" i="12"/>
  <c r="H1298" i="12"/>
  <c r="H1297" i="12"/>
  <c r="H1296" i="12"/>
  <c r="H1295" i="12"/>
  <c r="H1294" i="12"/>
  <c r="H1293" i="12"/>
  <c r="H1292" i="12"/>
  <c r="H1291" i="12"/>
  <c r="H1290" i="12"/>
  <c r="H1289" i="12"/>
  <c r="H1288" i="12"/>
  <c r="H1287" i="12"/>
  <c r="H1286" i="12"/>
  <c r="H1285" i="12"/>
  <c r="H1284" i="12"/>
  <c r="H1283" i="12"/>
  <c r="H1282" i="12"/>
  <c r="H1281" i="12"/>
  <c r="H1280" i="12"/>
  <c r="H1279" i="12"/>
  <c r="H1278" i="12"/>
  <c r="H1277" i="12"/>
  <c r="H1276" i="12"/>
  <c r="H1275" i="12"/>
  <c r="H1274" i="12"/>
  <c r="H1273" i="12"/>
  <c r="H1272" i="12"/>
  <c r="H1271" i="12"/>
  <c r="H1270" i="12"/>
  <c r="H1269" i="12"/>
  <c r="H1268" i="12"/>
  <c r="H1267" i="12"/>
  <c r="H1266" i="12"/>
  <c r="H1265" i="12"/>
  <c r="H1264" i="12"/>
  <c r="H1263" i="12"/>
  <c r="H1262" i="12"/>
  <c r="H1261" i="12"/>
  <c r="H1260" i="12"/>
  <c r="H1259" i="12"/>
  <c r="H1258" i="12"/>
  <c r="H1257" i="12"/>
  <c r="H1256" i="12"/>
  <c r="H1255" i="12"/>
  <c r="H1254" i="12"/>
  <c r="H1253" i="12"/>
  <c r="H1252" i="12"/>
  <c r="H1251" i="12"/>
  <c r="H1250" i="12"/>
  <c r="H1249" i="12"/>
  <c r="H1248" i="12"/>
  <c r="H1247" i="12"/>
  <c r="H1246" i="12"/>
  <c r="H1245" i="12"/>
  <c r="H1244" i="12"/>
  <c r="H1243" i="12"/>
  <c r="H1242" i="12"/>
  <c r="H1241" i="12"/>
  <c r="H1240" i="12"/>
  <c r="H1239" i="12"/>
  <c r="H1238" i="12"/>
  <c r="H1237" i="12"/>
  <c r="H1236" i="12"/>
  <c r="H1235" i="12"/>
  <c r="H1234" i="12"/>
  <c r="H1233" i="12"/>
  <c r="H1232" i="12"/>
  <c r="H1231" i="12"/>
  <c r="H1230" i="12"/>
  <c r="H1229" i="12"/>
  <c r="H1228" i="12"/>
  <c r="H1227" i="12"/>
  <c r="H1226" i="12"/>
  <c r="H1225" i="12"/>
  <c r="H1224" i="12"/>
  <c r="H1223" i="12"/>
  <c r="H1222" i="12"/>
  <c r="H1221" i="12"/>
  <c r="H1220" i="12"/>
  <c r="H1219" i="12"/>
  <c r="H1218" i="12"/>
  <c r="H1217" i="12"/>
  <c r="H1216" i="12"/>
  <c r="H1215" i="12"/>
  <c r="H1214" i="12"/>
  <c r="H1213" i="12"/>
  <c r="H1212" i="12"/>
  <c r="H1211" i="12"/>
  <c r="H1210" i="12"/>
  <c r="H1209" i="12"/>
  <c r="H1208" i="12"/>
  <c r="H1207" i="12"/>
  <c r="H1206" i="12"/>
  <c r="H1205" i="12"/>
  <c r="H1204" i="12"/>
  <c r="H1203" i="12"/>
  <c r="H1202" i="12"/>
  <c r="H1201" i="12"/>
  <c r="H1200" i="12"/>
  <c r="H1199" i="12"/>
  <c r="H1198" i="12"/>
  <c r="H1197" i="12"/>
  <c r="H1196" i="12"/>
  <c r="H1195" i="12"/>
  <c r="H1194" i="12"/>
  <c r="H1193" i="12"/>
  <c r="H1192" i="12"/>
  <c r="H1191" i="12"/>
  <c r="H1190" i="12"/>
  <c r="H1189" i="12"/>
  <c r="H1188" i="12"/>
  <c r="H1187" i="12"/>
  <c r="H1186" i="12"/>
  <c r="H1185" i="12"/>
  <c r="H1184" i="12"/>
  <c r="H1183" i="12"/>
  <c r="H1182" i="12"/>
  <c r="H1181" i="12"/>
  <c r="H1180" i="12"/>
  <c r="H1179" i="12"/>
  <c r="H1178" i="12"/>
  <c r="H1177" i="12"/>
  <c r="H1176" i="12"/>
  <c r="H1175" i="12"/>
  <c r="H1174" i="12"/>
  <c r="H1173" i="12"/>
  <c r="H1172" i="12"/>
  <c r="H1171" i="12"/>
  <c r="H1170" i="12"/>
  <c r="H1169" i="12"/>
  <c r="H1168" i="12"/>
  <c r="H1167" i="12"/>
  <c r="H1166" i="12"/>
  <c r="H1165" i="12"/>
  <c r="H1164" i="12"/>
  <c r="H1163" i="12"/>
  <c r="H1162" i="12"/>
  <c r="H1161" i="12"/>
  <c r="H1160" i="12"/>
  <c r="H1159" i="12"/>
  <c r="H1158" i="12"/>
  <c r="H1157" i="12"/>
  <c r="H1156" i="12"/>
  <c r="H1155" i="12"/>
  <c r="H1154" i="12"/>
  <c r="H1153" i="12"/>
  <c r="H1152" i="12"/>
  <c r="H1151" i="12"/>
  <c r="H1150" i="12"/>
  <c r="H1149" i="12"/>
  <c r="H1148" i="12"/>
  <c r="H1147" i="12"/>
  <c r="H1146" i="12"/>
  <c r="H1145" i="12"/>
  <c r="H1144" i="12"/>
  <c r="H1143" i="12"/>
  <c r="H1142" i="12"/>
  <c r="H1141" i="12"/>
  <c r="H1140" i="12"/>
  <c r="H1139" i="12"/>
  <c r="H1138" i="12"/>
  <c r="H1137" i="12"/>
  <c r="H1136" i="12"/>
  <c r="H1135" i="12"/>
  <c r="H1134" i="12"/>
  <c r="H1133" i="12"/>
  <c r="H1132" i="12"/>
  <c r="H1131" i="12"/>
  <c r="H1130" i="12"/>
  <c r="H1129" i="12"/>
  <c r="H1128" i="12"/>
  <c r="H1127" i="12"/>
  <c r="H1126" i="12"/>
  <c r="H1125" i="12"/>
  <c r="H1124" i="12"/>
  <c r="H1123" i="12"/>
  <c r="H1122" i="12"/>
  <c r="H1121" i="12"/>
  <c r="H1120" i="12"/>
  <c r="H1119" i="12"/>
  <c r="H1118" i="12"/>
  <c r="H1117" i="12"/>
  <c r="H1116" i="12"/>
  <c r="H1115" i="12"/>
  <c r="H1114" i="12"/>
  <c r="H1113" i="12"/>
  <c r="H1112" i="12"/>
  <c r="H1111" i="12"/>
  <c r="H1110" i="12"/>
  <c r="H1109" i="12"/>
  <c r="H1108" i="12"/>
  <c r="H1107" i="12"/>
  <c r="H1106" i="12"/>
  <c r="H1105" i="12"/>
  <c r="H1104" i="12"/>
  <c r="H1103" i="12"/>
  <c r="H1102" i="12"/>
  <c r="H1101" i="12"/>
  <c r="H1100" i="12"/>
  <c r="H1099" i="12"/>
  <c r="H1098" i="12"/>
  <c r="H1097" i="12"/>
  <c r="H1096" i="12"/>
  <c r="H1095" i="12"/>
  <c r="H1094" i="12"/>
  <c r="H1093" i="12"/>
  <c r="H1092" i="12"/>
  <c r="H1091" i="12"/>
  <c r="H1090" i="12"/>
  <c r="H1089" i="12"/>
  <c r="H1088" i="12"/>
  <c r="H1087" i="12"/>
  <c r="H1086" i="12"/>
  <c r="H1085" i="12"/>
  <c r="H1084" i="12"/>
  <c r="H1083" i="12"/>
  <c r="H1082" i="12"/>
  <c r="H1081" i="12"/>
  <c r="H1080" i="12"/>
  <c r="H1079" i="12"/>
  <c r="H1078" i="12"/>
  <c r="H1077" i="12"/>
  <c r="H1076" i="12"/>
  <c r="H1075" i="12"/>
  <c r="H1074" i="12"/>
  <c r="H1073" i="12"/>
  <c r="H1072" i="12"/>
  <c r="H1071" i="12"/>
  <c r="H1070" i="12"/>
  <c r="H1069" i="12"/>
  <c r="H1068" i="12"/>
  <c r="H1067" i="12"/>
  <c r="H1066" i="12"/>
  <c r="H1065" i="12"/>
  <c r="H1064" i="12"/>
  <c r="H1063" i="12"/>
  <c r="H1062" i="12"/>
  <c r="H1061" i="12"/>
  <c r="H1060" i="12"/>
  <c r="H1059" i="12"/>
  <c r="H1058" i="12"/>
  <c r="H1057" i="12"/>
  <c r="H1056" i="12"/>
  <c r="H1055" i="12"/>
  <c r="H1054" i="12"/>
  <c r="H1053" i="12"/>
  <c r="H1052" i="12"/>
  <c r="H1051" i="12"/>
  <c r="H1050" i="12"/>
  <c r="H1049" i="12"/>
  <c r="H1048" i="12"/>
  <c r="H1047" i="12"/>
  <c r="H1046" i="12"/>
  <c r="H1045" i="12"/>
  <c r="H1044" i="12"/>
  <c r="H1043" i="12"/>
  <c r="H1042" i="12"/>
  <c r="H1041" i="12"/>
  <c r="H1040" i="12"/>
  <c r="H1039" i="12"/>
  <c r="H1038" i="12"/>
  <c r="H1037" i="12"/>
  <c r="H1036" i="12"/>
  <c r="H1035" i="12"/>
  <c r="H1034" i="12"/>
  <c r="H1033" i="12"/>
  <c r="H1032" i="12"/>
  <c r="H1031" i="12"/>
  <c r="H1030" i="12"/>
  <c r="H1029" i="12"/>
  <c r="H1028" i="12"/>
  <c r="H1027" i="12"/>
  <c r="H1026" i="12"/>
  <c r="H1025" i="12"/>
  <c r="H1024" i="12"/>
  <c r="H1023" i="12"/>
  <c r="H1022" i="12"/>
  <c r="H1021" i="12"/>
  <c r="H1020" i="12"/>
  <c r="H1019" i="12"/>
  <c r="H1018" i="12"/>
  <c r="H1017" i="12"/>
  <c r="H1016" i="12"/>
  <c r="H1015" i="12"/>
  <c r="H1014" i="12"/>
  <c r="H1013" i="12"/>
  <c r="H1012" i="12"/>
  <c r="H1011" i="12"/>
  <c r="H1010" i="12"/>
  <c r="H1009" i="12"/>
  <c r="H1008" i="12"/>
  <c r="H1007" i="12"/>
  <c r="H1006" i="12"/>
  <c r="H1005" i="12"/>
  <c r="H1004" i="12"/>
  <c r="H1003" i="12"/>
  <c r="H1002" i="12"/>
  <c r="H1001" i="12"/>
  <c r="H1000" i="12"/>
  <c r="H999" i="12"/>
  <c r="H998" i="12"/>
  <c r="H997" i="12"/>
  <c r="H996" i="12"/>
  <c r="H995" i="12"/>
  <c r="H994" i="12"/>
  <c r="H993" i="12"/>
  <c r="H992" i="12"/>
  <c r="H991" i="12"/>
  <c r="H990" i="12"/>
  <c r="H989" i="12"/>
  <c r="H988" i="12"/>
  <c r="H987" i="12"/>
  <c r="H986" i="12"/>
  <c r="H985" i="12"/>
  <c r="H984" i="12"/>
  <c r="H983" i="12"/>
  <c r="H982" i="12"/>
  <c r="H981" i="12"/>
  <c r="H980" i="12"/>
  <c r="H979" i="12"/>
  <c r="H978" i="12"/>
  <c r="H977" i="12"/>
  <c r="H976" i="12"/>
  <c r="H975" i="12"/>
  <c r="H974" i="12"/>
  <c r="H973" i="12"/>
  <c r="H972" i="12"/>
  <c r="H971" i="12"/>
  <c r="H970" i="12"/>
  <c r="H969" i="12"/>
  <c r="H968" i="12"/>
  <c r="H967" i="12"/>
  <c r="H966" i="12"/>
  <c r="H965" i="12"/>
  <c r="H964" i="12"/>
  <c r="H963" i="12"/>
  <c r="H962" i="12"/>
  <c r="H961" i="12"/>
  <c r="H960" i="12"/>
  <c r="H959" i="12"/>
  <c r="H958" i="12"/>
  <c r="H957" i="12"/>
  <c r="H956" i="12"/>
  <c r="H955" i="12"/>
  <c r="H954" i="12"/>
  <c r="H953" i="12"/>
  <c r="H952" i="12"/>
  <c r="H951" i="12"/>
  <c r="H950" i="12"/>
  <c r="H949" i="12"/>
  <c r="H948" i="12"/>
  <c r="H947" i="12"/>
  <c r="H946" i="12"/>
  <c r="H945" i="12"/>
  <c r="H944" i="12"/>
  <c r="H943" i="12"/>
  <c r="H942" i="12"/>
  <c r="H941" i="12"/>
  <c r="H940" i="12"/>
  <c r="H939" i="12"/>
  <c r="H938" i="12"/>
  <c r="H937" i="12"/>
  <c r="H936" i="12"/>
  <c r="H935" i="12"/>
  <c r="H934" i="12"/>
  <c r="H933" i="12"/>
  <c r="H932" i="12"/>
  <c r="H931" i="12"/>
  <c r="H930" i="12"/>
  <c r="H929" i="12"/>
  <c r="H928" i="12"/>
  <c r="H927" i="12"/>
  <c r="H926" i="12"/>
  <c r="H925" i="12"/>
  <c r="H924" i="12"/>
  <c r="H923" i="12"/>
  <c r="H922" i="12"/>
  <c r="H921" i="12"/>
  <c r="H920" i="12"/>
  <c r="H919" i="12"/>
  <c r="H918" i="12"/>
  <c r="H917" i="12"/>
  <c r="H916" i="12"/>
  <c r="H915" i="12"/>
  <c r="H914" i="12"/>
  <c r="H913" i="12"/>
  <c r="H912" i="12"/>
  <c r="H911" i="12"/>
  <c r="H910" i="12"/>
  <c r="H909" i="12"/>
  <c r="H908" i="12"/>
  <c r="H907" i="12"/>
  <c r="H906" i="12"/>
  <c r="H905" i="12"/>
  <c r="H904" i="12"/>
  <c r="H903" i="12"/>
  <c r="H902" i="12"/>
  <c r="H901" i="12"/>
  <c r="H900" i="12"/>
  <c r="H899" i="12"/>
  <c r="H898" i="12"/>
  <c r="H897" i="12"/>
  <c r="H896" i="12"/>
  <c r="H895" i="12"/>
  <c r="H894" i="12"/>
  <c r="H893" i="12"/>
  <c r="H892" i="12"/>
  <c r="H891" i="12"/>
  <c r="H890" i="12"/>
  <c r="H889" i="12"/>
  <c r="H888" i="12"/>
  <c r="H887" i="12"/>
  <c r="H886" i="12"/>
  <c r="H885" i="12"/>
  <c r="H884" i="12"/>
  <c r="H883" i="12"/>
  <c r="H882" i="12"/>
  <c r="H881" i="12"/>
  <c r="H880" i="12"/>
  <c r="H879" i="12"/>
  <c r="H878" i="12"/>
  <c r="H877" i="12"/>
  <c r="H876" i="12"/>
  <c r="H875" i="12"/>
  <c r="H874" i="12"/>
  <c r="H873" i="12"/>
  <c r="H872" i="12"/>
  <c r="H871" i="12"/>
  <c r="H870" i="12"/>
  <c r="H869" i="12"/>
  <c r="H868" i="12"/>
  <c r="H867" i="12"/>
  <c r="H866" i="12"/>
  <c r="H865" i="12"/>
  <c r="H864" i="12"/>
  <c r="H863" i="12"/>
  <c r="H862" i="12"/>
  <c r="H861" i="12"/>
  <c r="H860" i="12"/>
  <c r="H859" i="12"/>
  <c r="H858" i="12"/>
  <c r="H857" i="12"/>
  <c r="H856" i="12"/>
  <c r="H855" i="12"/>
  <c r="H854" i="12"/>
  <c r="H853" i="12"/>
  <c r="H852" i="12"/>
  <c r="H851" i="12"/>
  <c r="H850" i="12"/>
  <c r="H849" i="12"/>
  <c r="H848" i="12"/>
  <c r="H847" i="12"/>
  <c r="H846" i="12"/>
  <c r="H845" i="12"/>
  <c r="H844" i="12"/>
  <c r="H843" i="12"/>
  <c r="H842" i="12"/>
  <c r="H841" i="12"/>
  <c r="H840" i="12"/>
  <c r="H839" i="12"/>
  <c r="H838" i="12"/>
  <c r="H837" i="12"/>
  <c r="H836" i="12"/>
  <c r="H835" i="12"/>
  <c r="H834" i="12"/>
  <c r="H833" i="12"/>
  <c r="H832" i="12"/>
  <c r="H831" i="12"/>
  <c r="H830" i="12"/>
  <c r="H829" i="12"/>
  <c r="H828" i="12"/>
  <c r="H827" i="12"/>
  <c r="H826" i="12"/>
  <c r="H825" i="12"/>
  <c r="H824" i="12"/>
  <c r="H823" i="12"/>
  <c r="H822" i="12"/>
  <c r="H821" i="12"/>
  <c r="H820" i="12"/>
  <c r="H819" i="12"/>
  <c r="H818" i="12"/>
  <c r="H817" i="12"/>
  <c r="H816" i="12"/>
  <c r="H815" i="12"/>
  <c r="H814" i="12"/>
  <c r="H813" i="12"/>
  <c r="H812" i="12"/>
  <c r="H811" i="12"/>
  <c r="H810" i="12"/>
  <c r="H809" i="12"/>
  <c r="H808" i="12"/>
  <c r="H807" i="12"/>
  <c r="H806" i="12"/>
  <c r="H805" i="12"/>
  <c r="H804" i="12"/>
  <c r="H803" i="12"/>
  <c r="H802" i="12"/>
  <c r="H801" i="12"/>
  <c r="H800" i="12"/>
  <c r="H799" i="12"/>
  <c r="H798" i="12"/>
  <c r="H797" i="12"/>
  <c r="H796" i="12"/>
  <c r="H795" i="12"/>
  <c r="H794" i="12"/>
  <c r="H793" i="12"/>
  <c r="H792" i="12"/>
  <c r="H791" i="12"/>
  <c r="H790" i="12"/>
  <c r="H789" i="12"/>
  <c r="H788" i="12"/>
  <c r="H787" i="12"/>
  <c r="H786" i="12"/>
  <c r="H785" i="12"/>
  <c r="H784" i="12"/>
  <c r="H783" i="12"/>
  <c r="H782" i="12"/>
  <c r="H781" i="12"/>
  <c r="H780" i="12"/>
  <c r="H779" i="12"/>
  <c r="H778" i="12"/>
  <c r="H777" i="12"/>
  <c r="H776" i="12"/>
  <c r="H775" i="12"/>
  <c r="H774" i="12"/>
  <c r="H773" i="12"/>
  <c r="H772" i="12"/>
  <c r="H771" i="12"/>
  <c r="H770" i="12"/>
  <c r="H769" i="12"/>
  <c r="H768" i="12"/>
  <c r="H767" i="12"/>
  <c r="H766" i="12"/>
  <c r="H765" i="12"/>
  <c r="H764" i="12"/>
  <c r="H763" i="12"/>
  <c r="H762" i="12"/>
  <c r="H761" i="12"/>
  <c r="H760" i="12"/>
  <c r="H759" i="12"/>
  <c r="H758" i="12"/>
  <c r="H757" i="12"/>
  <c r="H756" i="12"/>
  <c r="H755" i="12"/>
  <c r="H754" i="12"/>
  <c r="H753" i="12"/>
  <c r="H752" i="12"/>
  <c r="H751" i="12"/>
  <c r="H750" i="12"/>
  <c r="H749" i="12"/>
  <c r="H748" i="12"/>
  <c r="H747" i="12"/>
  <c r="H746" i="12"/>
  <c r="H745" i="12"/>
  <c r="H744" i="12"/>
  <c r="H743" i="12"/>
  <c r="H742" i="12"/>
  <c r="H741" i="12"/>
  <c r="H740" i="12"/>
  <c r="H739" i="12"/>
  <c r="H738" i="12"/>
  <c r="H737" i="12"/>
  <c r="H736" i="12"/>
  <c r="H735" i="12"/>
  <c r="H734" i="12"/>
  <c r="H733" i="12"/>
  <c r="H732" i="12"/>
  <c r="H731" i="12"/>
  <c r="H730" i="12"/>
  <c r="H729" i="12"/>
  <c r="H728" i="12"/>
  <c r="H727" i="12"/>
  <c r="H726" i="12"/>
  <c r="H725" i="12"/>
  <c r="H724" i="12"/>
  <c r="H723" i="12"/>
  <c r="H722" i="12"/>
  <c r="H721" i="12"/>
  <c r="H720" i="12"/>
  <c r="H719" i="12"/>
  <c r="H718" i="12"/>
  <c r="H717" i="12"/>
  <c r="H716" i="12"/>
  <c r="H715" i="12"/>
  <c r="H714" i="12"/>
  <c r="H713" i="12"/>
  <c r="H712" i="12"/>
  <c r="H711" i="12"/>
  <c r="H710" i="12"/>
  <c r="H709" i="12"/>
  <c r="H708" i="12"/>
  <c r="H707" i="12"/>
  <c r="H706" i="12"/>
  <c r="H705" i="12"/>
  <c r="H704" i="12"/>
  <c r="H703" i="12"/>
  <c r="H702" i="12"/>
  <c r="H701" i="12"/>
  <c r="H700" i="12"/>
  <c r="H699" i="12"/>
  <c r="H698" i="12"/>
  <c r="H697" i="12"/>
  <c r="H696" i="12"/>
  <c r="H695" i="12"/>
  <c r="H694" i="12"/>
  <c r="H693" i="12"/>
  <c r="H692" i="12"/>
  <c r="H691" i="12"/>
  <c r="H690" i="12"/>
  <c r="H689" i="12"/>
  <c r="H688" i="12"/>
  <c r="H687" i="12"/>
  <c r="H686" i="12"/>
  <c r="H685" i="12"/>
  <c r="H684" i="12"/>
  <c r="H683" i="12"/>
  <c r="H682" i="12"/>
  <c r="H681" i="12"/>
  <c r="H680" i="12"/>
  <c r="H679" i="12"/>
  <c r="H678" i="12"/>
  <c r="H677" i="12"/>
  <c r="H676" i="12"/>
  <c r="H675" i="12"/>
  <c r="H674" i="12"/>
  <c r="H673" i="12"/>
  <c r="H672" i="12"/>
  <c r="H671" i="12"/>
  <c r="H670" i="12"/>
  <c r="H669" i="12"/>
  <c r="H668" i="12"/>
  <c r="H667" i="12"/>
  <c r="H666" i="12"/>
  <c r="H665" i="12"/>
  <c r="H664" i="12"/>
  <c r="H663" i="12"/>
  <c r="H662" i="12"/>
  <c r="H661" i="12"/>
  <c r="H660" i="12"/>
  <c r="H659" i="12"/>
  <c r="H658" i="12"/>
  <c r="H657" i="12"/>
  <c r="H656" i="12"/>
  <c r="H655" i="12"/>
  <c r="H654" i="12"/>
  <c r="H653" i="12"/>
  <c r="H652" i="12"/>
  <c r="H651" i="12"/>
  <c r="H650" i="12"/>
  <c r="H649" i="12"/>
  <c r="H648" i="12"/>
  <c r="H647" i="12"/>
  <c r="H646" i="12"/>
  <c r="H645" i="12"/>
  <c r="H644" i="12"/>
  <c r="H643" i="12"/>
  <c r="H642" i="12"/>
  <c r="H641" i="12"/>
  <c r="H640" i="12"/>
  <c r="H639" i="12"/>
  <c r="H638" i="12"/>
  <c r="H637" i="12"/>
  <c r="H636" i="12"/>
  <c r="H635" i="12"/>
  <c r="H634" i="12"/>
  <c r="H633" i="12"/>
  <c r="H632" i="12"/>
  <c r="H631" i="12"/>
  <c r="H630" i="12"/>
  <c r="H629" i="12"/>
  <c r="H628" i="12"/>
  <c r="H627" i="12"/>
  <c r="H626" i="12"/>
  <c r="H625" i="12"/>
  <c r="H624" i="12"/>
  <c r="H623" i="12"/>
  <c r="H622" i="12"/>
  <c r="H621" i="12"/>
  <c r="H620" i="12"/>
  <c r="H619" i="12"/>
  <c r="H618" i="12"/>
  <c r="H617" i="12"/>
  <c r="H616" i="12"/>
  <c r="H615" i="12"/>
  <c r="H614" i="12"/>
  <c r="H613" i="12"/>
  <c r="H612" i="12"/>
  <c r="H611" i="12"/>
  <c r="H610" i="12"/>
  <c r="H609" i="12"/>
  <c r="H608" i="12"/>
  <c r="H607" i="12"/>
  <c r="H606" i="12"/>
  <c r="H605" i="12"/>
  <c r="H604" i="12"/>
  <c r="H603" i="12"/>
  <c r="H602" i="12"/>
  <c r="H601" i="12"/>
  <c r="H600" i="12"/>
  <c r="H599" i="12"/>
  <c r="H598" i="12"/>
  <c r="H597" i="12"/>
  <c r="H596" i="12"/>
  <c r="H595" i="12"/>
  <c r="H594" i="12"/>
  <c r="H593" i="12"/>
  <c r="H592" i="12"/>
  <c r="H591" i="12"/>
  <c r="H590" i="12"/>
  <c r="H589" i="12"/>
  <c r="H588" i="12"/>
  <c r="H587" i="12"/>
  <c r="H586" i="12"/>
  <c r="H585" i="12"/>
  <c r="H584" i="12"/>
  <c r="H583" i="12"/>
  <c r="H582" i="12"/>
  <c r="H581" i="12"/>
  <c r="H580" i="12"/>
  <c r="H579" i="12"/>
  <c r="H578" i="12"/>
  <c r="H577" i="12"/>
  <c r="H576" i="12"/>
  <c r="H575" i="12"/>
  <c r="H574" i="12"/>
  <c r="H573" i="12"/>
  <c r="H572" i="12"/>
  <c r="H571" i="12"/>
  <c r="H570" i="12"/>
  <c r="H569" i="12"/>
  <c r="H568" i="12"/>
  <c r="H567" i="12"/>
  <c r="H566" i="12"/>
  <c r="H565" i="12"/>
  <c r="H564" i="12"/>
  <c r="H563" i="12"/>
  <c r="H562" i="12"/>
  <c r="H561" i="12"/>
  <c r="H560" i="12"/>
  <c r="H559" i="12"/>
  <c r="H558" i="12"/>
  <c r="H557" i="12"/>
  <c r="H556" i="12"/>
  <c r="H555" i="12"/>
  <c r="H554" i="12"/>
  <c r="H553" i="12"/>
  <c r="H552" i="12"/>
  <c r="H551" i="12"/>
  <c r="H550" i="12"/>
  <c r="H549" i="12"/>
  <c r="H548" i="12"/>
  <c r="H547" i="12"/>
  <c r="H546" i="12"/>
  <c r="H545" i="12"/>
  <c r="H544" i="12"/>
  <c r="H543" i="12"/>
  <c r="H542" i="12"/>
  <c r="H541" i="12"/>
  <c r="H540" i="12"/>
  <c r="H539" i="12"/>
  <c r="H538" i="12"/>
  <c r="H537" i="12"/>
  <c r="H536" i="12"/>
  <c r="H535" i="12"/>
  <c r="H534" i="12"/>
  <c r="H533" i="12"/>
  <c r="H532" i="12"/>
  <c r="H531" i="12"/>
  <c r="H530" i="12"/>
  <c r="H529" i="12"/>
  <c r="H528" i="12"/>
  <c r="H527" i="12"/>
  <c r="H526" i="12"/>
  <c r="H525" i="12"/>
  <c r="H524" i="12"/>
  <c r="H523" i="12"/>
  <c r="H522" i="12"/>
  <c r="H521" i="12"/>
  <c r="H520" i="12"/>
  <c r="H519" i="12"/>
  <c r="H518" i="12"/>
  <c r="H517" i="12"/>
  <c r="H516" i="12"/>
  <c r="H515" i="12"/>
  <c r="H514" i="12"/>
  <c r="H513" i="12"/>
  <c r="H512" i="12"/>
  <c r="H511" i="12"/>
  <c r="H510" i="12"/>
  <c r="H509" i="12"/>
  <c r="H508" i="12"/>
  <c r="H507" i="12"/>
  <c r="H506" i="12"/>
  <c r="H505" i="12"/>
  <c r="H478" i="12"/>
  <c r="H477" i="12"/>
  <c r="H476" i="12"/>
  <c r="H475" i="12"/>
  <c r="H474" i="12"/>
  <c r="H473" i="12"/>
  <c r="H472" i="12"/>
  <c r="H471" i="12"/>
  <c r="H470" i="12"/>
  <c r="H469" i="12"/>
  <c r="H468" i="12"/>
  <c r="H467" i="12"/>
  <c r="H466" i="12"/>
  <c r="H465" i="12"/>
  <c r="H464" i="12"/>
  <c r="H463" i="12"/>
  <c r="H462" i="12"/>
  <c r="H461" i="12"/>
  <c r="H460" i="12"/>
  <c r="H459" i="12"/>
  <c r="H458" i="12"/>
  <c r="H457" i="12"/>
  <c r="H456" i="12"/>
  <c r="H455" i="12"/>
  <c r="H454" i="12"/>
  <c r="H453" i="12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I262" i="12"/>
  <c r="H262" i="12"/>
  <c r="H261" i="12"/>
  <c r="B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H10" i="12"/>
  <c r="M9" i="12"/>
  <c r="N9" i="12" s="1"/>
  <c r="O9" i="12" s="1"/>
  <c r="P9" i="12" s="1"/>
  <c r="Q9" i="12" s="1"/>
  <c r="R9" i="12" s="1"/>
  <c r="S9" i="12" s="1"/>
  <c r="T9" i="12" s="1"/>
  <c r="U9" i="12" s="1"/>
  <c r="V9" i="12" s="1"/>
  <c r="W9" i="12" s="1"/>
  <c r="X9" i="12" s="1"/>
  <c r="Y9" i="12" s="1"/>
  <c r="Z9" i="12" s="1"/>
  <c r="AA9" i="12" s="1"/>
  <c r="AB9" i="12" s="1"/>
  <c r="AC9" i="12" s="1"/>
  <c r="AD9" i="12" s="1"/>
  <c r="AE9" i="12" s="1"/>
  <c r="AF9" i="12" s="1"/>
  <c r="AG9" i="12" s="1"/>
  <c r="AH9" i="12" s="1"/>
  <c r="AI9" i="12" s="1"/>
  <c r="AJ9" i="12" s="1"/>
  <c r="AK9" i="12" s="1"/>
  <c r="AL9" i="12" s="1"/>
  <c r="AM9" i="12" s="1"/>
  <c r="AN9" i="12" s="1"/>
  <c r="AO9" i="12" s="1"/>
  <c r="AP9" i="12" s="1"/>
  <c r="AQ9" i="12" s="1"/>
  <c r="AR9" i="12" s="1"/>
  <c r="AS9" i="12" s="1"/>
  <c r="AT9" i="12" s="1"/>
  <c r="AU9" i="12" s="1"/>
  <c r="AV9" i="12" s="1"/>
  <c r="AW9" i="12" s="1"/>
  <c r="AX9" i="12" s="1"/>
  <c r="AY9" i="12" s="1"/>
  <c r="AZ9" i="12" s="1"/>
  <c r="BA9" i="12" s="1"/>
  <c r="BB9" i="12" s="1"/>
  <c r="BC9" i="12" s="1"/>
  <c r="BD9" i="12" s="1"/>
  <c r="BE9" i="12" s="1"/>
  <c r="BF9" i="12" s="1"/>
  <c r="BG9" i="12" s="1"/>
  <c r="BH9" i="12" s="1"/>
  <c r="BI9" i="12" s="1"/>
  <c r="BJ9" i="12" s="1"/>
  <c r="BK9" i="12" s="1"/>
  <c r="BL9" i="12" s="1"/>
  <c r="BM9" i="12" s="1"/>
  <c r="BN9" i="12" s="1"/>
  <c r="BO9" i="12" s="1"/>
  <c r="BP9" i="12" s="1"/>
  <c r="BQ9" i="12" s="1"/>
  <c r="BR9" i="12" s="1"/>
  <c r="BS9" i="12" s="1"/>
  <c r="BT9" i="12" s="1"/>
  <c r="BU9" i="12" s="1"/>
  <c r="BV9" i="12" s="1"/>
  <c r="BW9" i="12" s="1"/>
  <c r="BX9" i="12" s="1"/>
  <c r="BY9" i="12" s="1"/>
  <c r="BZ9" i="12" s="1"/>
  <c r="CA9" i="12" s="1"/>
  <c r="CB9" i="12" s="1"/>
  <c r="CC9" i="12" s="1"/>
  <c r="CD9" i="12" s="1"/>
  <c r="CE9" i="12" s="1"/>
  <c r="CF9" i="12" s="1"/>
  <c r="CG9" i="12" s="1"/>
  <c r="CH9" i="12" s="1"/>
  <c r="CI9" i="12" s="1"/>
  <c r="CJ9" i="12" s="1"/>
  <c r="CK9" i="12" s="1"/>
  <c r="CL9" i="12" s="1"/>
  <c r="CM9" i="12" s="1"/>
  <c r="CN9" i="12" s="1"/>
  <c r="CO9" i="12" s="1"/>
  <c r="CP9" i="12" s="1"/>
  <c r="CQ9" i="12" s="1"/>
  <c r="CR9" i="12" s="1"/>
  <c r="CS9" i="12" s="1"/>
  <c r="CT9" i="12" s="1"/>
  <c r="CU9" i="12" s="1"/>
  <c r="CV9" i="12" s="1"/>
  <c r="CW9" i="12" s="1"/>
  <c r="CX9" i="12" s="1"/>
  <c r="CY9" i="12" s="1"/>
  <c r="CZ9" i="12" s="1"/>
  <c r="DA9" i="12" s="1"/>
  <c r="DB9" i="12" s="1"/>
  <c r="DC9" i="12" s="1"/>
  <c r="DD9" i="12" s="1"/>
  <c r="DE9" i="12" s="1"/>
  <c r="DF9" i="12" s="1"/>
  <c r="I283" i="11"/>
  <c r="I284" i="11" s="1"/>
  <c r="E713" i="11"/>
  <c r="H713" i="11"/>
  <c r="E711" i="11"/>
  <c r="H711" i="11"/>
  <c r="D712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E491" i="12" l="1"/>
  <c r="A479" i="12"/>
  <c r="A480" i="12" s="1"/>
  <c r="A481" i="12" s="1"/>
  <c r="A482" i="12" s="1"/>
  <c r="A483" i="12" s="1"/>
  <c r="A484" i="12" s="1"/>
  <c r="A485" i="12" s="1"/>
  <c r="A486" i="12" s="1"/>
  <c r="A487" i="12" s="1"/>
  <c r="F490" i="12" s="1"/>
  <c r="B262" i="12"/>
  <c r="I263" i="12"/>
  <c r="B263" i="12" l="1"/>
  <c r="I264" i="12"/>
  <c r="B264" i="12" l="1"/>
  <c r="I265" i="12"/>
  <c r="B265" i="12" l="1"/>
  <c r="I266" i="12"/>
  <c r="B266" i="12" l="1"/>
  <c r="I267" i="12"/>
  <c r="B267" i="12" l="1"/>
  <c r="I268" i="12"/>
  <c r="B268" i="12" l="1"/>
  <c r="I269" i="12"/>
  <c r="B269" i="12" l="1"/>
  <c r="I270" i="12"/>
  <c r="B270" i="12" l="1"/>
  <c r="I271" i="12"/>
  <c r="B271" i="12" l="1"/>
  <c r="I272" i="12"/>
  <c r="B272" i="12" l="1"/>
  <c r="I273" i="12"/>
  <c r="B273" i="12" l="1"/>
  <c r="I274" i="12"/>
  <c r="B274" i="12" l="1"/>
  <c r="I275" i="12"/>
  <c r="B275" i="12" l="1"/>
  <c r="I276" i="12"/>
  <c r="B276" i="12" l="1"/>
  <c r="I277" i="12"/>
  <c r="B277" i="12" l="1"/>
  <c r="I278" i="12"/>
  <c r="B278" i="12" l="1"/>
  <c r="I279" i="12"/>
  <c r="B279" i="12" l="1"/>
  <c r="I280" i="12"/>
  <c r="B280" i="12" l="1"/>
  <c r="I281" i="12"/>
  <c r="B281" i="12" l="1"/>
  <c r="I282" i="12"/>
  <c r="B282" i="12" l="1"/>
  <c r="I283" i="12"/>
  <c r="B283" i="12" l="1"/>
  <c r="I284" i="12"/>
  <c r="B284" i="12" l="1"/>
  <c r="I285" i="12"/>
  <c r="B285" i="12" l="1"/>
  <c r="I286" i="12"/>
  <c r="B286" i="12" l="1"/>
  <c r="I287" i="12"/>
  <c r="B287" i="12" l="1"/>
  <c r="I288" i="12"/>
  <c r="B288" i="12" l="1"/>
  <c r="I289" i="12"/>
  <c r="B289" i="12" l="1"/>
  <c r="I290" i="12"/>
  <c r="B290" i="12" l="1"/>
  <c r="I291" i="12"/>
  <c r="B291" i="12" l="1"/>
  <c r="I292" i="12"/>
  <c r="B292" i="12" l="1"/>
  <c r="I293" i="12"/>
  <c r="B293" i="12" l="1"/>
  <c r="I294" i="12"/>
  <c r="B294" i="12" l="1"/>
  <c r="I295" i="12"/>
  <c r="B295" i="12" l="1"/>
  <c r="I296" i="12"/>
  <c r="B296" i="12" l="1"/>
  <c r="I297" i="12"/>
  <c r="B297" i="12" l="1"/>
  <c r="I298" i="12"/>
  <c r="B298" i="12" l="1"/>
  <c r="I299" i="12"/>
  <c r="B299" i="12" l="1"/>
  <c r="I300" i="12"/>
  <c r="B300" i="12" l="1"/>
  <c r="I301" i="12"/>
  <c r="B301" i="12" l="1"/>
  <c r="I302" i="12"/>
  <c r="B302" i="12" l="1"/>
  <c r="I303" i="12"/>
  <c r="B303" i="12" l="1"/>
  <c r="I304" i="12"/>
  <c r="B304" i="12" l="1"/>
  <c r="I305" i="12"/>
  <c r="B305" i="12" l="1"/>
  <c r="I306" i="12"/>
  <c r="B306" i="12" l="1"/>
  <c r="I307" i="12"/>
  <c r="B307" i="12" l="1"/>
  <c r="I308" i="12"/>
  <c r="B308" i="12" l="1"/>
  <c r="I309" i="12"/>
  <c r="B309" i="12" l="1"/>
  <c r="I310" i="12"/>
  <c r="B310" i="12" l="1"/>
  <c r="I311" i="12"/>
  <c r="B311" i="12" l="1"/>
  <c r="I312" i="12"/>
  <c r="B312" i="12" l="1"/>
  <c r="I313" i="12"/>
  <c r="B313" i="12" l="1"/>
  <c r="I314" i="12"/>
  <c r="B314" i="12" l="1"/>
  <c r="I315" i="12"/>
  <c r="B315" i="12" l="1"/>
  <c r="I316" i="12"/>
  <c r="B316" i="12" l="1"/>
  <c r="I317" i="12"/>
  <c r="B317" i="12" l="1"/>
  <c r="I318" i="12"/>
  <c r="B318" i="12" l="1"/>
  <c r="I319" i="12"/>
  <c r="B319" i="12" l="1"/>
  <c r="I320" i="12"/>
  <c r="B320" i="12" l="1"/>
  <c r="I321" i="12"/>
  <c r="B321" i="12" l="1"/>
  <c r="I322" i="12"/>
  <c r="B322" i="12" l="1"/>
  <c r="I323" i="12"/>
  <c r="B323" i="12" l="1"/>
  <c r="I324" i="12"/>
  <c r="B324" i="12" l="1"/>
  <c r="I325" i="12"/>
  <c r="B325" i="12" l="1"/>
  <c r="I326" i="12"/>
  <c r="B326" i="12" l="1"/>
  <c r="I327" i="12"/>
  <c r="B327" i="12" l="1"/>
  <c r="I328" i="12"/>
  <c r="B328" i="12" l="1"/>
  <c r="I329" i="12"/>
  <c r="B329" i="12" l="1"/>
  <c r="I330" i="12"/>
  <c r="B330" i="12" l="1"/>
  <c r="I331" i="12"/>
  <c r="B331" i="12" l="1"/>
  <c r="I332" i="12"/>
  <c r="B332" i="12" l="1"/>
  <c r="I333" i="12"/>
  <c r="B333" i="12" l="1"/>
  <c r="I334" i="12"/>
  <c r="B334" i="12" l="1"/>
  <c r="I335" i="12"/>
  <c r="B335" i="12" l="1"/>
  <c r="I336" i="12"/>
  <c r="B336" i="12" l="1"/>
  <c r="I337" i="12"/>
  <c r="B337" i="12" l="1"/>
  <c r="I338" i="12"/>
  <c r="B338" i="12" l="1"/>
  <c r="I339" i="12"/>
  <c r="B339" i="12" l="1"/>
  <c r="I340" i="12"/>
  <c r="B340" i="12" l="1"/>
  <c r="I341" i="12"/>
  <c r="B341" i="12" l="1"/>
  <c r="I342" i="12"/>
  <c r="B342" i="12" l="1"/>
  <c r="I343" i="12"/>
  <c r="B343" i="12" l="1"/>
  <c r="I344" i="12"/>
  <c r="B344" i="12" l="1"/>
  <c r="I345" i="12"/>
  <c r="B345" i="12" l="1"/>
  <c r="I346" i="12"/>
  <c r="B346" i="12" l="1"/>
  <c r="I347" i="12"/>
  <c r="B347" i="12" l="1"/>
  <c r="I348" i="12"/>
  <c r="B348" i="12" l="1"/>
  <c r="I349" i="12"/>
  <c r="B349" i="12" l="1"/>
  <c r="I350" i="12"/>
  <c r="B350" i="12" l="1"/>
  <c r="I351" i="12"/>
  <c r="B351" i="12" l="1"/>
  <c r="I352" i="12"/>
  <c r="B352" i="12" l="1"/>
  <c r="I353" i="12"/>
  <c r="B353" i="12" l="1"/>
  <c r="I354" i="12"/>
  <c r="B354" i="12" l="1"/>
  <c r="I355" i="12"/>
  <c r="B355" i="12" l="1"/>
  <c r="I356" i="12"/>
  <c r="B356" i="12" l="1"/>
  <c r="I357" i="12"/>
  <c r="B357" i="12" l="1"/>
  <c r="I358" i="12"/>
  <c r="B358" i="12" l="1"/>
  <c r="I359" i="12"/>
  <c r="B359" i="12" l="1"/>
  <c r="I360" i="12"/>
  <c r="B360" i="12" l="1"/>
  <c r="I361" i="12"/>
  <c r="B361" i="12" l="1"/>
  <c r="I362" i="12"/>
  <c r="B362" i="12" l="1"/>
  <c r="I363" i="12"/>
  <c r="B363" i="12" l="1"/>
  <c r="I364" i="12"/>
  <c r="B364" i="12" l="1"/>
  <c r="I365" i="12"/>
  <c r="B365" i="12" l="1"/>
  <c r="I366" i="12"/>
  <c r="B366" i="12" l="1"/>
  <c r="I367" i="12"/>
  <c r="B367" i="12" l="1"/>
  <c r="I368" i="12"/>
  <c r="B368" i="12" l="1"/>
  <c r="I369" i="12"/>
  <c r="B369" i="12" l="1"/>
  <c r="I370" i="12"/>
  <c r="B370" i="12" l="1"/>
  <c r="I371" i="12"/>
  <c r="B371" i="12" l="1"/>
  <c r="I372" i="12"/>
  <c r="B372" i="12" l="1"/>
  <c r="I373" i="12"/>
  <c r="B373" i="12" l="1"/>
  <c r="I374" i="12"/>
  <c r="B374" i="12" l="1"/>
  <c r="I375" i="12"/>
  <c r="B375" i="12" l="1"/>
  <c r="I376" i="12"/>
  <c r="B376" i="12" l="1"/>
  <c r="I377" i="12"/>
  <c r="B377" i="12" l="1"/>
  <c r="I378" i="12"/>
  <c r="B378" i="12" l="1"/>
  <c r="I379" i="12"/>
  <c r="B379" i="12" l="1"/>
  <c r="I380" i="12"/>
  <c r="B380" i="12" l="1"/>
  <c r="I381" i="12"/>
  <c r="B381" i="12" l="1"/>
  <c r="I382" i="12"/>
  <c r="B382" i="12" l="1"/>
  <c r="I383" i="12"/>
  <c r="B383" i="12" l="1"/>
  <c r="I384" i="12"/>
  <c r="B384" i="12" l="1"/>
  <c r="I385" i="12"/>
  <c r="B385" i="12" l="1"/>
  <c r="I386" i="12"/>
  <c r="B386" i="12" l="1"/>
  <c r="I387" i="12"/>
  <c r="B387" i="12" l="1"/>
  <c r="I388" i="12"/>
  <c r="B388" i="12" l="1"/>
  <c r="I389" i="12"/>
  <c r="B389" i="12" l="1"/>
  <c r="I390" i="12"/>
  <c r="B390" i="12" l="1"/>
  <c r="I391" i="12"/>
  <c r="B391" i="12" l="1"/>
  <c r="I392" i="12"/>
  <c r="B392" i="12" l="1"/>
  <c r="I393" i="12"/>
  <c r="B393" i="12" l="1"/>
  <c r="I394" i="12"/>
  <c r="B394" i="12" l="1"/>
  <c r="I395" i="12"/>
  <c r="B395" i="12" l="1"/>
  <c r="I396" i="12"/>
  <c r="B396" i="12" l="1"/>
  <c r="I397" i="12"/>
  <c r="B397" i="12" l="1"/>
  <c r="I398" i="12"/>
  <c r="B398" i="12" l="1"/>
  <c r="I399" i="12"/>
  <c r="B399" i="12" l="1"/>
  <c r="I400" i="12"/>
  <c r="B400" i="12" l="1"/>
  <c r="I401" i="12"/>
  <c r="B401" i="12" l="1"/>
  <c r="I402" i="12"/>
  <c r="B402" i="12" l="1"/>
  <c r="I403" i="12"/>
  <c r="B403" i="12" l="1"/>
  <c r="I404" i="12"/>
  <c r="B404" i="12" l="1"/>
  <c r="I405" i="12"/>
  <c r="B405" i="12" l="1"/>
  <c r="I406" i="12"/>
  <c r="B406" i="12" l="1"/>
  <c r="I407" i="12"/>
  <c r="B407" i="12" l="1"/>
  <c r="I408" i="12"/>
  <c r="B408" i="12" l="1"/>
  <c r="I409" i="12"/>
  <c r="B409" i="12" l="1"/>
  <c r="I410" i="12"/>
  <c r="B410" i="12" l="1"/>
  <c r="I411" i="12"/>
  <c r="B411" i="12" l="1"/>
  <c r="I412" i="12"/>
  <c r="B412" i="12" l="1"/>
  <c r="I413" i="12"/>
  <c r="B413" i="12" l="1"/>
  <c r="I414" i="12"/>
  <c r="B414" i="12" l="1"/>
  <c r="I415" i="12"/>
  <c r="B415" i="12" l="1"/>
  <c r="I416" i="12"/>
  <c r="B416" i="12" l="1"/>
  <c r="I417" i="12"/>
  <c r="B417" i="12" l="1"/>
  <c r="I418" i="12"/>
  <c r="B418" i="12" l="1"/>
  <c r="I419" i="12"/>
  <c r="B419" i="12" l="1"/>
  <c r="I420" i="12"/>
  <c r="B420" i="12" l="1"/>
  <c r="I421" i="12"/>
  <c r="B421" i="12" l="1"/>
  <c r="I422" i="12"/>
  <c r="B422" i="12" l="1"/>
  <c r="I423" i="12"/>
  <c r="B423" i="12" l="1"/>
  <c r="I424" i="12"/>
  <c r="B424" i="12" l="1"/>
  <c r="I425" i="12"/>
  <c r="B425" i="12" l="1"/>
  <c r="I426" i="12"/>
  <c r="B426" i="12" l="1"/>
  <c r="I427" i="12"/>
  <c r="B427" i="12" l="1"/>
  <c r="I428" i="12"/>
  <c r="B428" i="12" l="1"/>
  <c r="I429" i="12"/>
  <c r="B429" i="12" l="1"/>
  <c r="I430" i="12"/>
  <c r="B430" i="12" l="1"/>
  <c r="I431" i="12"/>
  <c r="B431" i="12" l="1"/>
  <c r="I432" i="12"/>
  <c r="B432" i="12" l="1"/>
  <c r="I433" i="12"/>
  <c r="B433" i="12" l="1"/>
  <c r="I434" i="12"/>
  <c r="B434" i="12" l="1"/>
  <c r="I435" i="12"/>
  <c r="B435" i="12" l="1"/>
  <c r="I436" i="12"/>
  <c r="B436" i="12" l="1"/>
  <c r="I437" i="12"/>
  <c r="B437" i="12" l="1"/>
  <c r="I438" i="12"/>
  <c r="B438" i="12" l="1"/>
  <c r="I439" i="12"/>
  <c r="I440" i="12" l="1"/>
  <c r="B439" i="12"/>
  <c r="B440" i="12" l="1"/>
  <c r="I441" i="12"/>
  <c r="B441" i="12" l="1"/>
  <c r="I442" i="12"/>
  <c r="B442" i="12" l="1"/>
  <c r="I443" i="12"/>
  <c r="B443" i="12" l="1"/>
  <c r="I444" i="12"/>
  <c r="B444" i="12" l="1"/>
  <c r="I445" i="12"/>
  <c r="I446" i="12" l="1"/>
  <c r="B445" i="12"/>
  <c r="B446" i="12" l="1"/>
  <c r="I447" i="12"/>
  <c r="B447" i="12" l="1"/>
  <c r="I448" i="12"/>
  <c r="B448" i="12" l="1"/>
  <c r="I449" i="12"/>
  <c r="B449" i="12" l="1"/>
  <c r="I450" i="12"/>
  <c r="B450" i="12" l="1"/>
  <c r="I451" i="12"/>
  <c r="B451" i="12" l="1"/>
  <c r="I452" i="12"/>
  <c r="B452" i="12" l="1"/>
  <c r="I453" i="12"/>
  <c r="I454" i="12" l="1"/>
  <c r="B453" i="12"/>
  <c r="B454" i="12" l="1"/>
  <c r="I455" i="12"/>
  <c r="B455" i="12" l="1"/>
  <c r="I456" i="12"/>
  <c r="B456" i="12" l="1"/>
  <c r="I457" i="12"/>
  <c r="B457" i="12" l="1"/>
  <c r="I458" i="12"/>
  <c r="B458" i="12" l="1"/>
  <c r="I459" i="12"/>
  <c r="B459" i="12" l="1"/>
  <c r="I460" i="12"/>
  <c r="B460" i="12" l="1"/>
  <c r="I461" i="12"/>
  <c r="I462" i="12" l="1"/>
  <c r="B461" i="12"/>
  <c r="B462" i="12" l="1"/>
  <c r="I463" i="12"/>
  <c r="B463" i="12" l="1"/>
  <c r="I464" i="12"/>
  <c r="B464" i="12" l="1"/>
  <c r="I465" i="12"/>
  <c r="B465" i="12" l="1"/>
  <c r="I466" i="12"/>
  <c r="B466" i="12" l="1"/>
  <c r="I467" i="12"/>
  <c r="B467" i="12" l="1"/>
  <c r="I468" i="12"/>
  <c r="B468" i="12" l="1"/>
  <c r="I469" i="12"/>
  <c r="I470" i="12" l="1"/>
  <c r="B469" i="12"/>
  <c r="B470" i="12" l="1"/>
  <c r="I471" i="12"/>
  <c r="B471" i="12" l="1"/>
  <c r="I472" i="12"/>
  <c r="B472" i="12" l="1"/>
  <c r="I473" i="12"/>
  <c r="B473" i="12" l="1"/>
  <c r="I474" i="12"/>
  <c r="B474" i="12" l="1"/>
  <c r="I475" i="12"/>
  <c r="B475" i="12" l="1"/>
  <c r="I476" i="12"/>
  <c r="B476" i="12" l="1"/>
  <c r="I477" i="12"/>
  <c r="I478" i="12" l="1"/>
  <c r="I479" i="12" s="1"/>
  <c r="B477" i="12"/>
  <c r="B479" i="12" l="1"/>
  <c r="I480" i="12"/>
  <c r="B478" i="12"/>
  <c r="I481" i="12" l="1"/>
  <c r="B480" i="12"/>
  <c r="B481" i="12" l="1"/>
  <c r="I482" i="12"/>
  <c r="I483" i="12" l="1"/>
  <c r="B482" i="12"/>
  <c r="B483" i="12" l="1"/>
  <c r="I484" i="12"/>
  <c r="I485" i="12" l="1"/>
  <c r="B484" i="12"/>
  <c r="B485" i="12" l="1"/>
  <c r="I486" i="12"/>
  <c r="I487" i="12" l="1"/>
  <c r="B486" i="12"/>
  <c r="B487" i="12" l="1"/>
  <c r="I262" i="11" l="1"/>
  <c r="I263" i="11" s="1"/>
  <c r="B261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H11" i="11"/>
  <c r="H10" i="1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CO9" i="11" s="1"/>
  <c r="CP9" i="11" s="1"/>
  <c r="CQ9" i="11" s="1"/>
  <c r="CR9" i="11" s="1"/>
  <c r="CS9" i="11" s="1"/>
  <c r="CT9" i="11" s="1"/>
  <c r="CU9" i="11" s="1"/>
  <c r="CV9" i="11" s="1"/>
  <c r="CW9" i="11" s="1"/>
  <c r="CX9" i="11" s="1"/>
  <c r="CY9" i="11" s="1"/>
  <c r="CZ9" i="11" s="1"/>
  <c r="DA9" i="11" s="1"/>
  <c r="DB9" i="11" s="1"/>
  <c r="DC9" i="11" s="1"/>
  <c r="DD9" i="11" s="1"/>
  <c r="DE9" i="11" s="1"/>
  <c r="DF9" i="11" s="1"/>
  <c r="B262" i="11" l="1"/>
  <c r="I264" i="11"/>
  <c r="I265" i="11" s="1"/>
  <c r="B263" i="11"/>
  <c r="A493" i="1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I266" i="11" l="1"/>
  <c r="B265" i="11"/>
  <c r="A509" i="11"/>
  <c r="A510" i="11" s="1"/>
  <c r="B264" i="11"/>
  <c r="I267" i="11"/>
  <c r="B266" i="11"/>
  <c r="A511" i="11" l="1"/>
  <c r="A512" i="11" s="1"/>
  <c r="I268" i="11"/>
  <c r="B267" i="11"/>
  <c r="F712" i="11" l="1"/>
  <c r="A513" i="1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B268" i="11"/>
  <c r="I269" i="11"/>
  <c r="I270" i="11" l="1"/>
  <c r="B269" i="11"/>
  <c r="B270" i="11" l="1"/>
  <c r="I271" i="11"/>
  <c r="B271" i="11" l="1"/>
  <c r="I272" i="11"/>
  <c r="B272" i="11" l="1"/>
  <c r="I273" i="11"/>
  <c r="I274" i="11" s="1"/>
  <c r="I275" i="11" s="1"/>
  <c r="I276" i="11" s="1"/>
  <c r="I277" i="11" s="1"/>
  <c r="I278" i="11" s="1"/>
  <c r="I279" i="11" s="1"/>
  <c r="I280" i="11" s="1"/>
  <c r="I281" i="11" s="1"/>
  <c r="I282" i="11" s="1"/>
  <c r="B283" i="11" l="1"/>
  <c r="B273" i="11"/>
  <c r="B284" i="11" l="1"/>
  <c r="I285" i="11"/>
  <c r="B274" i="11"/>
  <c r="B285" i="11" l="1"/>
  <c r="I286" i="11"/>
  <c r="B275" i="11"/>
  <c r="B286" i="11" l="1"/>
  <c r="I287" i="11"/>
  <c r="B276" i="11"/>
  <c r="B287" i="11" l="1"/>
  <c r="I288" i="11"/>
  <c r="B277" i="11"/>
  <c r="I289" i="11" l="1"/>
  <c r="B288" i="11"/>
  <c r="B278" i="11"/>
  <c r="I290" i="11" l="1"/>
  <c r="B289" i="11"/>
  <c r="B279" i="11"/>
  <c r="B290" i="11" l="1"/>
  <c r="I291" i="11"/>
  <c r="B280" i="11"/>
  <c r="B291" i="11" l="1"/>
  <c r="I292" i="11"/>
  <c r="B282" i="11"/>
  <c r="B281" i="11"/>
  <c r="B292" i="11" l="1"/>
  <c r="I293" i="11"/>
  <c r="B293" i="11" l="1"/>
  <c r="I294" i="11"/>
  <c r="B294" i="11" l="1"/>
  <c r="I295" i="11"/>
  <c r="I296" i="11" l="1"/>
  <c r="B295" i="11"/>
  <c r="I297" i="11" l="1"/>
  <c r="B296" i="11"/>
  <c r="B297" i="11" l="1"/>
  <c r="I298" i="11"/>
  <c r="I299" i="11" l="1"/>
  <c r="B298" i="11"/>
  <c r="B299" i="11" l="1"/>
  <c r="I300" i="11"/>
  <c r="I301" i="11" l="1"/>
  <c r="B300" i="11"/>
  <c r="I302" i="11" l="1"/>
  <c r="B302" i="11" s="1"/>
  <c r="B301" i="11"/>
  <c r="I303" i="11" l="1"/>
  <c r="I304" i="11" l="1"/>
  <c r="B303" i="11"/>
  <c r="B304" i="11" l="1"/>
  <c r="I305" i="11"/>
  <c r="I306" i="11" l="1"/>
  <c r="B305" i="11"/>
  <c r="B306" i="11" l="1"/>
  <c r="I307" i="11"/>
  <c r="I308" i="11" l="1"/>
  <c r="B307" i="11"/>
  <c r="I309" i="11" l="1"/>
  <c r="B308" i="11"/>
  <c r="I310" i="11" l="1"/>
  <c r="B309" i="11"/>
  <c r="I311" i="11" l="1"/>
  <c r="B310" i="11"/>
  <c r="B311" i="11" l="1"/>
  <c r="I312" i="11"/>
  <c r="B312" i="11" l="1"/>
  <c r="I313" i="11"/>
  <c r="I314" i="11" l="1"/>
  <c r="B313" i="11"/>
  <c r="I315" i="11" l="1"/>
  <c r="B314" i="11"/>
  <c r="B315" i="11" l="1"/>
  <c r="I316" i="11"/>
  <c r="I317" i="11" l="1"/>
  <c r="B316" i="11"/>
  <c r="B317" i="11" l="1"/>
  <c r="I318" i="11"/>
  <c r="I319" i="11" l="1"/>
  <c r="B318" i="11"/>
  <c r="I320" i="11" l="1"/>
  <c r="B319" i="11"/>
  <c r="B320" i="11" l="1"/>
  <c r="I321" i="11"/>
  <c r="B321" i="11" l="1"/>
  <c r="I322" i="11"/>
  <c r="B322" i="11" l="1"/>
  <c r="I323" i="11"/>
  <c r="I324" i="11" l="1"/>
  <c r="B323" i="11"/>
  <c r="I325" i="11" l="1"/>
  <c r="B324" i="11"/>
  <c r="B325" i="11" l="1"/>
  <c r="I326" i="11"/>
  <c r="B326" i="11" l="1"/>
  <c r="I327" i="11"/>
  <c r="I328" i="11" l="1"/>
  <c r="B327" i="11"/>
  <c r="I329" i="11" l="1"/>
  <c r="B328" i="11"/>
  <c r="I330" i="11" l="1"/>
  <c r="B329" i="11"/>
  <c r="I331" i="11" l="1"/>
  <c r="B330" i="11"/>
  <c r="I332" i="11" l="1"/>
  <c r="B331" i="11"/>
  <c r="B332" i="11" l="1"/>
  <c r="I333" i="11"/>
  <c r="I334" i="11" l="1"/>
  <c r="B333" i="11"/>
  <c r="B334" i="11" l="1"/>
  <c r="I335" i="11"/>
  <c r="I336" i="11" l="1"/>
  <c r="B335" i="11"/>
  <c r="B336" i="11" l="1"/>
  <c r="I337" i="11"/>
  <c r="I338" i="11" l="1"/>
  <c r="B337" i="11"/>
  <c r="I339" i="11" l="1"/>
  <c r="B338" i="11"/>
  <c r="I340" i="11" l="1"/>
  <c r="B339" i="11"/>
  <c r="I341" i="11" l="1"/>
  <c r="B340" i="11"/>
  <c r="I342" i="11" l="1"/>
  <c r="B341" i="11"/>
  <c r="B342" i="11" l="1"/>
  <c r="I343" i="11"/>
  <c r="I344" i="11" l="1"/>
  <c r="B343" i="11"/>
  <c r="B344" i="11" l="1"/>
  <c r="I345" i="11"/>
  <c r="I346" i="11" l="1"/>
  <c r="B345" i="11"/>
  <c r="I347" i="11" l="1"/>
  <c r="B346" i="11"/>
  <c r="I348" i="11" l="1"/>
  <c r="B347" i="11"/>
  <c r="B348" i="11" l="1"/>
  <c r="I349" i="11"/>
  <c r="B349" i="11" l="1"/>
  <c r="I350" i="11"/>
  <c r="B350" i="11" l="1"/>
  <c r="I351" i="11"/>
  <c r="B351" i="11" l="1"/>
  <c r="I352" i="11"/>
  <c r="I353" i="11" l="1"/>
  <c r="B352" i="11"/>
  <c r="I354" i="11" l="1"/>
  <c r="B353" i="11"/>
  <c r="B354" i="11" l="1"/>
  <c r="I355" i="11"/>
  <c r="I356" i="11" l="1"/>
  <c r="B355" i="11"/>
  <c r="I357" i="11" l="1"/>
  <c r="B356" i="11"/>
  <c r="I358" i="11" l="1"/>
  <c r="B357" i="11"/>
  <c r="B358" i="11" l="1"/>
  <c r="I359" i="11"/>
  <c r="B359" i="11" l="1"/>
  <c r="I360" i="11"/>
  <c r="I361" i="11" l="1"/>
  <c r="B360" i="11"/>
  <c r="B361" i="11" l="1"/>
  <c r="I362" i="11"/>
  <c r="B362" i="11" l="1"/>
  <c r="I363" i="11"/>
  <c r="B363" i="11" l="1"/>
  <c r="I364" i="11"/>
  <c r="B364" i="11" l="1"/>
  <c r="I365" i="11"/>
  <c r="I366" i="11" l="1"/>
  <c r="B365" i="11"/>
  <c r="I367" i="11" l="1"/>
  <c r="B366" i="11"/>
  <c r="I368" i="11" l="1"/>
  <c r="B367" i="11"/>
  <c r="I369" i="11" l="1"/>
  <c r="B368" i="11"/>
  <c r="I370" i="11" l="1"/>
  <c r="B369" i="11"/>
  <c r="B370" i="11" l="1"/>
  <c r="I371" i="11"/>
  <c r="B371" i="11" l="1"/>
  <c r="I372" i="11"/>
  <c r="B372" i="11" l="1"/>
  <c r="I373" i="11"/>
  <c r="B373" i="11" l="1"/>
  <c r="I374" i="11"/>
  <c r="B374" i="11" l="1"/>
  <c r="I375" i="11"/>
  <c r="B375" i="11" l="1"/>
  <c r="I376" i="11"/>
  <c r="B376" i="11" l="1"/>
  <c r="I377" i="11"/>
  <c r="B377" i="11" l="1"/>
  <c r="I378" i="11"/>
  <c r="I379" i="11" l="1"/>
  <c r="B378" i="11"/>
  <c r="I380" i="11" l="1"/>
  <c r="B379" i="11"/>
  <c r="I381" i="11" l="1"/>
  <c r="B380" i="11"/>
  <c r="I382" i="11" l="1"/>
  <c r="B381" i="11"/>
  <c r="B382" i="11" l="1"/>
  <c r="I383" i="11"/>
  <c r="B383" i="11" l="1"/>
  <c r="I384" i="11"/>
  <c r="B384" i="11" l="1"/>
  <c r="I385" i="11"/>
  <c r="B385" i="11" l="1"/>
  <c r="I386" i="11"/>
  <c r="B386" i="11" l="1"/>
  <c r="I387" i="11"/>
  <c r="B387" i="11" l="1"/>
  <c r="I388" i="11"/>
  <c r="B388" i="11" l="1"/>
  <c r="I389" i="11"/>
  <c r="B389" i="11" l="1"/>
  <c r="I390" i="11"/>
  <c r="I391" i="11" l="1"/>
  <c r="B390" i="11"/>
  <c r="B391" i="11" l="1"/>
  <c r="I392" i="11"/>
  <c r="B392" i="11" l="1"/>
  <c r="I393" i="11"/>
  <c r="I394" i="11" l="1"/>
  <c r="B393" i="11"/>
  <c r="B394" i="11" l="1"/>
  <c r="I395" i="11"/>
  <c r="I396" i="11" l="1"/>
  <c r="B395" i="11"/>
  <c r="I397" i="11" l="1"/>
  <c r="B396" i="11"/>
  <c r="I398" i="11" l="1"/>
  <c r="B397" i="11"/>
  <c r="I399" i="11" l="1"/>
  <c r="B398" i="11"/>
  <c r="B399" i="11" l="1"/>
  <c r="I400" i="11"/>
  <c r="I401" i="11" l="1"/>
  <c r="B400" i="11"/>
  <c r="B401" i="11" l="1"/>
  <c r="I402" i="11"/>
  <c r="I403" i="11" l="1"/>
  <c r="B402" i="11"/>
  <c r="B403" i="11" l="1"/>
  <c r="I404" i="11"/>
  <c r="B404" i="11" l="1"/>
  <c r="I405" i="11"/>
  <c r="I406" i="11" l="1"/>
  <c r="B405" i="11"/>
  <c r="B406" i="11" l="1"/>
  <c r="I407" i="11"/>
  <c r="I408" i="11" l="1"/>
  <c r="B407" i="11"/>
  <c r="B408" i="11" l="1"/>
  <c r="I409" i="11"/>
  <c r="B409" i="11" l="1"/>
  <c r="I410" i="11"/>
  <c r="I411" i="11" l="1"/>
  <c r="B410" i="11"/>
  <c r="B411" i="11" l="1"/>
  <c r="I412" i="11"/>
  <c r="B412" i="11" l="1"/>
  <c r="I413" i="11"/>
  <c r="B413" i="11" l="1"/>
  <c r="I414" i="11"/>
  <c r="B414" i="11" l="1"/>
  <c r="I415" i="11"/>
  <c r="I416" i="11" l="1"/>
  <c r="B415" i="11"/>
  <c r="I417" i="11" l="1"/>
  <c r="B416" i="11"/>
  <c r="I418" i="11" l="1"/>
  <c r="B417" i="11"/>
  <c r="I419" i="11" l="1"/>
  <c r="B418" i="11"/>
  <c r="B419" i="11" l="1"/>
  <c r="I420" i="11"/>
  <c r="B420" i="11" l="1"/>
  <c r="I421" i="11"/>
  <c r="I422" i="11" l="1"/>
  <c r="B421" i="11"/>
  <c r="I423" i="11" l="1"/>
  <c r="B422" i="11"/>
  <c r="I424" i="11" l="1"/>
  <c r="B423" i="11"/>
  <c r="I425" i="11" l="1"/>
  <c r="B424" i="11"/>
  <c r="I426" i="11" l="1"/>
  <c r="B425" i="11"/>
  <c r="I427" i="11" l="1"/>
  <c r="B426" i="11"/>
  <c r="B427" i="11" l="1"/>
  <c r="I428" i="11"/>
  <c r="I429" i="11" l="1"/>
  <c r="B428" i="11"/>
  <c r="B429" i="11" l="1"/>
  <c r="I430" i="11"/>
  <c r="B430" i="11" l="1"/>
  <c r="I431" i="11"/>
  <c r="I432" i="11" l="1"/>
  <c r="B431" i="11"/>
  <c r="B432" i="11" l="1"/>
  <c r="I433" i="11"/>
  <c r="I434" i="11" l="1"/>
  <c r="B433" i="11"/>
  <c r="B434" i="11" l="1"/>
  <c r="I435" i="11"/>
  <c r="B435" i="11" l="1"/>
  <c r="I436" i="11"/>
  <c r="B436" i="11" l="1"/>
  <c r="I437" i="11"/>
  <c r="B437" i="11" l="1"/>
  <c r="I438" i="11"/>
  <c r="I439" i="11" l="1"/>
  <c r="B438" i="11"/>
  <c r="B439" i="11" l="1"/>
  <c r="I440" i="11"/>
  <c r="I441" i="11" l="1"/>
  <c r="B440" i="11"/>
  <c r="I442" i="11" l="1"/>
  <c r="B441" i="11"/>
  <c r="I443" i="11" l="1"/>
  <c r="B442" i="11"/>
  <c r="I444" i="11" l="1"/>
  <c r="B443" i="11"/>
  <c r="B444" i="11" l="1"/>
  <c r="I445" i="11"/>
  <c r="I446" i="11" l="1"/>
  <c r="B445" i="11"/>
  <c r="I447" i="11" l="1"/>
  <c r="B446" i="11"/>
  <c r="I448" i="11" l="1"/>
  <c r="B447" i="11"/>
  <c r="B448" i="11" l="1"/>
  <c r="I449" i="11"/>
  <c r="B449" i="11" l="1"/>
  <c r="I450" i="11"/>
  <c r="I451" i="11" l="1"/>
  <c r="B450" i="11"/>
  <c r="B451" i="11" l="1"/>
  <c r="I452" i="11"/>
  <c r="I453" i="11" l="1"/>
  <c r="B452" i="11"/>
  <c r="I454" i="11" l="1"/>
  <c r="B453" i="11"/>
  <c r="B454" i="11" l="1"/>
  <c r="I455" i="11"/>
  <c r="I456" i="11" l="1"/>
  <c r="B455" i="11"/>
  <c r="B456" i="11" l="1"/>
  <c r="I457" i="11"/>
  <c r="I458" i="11" l="1"/>
  <c r="B457" i="11"/>
  <c r="B458" i="11" l="1"/>
  <c r="I459" i="11"/>
  <c r="I460" i="11" l="1"/>
  <c r="B459" i="11"/>
  <c r="B460" i="11" l="1"/>
  <c r="I461" i="11"/>
  <c r="I462" i="11" l="1"/>
  <c r="B461" i="11"/>
  <c r="B462" i="11" l="1"/>
  <c r="I463" i="11"/>
  <c r="B463" i="11" l="1"/>
  <c r="I464" i="11"/>
  <c r="B464" i="11" l="1"/>
  <c r="I465" i="11"/>
  <c r="B465" i="11" l="1"/>
  <c r="I466" i="11"/>
  <c r="B466" i="11" l="1"/>
  <c r="I467" i="11"/>
  <c r="I468" i="11" l="1"/>
  <c r="B467" i="11"/>
  <c r="B468" i="11" l="1"/>
  <c r="I469" i="11"/>
  <c r="B469" i="11" l="1"/>
  <c r="I470" i="11"/>
  <c r="B470" i="11" l="1"/>
  <c r="I471" i="11"/>
  <c r="B471" i="11" l="1"/>
  <c r="I472" i="11"/>
  <c r="B472" i="11" l="1"/>
  <c r="I473" i="11"/>
  <c r="I474" i="11" l="1"/>
  <c r="B473" i="11"/>
  <c r="I475" i="11" l="1"/>
  <c r="B474" i="11"/>
  <c r="I476" i="11" l="1"/>
  <c r="B475" i="11"/>
  <c r="B476" i="11" l="1"/>
  <c r="I477" i="11"/>
  <c r="I478" i="11" l="1"/>
  <c r="B477" i="11"/>
  <c r="I479" i="11" l="1"/>
  <c r="B478" i="11"/>
  <c r="I480" i="11" l="1"/>
  <c r="B479" i="11"/>
  <c r="B480" i="11" l="1"/>
  <c r="I481" i="11"/>
  <c r="I482" i="11" l="1"/>
  <c r="B481" i="11"/>
  <c r="B482" i="11" l="1"/>
  <c r="I483" i="11"/>
  <c r="I484" i="11" l="1"/>
  <c r="B483" i="11"/>
  <c r="I485" i="11" l="1"/>
  <c r="B484" i="11"/>
  <c r="I486" i="11" l="1"/>
  <c r="B485" i="11"/>
  <c r="I487" i="11" l="1"/>
  <c r="B486" i="11"/>
  <c r="I488" i="11" l="1"/>
  <c r="B487" i="11"/>
  <c r="I489" i="11" l="1"/>
  <c r="B488" i="11"/>
  <c r="B489" i="11" l="1"/>
  <c r="I490" i="11"/>
  <c r="B490" i="11" l="1"/>
  <c r="I491" i="11"/>
  <c r="I492" i="11" l="1"/>
  <c r="B491" i="11"/>
  <c r="I493" i="11" l="1"/>
  <c r="B492" i="11"/>
  <c r="I494" i="11" l="1"/>
  <c r="B493" i="11"/>
  <c r="I495" i="11" l="1"/>
  <c r="B494" i="11"/>
  <c r="I496" i="11" l="1"/>
  <c r="B495" i="11"/>
  <c r="B496" i="11" l="1"/>
  <c r="I497" i="11"/>
  <c r="I498" i="11" l="1"/>
  <c r="B497" i="11"/>
  <c r="I499" i="11" l="1"/>
  <c r="B498" i="11"/>
  <c r="I500" i="11" l="1"/>
  <c r="B499" i="11"/>
  <c r="I501" i="11" l="1"/>
  <c r="B500" i="11"/>
  <c r="B501" i="11" l="1"/>
  <c r="I502" i="11"/>
  <c r="I503" i="11" s="1"/>
  <c r="B503" i="11" l="1"/>
  <c r="I504" i="11"/>
  <c r="B502" i="11"/>
  <c r="B504" i="11" l="1"/>
  <c r="I505" i="11"/>
  <c r="B505" i="11" l="1"/>
  <c r="I506" i="11"/>
  <c r="B506" i="11" l="1"/>
  <c r="I507" i="11"/>
  <c r="B507" i="11" l="1"/>
  <c r="I508" i="11"/>
  <c r="B508" i="11" l="1"/>
  <c r="I509" i="11"/>
  <c r="B509" i="11" l="1"/>
  <c r="I510" i="11"/>
  <c r="I511" i="11" l="1"/>
  <c r="B510" i="11"/>
  <c r="B511" i="11" l="1"/>
  <c r="I512" i="11"/>
  <c r="I513" i="11" l="1"/>
  <c r="B512" i="11"/>
  <c r="B513" i="11" l="1"/>
  <c r="I514" i="11"/>
  <c r="I515" i="11" l="1"/>
  <c r="B514" i="11"/>
  <c r="I516" i="11" l="1"/>
  <c r="B515" i="11"/>
  <c r="B516" i="11" l="1"/>
  <c r="I517" i="11"/>
  <c r="B517" i="11" l="1"/>
  <c r="I518" i="11"/>
  <c r="B518" i="11" l="1"/>
  <c r="I519" i="11"/>
  <c r="I520" i="11" l="1"/>
  <c r="B519" i="11"/>
  <c r="B520" i="11" l="1"/>
  <c r="I521" i="11"/>
  <c r="I522" i="11" l="1"/>
  <c r="B521" i="11"/>
  <c r="I523" i="11" l="1"/>
  <c r="B522" i="11"/>
  <c r="I524" i="11" l="1"/>
  <c r="B523" i="11"/>
  <c r="B524" i="11" l="1"/>
  <c r="I525" i="11"/>
  <c r="I526" i="11" l="1"/>
  <c r="B525" i="11"/>
  <c r="I527" i="11" l="1"/>
  <c r="B526" i="11"/>
  <c r="I528" i="11" l="1"/>
  <c r="B527" i="11"/>
  <c r="B528" i="11" l="1"/>
  <c r="I529" i="11"/>
  <c r="B529" i="11" l="1"/>
  <c r="I530" i="11"/>
  <c r="I531" i="11" l="1"/>
  <c r="B530" i="11"/>
  <c r="I532" i="11" l="1"/>
  <c r="B531" i="11"/>
  <c r="I533" i="11" l="1"/>
  <c r="B532" i="11"/>
  <c r="I534" i="11" l="1"/>
  <c r="B533" i="11"/>
  <c r="I535" i="11" l="1"/>
  <c r="B534" i="11"/>
  <c r="B535" i="11" l="1"/>
  <c r="I536" i="11"/>
  <c r="I537" i="11" l="1"/>
  <c r="B536" i="11"/>
  <c r="I538" i="11" l="1"/>
  <c r="B537" i="11"/>
  <c r="I539" i="11" l="1"/>
  <c r="B538" i="11"/>
  <c r="I540" i="11" l="1"/>
  <c r="B539" i="11"/>
  <c r="I541" i="11" l="1"/>
  <c r="B540" i="11"/>
  <c r="I542" i="11" l="1"/>
  <c r="B541" i="11"/>
  <c r="B542" i="11" l="1"/>
  <c r="I543" i="11"/>
  <c r="I544" i="11" l="1"/>
  <c r="B543" i="11"/>
  <c r="B544" i="11" l="1"/>
  <c r="I545" i="11"/>
  <c r="B545" i="11" l="1"/>
  <c r="I546" i="11"/>
  <c r="B546" i="11" l="1"/>
  <c r="I547" i="11"/>
  <c r="I548" i="11" l="1"/>
  <c r="B547" i="11"/>
  <c r="I549" i="11" l="1"/>
  <c r="B548" i="11"/>
  <c r="B549" i="11" l="1"/>
  <c r="I550" i="11"/>
  <c r="I551" i="11" l="1"/>
  <c r="B550" i="11"/>
  <c r="I552" i="11" l="1"/>
  <c r="B551" i="11"/>
  <c r="B552" i="11" l="1"/>
  <c r="I553" i="11"/>
  <c r="B553" i="11" l="1"/>
  <c r="I554" i="11"/>
  <c r="I555" i="11" l="1"/>
  <c r="B554" i="11"/>
  <c r="B555" i="11" l="1"/>
  <c r="I556" i="11"/>
  <c r="B556" i="11" l="1"/>
  <c r="I557" i="11"/>
  <c r="B557" i="11" l="1"/>
  <c r="I558" i="11"/>
  <c r="I559" i="11" l="1"/>
  <c r="B558" i="11"/>
  <c r="B559" i="11" l="1"/>
  <c r="I560" i="11"/>
  <c r="B560" i="11" l="1"/>
  <c r="I561" i="11"/>
  <c r="I562" i="11" l="1"/>
  <c r="B561" i="11"/>
  <c r="B562" i="11" l="1"/>
  <c r="I563" i="11"/>
  <c r="B563" i="11" l="1"/>
  <c r="I564" i="11"/>
  <c r="B564" i="11" l="1"/>
  <c r="I565" i="11"/>
  <c r="B565" i="11" l="1"/>
  <c r="I566" i="11"/>
  <c r="I567" i="11" l="1"/>
  <c r="B566" i="11"/>
  <c r="I568" i="11" l="1"/>
  <c r="B567" i="11"/>
  <c r="B568" i="11" l="1"/>
  <c r="I569" i="11"/>
  <c r="I570" i="11" l="1"/>
  <c r="B569" i="11"/>
  <c r="I571" i="11" l="1"/>
  <c r="B570" i="11"/>
  <c r="B571" i="11" l="1"/>
  <c r="I572" i="11"/>
  <c r="B572" i="11" l="1"/>
  <c r="I573" i="11"/>
  <c r="B573" i="11" l="1"/>
  <c r="I574" i="11"/>
  <c r="B574" i="11" l="1"/>
  <c r="I575" i="11"/>
  <c r="B575" i="11" l="1"/>
  <c r="I576" i="11"/>
  <c r="B576" i="11" l="1"/>
  <c r="I577" i="11"/>
  <c r="I578" i="11" l="1"/>
  <c r="B577" i="11"/>
  <c r="B578" i="11" l="1"/>
  <c r="I579" i="11"/>
  <c r="B579" i="11" l="1"/>
  <c r="I580" i="11"/>
  <c r="I581" i="11" l="1"/>
  <c r="B580" i="11"/>
  <c r="B581" i="11" l="1"/>
  <c r="I582" i="11"/>
  <c r="I583" i="11" l="1"/>
  <c r="B582" i="11"/>
  <c r="I584" i="11" l="1"/>
  <c r="B583" i="11"/>
  <c r="B584" i="11" l="1"/>
  <c r="I585" i="11"/>
  <c r="I586" i="11" l="1"/>
  <c r="B585" i="11"/>
  <c r="I587" i="11" l="1"/>
  <c r="B586" i="11"/>
  <c r="I588" i="11" l="1"/>
  <c r="B587" i="11"/>
  <c r="I589" i="11" l="1"/>
  <c r="B588" i="11"/>
  <c r="B589" i="11" l="1"/>
  <c r="I590" i="11"/>
  <c r="B590" i="11" l="1"/>
  <c r="I591" i="11"/>
  <c r="I592" i="11" l="1"/>
  <c r="B591" i="11"/>
  <c r="B592" i="11" l="1"/>
  <c r="I593" i="11"/>
  <c r="I594" i="11" l="1"/>
  <c r="B593" i="11"/>
  <c r="I595" i="11" l="1"/>
  <c r="B594" i="11"/>
  <c r="I596" i="11" l="1"/>
  <c r="B595" i="11"/>
  <c r="I597" i="11" l="1"/>
  <c r="B596" i="11"/>
  <c r="I598" i="11" l="1"/>
  <c r="B597" i="11"/>
  <c r="B598" i="11" l="1"/>
  <c r="I599" i="11"/>
  <c r="I600" i="11" l="1"/>
  <c r="B599" i="11"/>
  <c r="I601" i="11" l="1"/>
  <c r="B600" i="11"/>
  <c r="B601" i="11" l="1"/>
  <c r="I602" i="11"/>
  <c r="B602" i="11" l="1"/>
  <c r="I603" i="11"/>
  <c r="I604" i="11" l="1"/>
  <c r="B603" i="11"/>
  <c r="B604" i="11" l="1"/>
  <c r="I605" i="11"/>
  <c r="I606" i="11" l="1"/>
  <c r="B605" i="11"/>
  <c r="B606" i="11" l="1"/>
  <c r="I607" i="11"/>
  <c r="B607" i="11" l="1"/>
  <c r="I608" i="11"/>
  <c r="B608" i="11" l="1"/>
  <c r="I609" i="11"/>
  <c r="I610" i="11" l="1"/>
  <c r="B609" i="11"/>
  <c r="B610" i="11" l="1"/>
  <c r="I611" i="11"/>
  <c r="B611" i="11" l="1"/>
  <c r="I612" i="11"/>
  <c r="B612" i="11" l="1"/>
  <c r="I613" i="11"/>
  <c r="I614" i="11" l="1"/>
  <c r="B613" i="11"/>
  <c r="I615" i="11" l="1"/>
  <c r="B614" i="11"/>
  <c r="I616" i="11" l="1"/>
  <c r="B615" i="11"/>
  <c r="I617" i="11" l="1"/>
  <c r="B616" i="11"/>
  <c r="B617" i="11" l="1"/>
  <c r="I618" i="11"/>
  <c r="B618" i="11" l="1"/>
  <c r="I619" i="11"/>
  <c r="B619" i="11" l="1"/>
  <c r="I620" i="11"/>
  <c r="B620" i="11" l="1"/>
  <c r="I621" i="11"/>
  <c r="I622" i="11" l="1"/>
  <c r="B621" i="11"/>
  <c r="B622" i="11" l="1"/>
  <c r="I623" i="11"/>
  <c r="B623" i="11" l="1"/>
  <c r="I624" i="11"/>
  <c r="I625" i="11" l="1"/>
  <c r="B624" i="11"/>
  <c r="I626" i="11" l="1"/>
  <c r="B625" i="11"/>
  <c r="B626" i="11" l="1"/>
  <c r="I627" i="11"/>
  <c r="I628" i="11" l="1"/>
  <c r="B627" i="11"/>
  <c r="B628" i="11" l="1"/>
  <c r="I629" i="11"/>
  <c r="I630" i="11" l="1"/>
  <c r="B629" i="11"/>
  <c r="I631" i="11" l="1"/>
  <c r="B630" i="11"/>
  <c r="I632" i="11" l="1"/>
  <c r="B631" i="11"/>
  <c r="B632" i="11" l="1"/>
  <c r="I633" i="11"/>
  <c r="I634" i="11" l="1"/>
  <c r="B633" i="11"/>
  <c r="B634" i="11" l="1"/>
  <c r="I635" i="11"/>
  <c r="I636" i="11" l="1"/>
  <c r="B635" i="11"/>
  <c r="I637" i="11" l="1"/>
  <c r="B636" i="11"/>
  <c r="B637" i="11" l="1"/>
  <c r="I638" i="11"/>
  <c r="B638" i="11" l="1"/>
  <c r="I639" i="11"/>
  <c r="I640" i="11" l="1"/>
  <c r="B639" i="11"/>
  <c r="I641" i="11" l="1"/>
  <c r="B640" i="11"/>
  <c r="I642" i="11" l="1"/>
  <c r="B641" i="11"/>
  <c r="I643" i="11" l="1"/>
  <c r="B642" i="11"/>
  <c r="I644" i="11" l="1"/>
  <c r="B643" i="11"/>
  <c r="I645" i="11" l="1"/>
  <c r="B644" i="11"/>
  <c r="B645" i="11" l="1"/>
  <c r="I646" i="11"/>
  <c r="I647" i="11" l="1"/>
  <c r="B646" i="11"/>
  <c r="B647" i="11" l="1"/>
  <c r="I648" i="11"/>
  <c r="I649" i="11" l="1"/>
  <c r="B648" i="11"/>
  <c r="I650" i="11" l="1"/>
  <c r="B649" i="11"/>
  <c r="B650" i="11" l="1"/>
  <c r="I651" i="11"/>
  <c r="I652" i="11" l="1"/>
  <c r="B651" i="11"/>
  <c r="I653" i="11" l="1"/>
  <c r="B652" i="11"/>
  <c r="B653" i="11" l="1"/>
  <c r="I654" i="11"/>
  <c r="I655" i="11" l="1"/>
  <c r="B654" i="11"/>
  <c r="B655" i="11" l="1"/>
  <c r="I656" i="11"/>
  <c r="B656" i="11" l="1"/>
  <c r="I657" i="11"/>
  <c r="I658" i="11" l="1"/>
  <c r="B657" i="11"/>
  <c r="I659" i="11" l="1"/>
  <c r="B658" i="11"/>
  <c r="B659" i="11" l="1"/>
  <c r="I660" i="11"/>
  <c r="B660" i="11" l="1"/>
  <c r="I661" i="11"/>
  <c r="B661" i="11" l="1"/>
  <c r="I662" i="11"/>
  <c r="B662" i="11" l="1"/>
  <c r="I663" i="11"/>
  <c r="I664" i="11" l="1"/>
  <c r="B663" i="11"/>
  <c r="B664" i="11" l="1"/>
  <c r="I665" i="11"/>
  <c r="I666" i="11" l="1"/>
  <c r="B665" i="11"/>
  <c r="B666" i="11" l="1"/>
  <c r="I667" i="11"/>
  <c r="B667" i="11" l="1"/>
  <c r="I668" i="11"/>
  <c r="B668" i="11" l="1"/>
  <c r="I669" i="11"/>
  <c r="I670" i="11" l="1"/>
  <c r="B669" i="11"/>
  <c r="B670" i="11" l="1"/>
  <c r="I671" i="11"/>
  <c r="I672" i="11" l="1"/>
  <c r="B671" i="11"/>
  <c r="I673" i="11" l="1"/>
  <c r="B672" i="11"/>
  <c r="B673" i="11" l="1"/>
  <c r="I674" i="11"/>
  <c r="I675" i="11" l="1"/>
  <c r="B674" i="11"/>
  <c r="I676" i="11" l="1"/>
  <c r="B675" i="11"/>
  <c r="B676" i="11" l="1"/>
  <c r="I677" i="11"/>
  <c r="B677" i="11" l="1"/>
  <c r="I678" i="11"/>
  <c r="B678" i="11" l="1"/>
  <c r="I679" i="11"/>
  <c r="I680" i="11" l="1"/>
  <c r="B679" i="11"/>
  <c r="B680" i="11" l="1"/>
  <c r="I681" i="11"/>
  <c r="B681" i="11" l="1"/>
  <c r="I682" i="11"/>
  <c r="B682" i="11" l="1"/>
  <c r="I683" i="11"/>
  <c r="I684" i="11" l="1"/>
  <c r="B683" i="11"/>
  <c r="I685" i="11" l="1"/>
  <c r="B684" i="11"/>
  <c r="I686" i="11" l="1"/>
  <c r="B685" i="11"/>
  <c r="I687" i="11" l="1"/>
  <c r="B686" i="11"/>
  <c r="I688" i="11" l="1"/>
  <c r="B687" i="11"/>
  <c r="I689" i="11" l="1"/>
  <c r="B688" i="11"/>
  <c r="B689" i="11" l="1"/>
  <c r="I690" i="11"/>
  <c r="I691" i="11" l="1"/>
  <c r="B690" i="11"/>
  <c r="I692" i="11" l="1"/>
  <c r="B691" i="11"/>
  <c r="I693" i="11" l="1"/>
  <c r="B692" i="11"/>
  <c r="I694" i="11" l="1"/>
  <c r="B693" i="11"/>
  <c r="I695" i="11" l="1"/>
  <c r="B694" i="11"/>
  <c r="I696" i="11" l="1"/>
  <c r="B695" i="11"/>
  <c r="I697" i="11" l="1"/>
  <c r="B696" i="11"/>
  <c r="I698" i="11" l="1"/>
  <c r="B697" i="11"/>
  <c r="I699" i="11" l="1"/>
  <c r="B698" i="11"/>
  <c r="B699" i="11" l="1"/>
  <c r="I700" i="11"/>
  <c r="B700" i="11" l="1"/>
  <c r="I701" i="11"/>
  <c r="I702" i="11" l="1"/>
  <c r="B701" i="11"/>
  <c r="B702" i="11" l="1"/>
  <c r="I703" i="11"/>
  <c r="I704" i="11" l="1"/>
  <c r="B703" i="11"/>
  <c r="I705" i="11" l="1"/>
  <c r="B704" i="11"/>
  <c r="I706" i="11" l="1"/>
  <c r="B705" i="11"/>
  <c r="I707" i="11" l="1"/>
  <c r="B706" i="11"/>
  <c r="I708" i="11" l="1"/>
  <c r="B707" i="11"/>
  <c r="B708" i="11" l="1"/>
  <c r="I709" i="11"/>
  <c r="B709" i="11" s="1"/>
</calcChain>
</file>

<file path=xl/sharedStrings.xml><?xml version="1.0" encoding="utf-8"?>
<sst xmlns="http://schemas.openxmlformats.org/spreadsheetml/2006/main" count="1756" uniqueCount="289">
  <si>
    <t xml:space="preserve">Installation Date : </t>
  </si>
  <si>
    <t>Project Name :</t>
  </si>
  <si>
    <t xml:space="preserve">Item : </t>
  </si>
  <si>
    <t>PVD Machine No :</t>
  </si>
  <si>
    <t xml:space="preserve">Operator : </t>
  </si>
  <si>
    <t>** Construction Status **</t>
  </si>
  <si>
    <t xml:space="preserve"> Time_Start
(3)</t>
  </si>
  <si>
    <t>Time_End
(4)</t>
  </si>
  <si>
    <t>Result
(10)</t>
  </si>
  <si>
    <t>Hole No.
(1)</t>
  </si>
  <si>
    <t xml:space="preserve">  Hole Code
(2)</t>
  </si>
  <si>
    <t xml:space="preserve">Design (m)
(5) </t>
  </si>
  <si>
    <t>Actual (m)
(6)</t>
  </si>
  <si>
    <t>Tổng chiều sâu cài đặt
The Total Install depth (m)</t>
  </si>
  <si>
    <t>Tổng cọc
Number of Install hole</t>
  </si>
  <si>
    <t>Tổng cọc đạt
Number of hole "S"</t>
  </si>
  <si>
    <t>Tổng cọc không đạt
Number of hole "X"</t>
  </si>
  <si>
    <t>Chiều sâu cọc lơn nhất
Max depth (m)</t>
  </si>
  <si>
    <t>Chiều sâu cọc nhỏ nhất
Min depth(m)</t>
  </si>
  <si>
    <t>Timming
H:M:S</t>
  </si>
  <si>
    <t>Pressure No.</t>
  </si>
  <si>
    <t>Distant (m)</t>
  </si>
  <si>
    <t>0</t>
  </si>
  <si>
    <t xml:space="preserve">PVD INSTALLATION RECORDER PROGRAME </t>
  </si>
  <si>
    <t>PVD Recorder</t>
  </si>
  <si>
    <t>(2,1)</t>
  </si>
  <si>
    <t>S</t>
  </si>
  <si>
    <t>(3,1)</t>
  </si>
  <si>
    <t>(4,1)</t>
  </si>
  <si>
    <t>(5,1)</t>
  </si>
  <si>
    <t>(6,1)</t>
  </si>
  <si>
    <t>(7,1)</t>
  </si>
  <si>
    <t>(8,1)</t>
  </si>
  <si>
    <t>(9,1)</t>
  </si>
  <si>
    <t>(10,1)</t>
  </si>
  <si>
    <t>(10,2)</t>
  </si>
  <si>
    <t>(9,2)</t>
  </si>
  <si>
    <t>(8,2)</t>
  </si>
  <si>
    <t>(7,2)</t>
  </si>
  <si>
    <t>(6,2)</t>
  </si>
  <si>
    <t>(5,2)</t>
  </si>
  <si>
    <t>(4,2)</t>
  </si>
  <si>
    <t>(3,2)</t>
  </si>
  <si>
    <t>(2,2)</t>
  </si>
  <si>
    <t>(1,2)</t>
  </si>
  <si>
    <t>(1,3)</t>
  </si>
  <si>
    <t>(2,3)</t>
  </si>
  <si>
    <t>(4,3)</t>
  </si>
  <si>
    <t>(5,3)</t>
  </si>
  <si>
    <t>(6,3)</t>
  </si>
  <si>
    <t>(7,3)</t>
  </si>
  <si>
    <t>(8,3)</t>
  </si>
  <si>
    <t>(9,3)</t>
  </si>
  <si>
    <t>(10,3)</t>
  </si>
  <si>
    <t>(10,4)</t>
  </si>
  <si>
    <t>(9,4)</t>
  </si>
  <si>
    <t>(8,4)</t>
  </si>
  <si>
    <t>(7,4)</t>
  </si>
  <si>
    <t>(6,4)</t>
  </si>
  <si>
    <t>(5,4)</t>
  </si>
  <si>
    <t>(4,4)</t>
  </si>
  <si>
    <t>(3,4)</t>
  </si>
  <si>
    <t>(2,4)</t>
  </si>
  <si>
    <t>(1,4)</t>
  </si>
  <si>
    <t>(1,5)</t>
  </si>
  <si>
    <t>(2,5)</t>
  </si>
  <si>
    <t>(3,5)</t>
  </si>
  <si>
    <t>(4,5)</t>
  </si>
  <si>
    <t>(5,5)</t>
  </si>
  <si>
    <t>(6,5)</t>
  </si>
  <si>
    <t>(7,5)</t>
  </si>
  <si>
    <t>(8,5)</t>
  </si>
  <si>
    <t>(9,5)</t>
  </si>
  <si>
    <t>(10,5)</t>
  </si>
  <si>
    <t>(10,6)</t>
  </si>
  <si>
    <t>(9,6)</t>
  </si>
  <si>
    <t>(8,6)</t>
  </si>
  <si>
    <t>(7,6)</t>
  </si>
  <si>
    <t>(6,6)</t>
  </si>
  <si>
    <t>(5,6)</t>
  </si>
  <si>
    <t>(4,6)</t>
  </si>
  <si>
    <t>(3,6)</t>
  </si>
  <si>
    <t>(2,6)</t>
  </si>
  <si>
    <t>(1,6)</t>
  </si>
  <si>
    <t>(1,7)</t>
  </si>
  <si>
    <t>(2,7)</t>
  </si>
  <si>
    <t>(3,7)</t>
  </si>
  <si>
    <t>(4,7)</t>
  </si>
  <si>
    <t>(5,7)</t>
  </si>
  <si>
    <t>(6,7)</t>
  </si>
  <si>
    <t>(7,7)</t>
  </si>
  <si>
    <t>(8,7)</t>
  </si>
  <si>
    <t>(9,7)</t>
  </si>
  <si>
    <t>(10,7)</t>
  </si>
  <si>
    <t>(10,8)</t>
  </si>
  <si>
    <t>(9,8)</t>
  </si>
  <si>
    <t>(8,8)</t>
  </si>
  <si>
    <t>(7,8)</t>
  </si>
  <si>
    <t>(6,8)</t>
  </si>
  <si>
    <t>(5,8)</t>
  </si>
  <si>
    <t>(4,8)</t>
  </si>
  <si>
    <t>(3,8)</t>
  </si>
  <si>
    <t>(2,8)</t>
  </si>
  <si>
    <t>(1,8)</t>
  </si>
  <si>
    <t>(1,9)</t>
  </si>
  <si>
    <t>(2,9)</t>
  </si>
  <si>
    <t>(3,9)</t>
  </si>
  <si>
    <t>(4,9)</t>
  </si>
  <si>
    <t>(5,9)</t>
  </si>
  <si>
    <t>(6,9)</t>
  </si>
  <si>
    <t>(7,9)</t>
  </si>
  <si>
    <t>(9,9)</t>
  </si>
  <si>
    <t>(10,9)</t>
  </si>
  <si>
    <t>(10,10)</t>
  </si>
  <si>
    <t>(9,10)</t>
  </si>
  <si>
    <t>(8,10)</t>
  </si>
  <si>
    <t>(7,10)</t>
  </si>
  <si>
    <t>(6,10)</t>
  </si>
  <si>
    <t>(5,10)</t>
  </si>
  <si>
    <t>(4,10)</t>
  </si>
  <si>
    <t>(3,10)</t>
  </si>
  <si>
    <t>(2,10)</t>
  </si>
  <si>
    <t>(1,10)</t>
  </si>
  <si>
    <t>(1,11)</t>
  </si>
  <si>
    <t>(2,11)</t>
  </si>
  <si>
    <t>(3,11)</t>
  </si>
  <si>
    <t>(4,11)</t>
  </si>
  <si>
    <t>(5,11)</t>
  </si>
  <si>
    <t>(6,11)</t>
  </si>
  <si>
    <t>(7,11)</t>
  </si>
  <si>
    <t>(8,11)</t>
  </si>
  <si>
    <t>(9,11)</t>
  </si>
  <si>
    <t>(10,11)</t>
  </si>
  <si>
    <t>(10,12)</t>
  </si>
  <si>
    <t>(9,12)</t>
  </si>
  <si>
    <t>(8,12)</t>
  </si>
  <si>
    <t>(7,12)</t>
  </si>
  <si>
    <t>(6,12)</t>
  </si>
  <si>
    <t>(5,12)</t>
  </si>
  <si>
    <t>(4,12)</t>
  </si>
  <si>
    <t>(3,12)</t>
  </si>
  <si>
    <t>(2,12)</t>
  </si>
  <si>
    <t>(1,12)</t>
  </si>
  <si>
    <t>(2,13)</t>
  </si>
  <si>
    <t>(3,13)</t>
  </si>
  <si>
    <t>(4,13)</t>
  </si>
  <si>
    <t>(5,13)</t>
  </si>
  <si>
    <t>(6,13)</t>
  </si>
  <si>
    <t>(7,13)</t>
  </si>
  <si>
    <t>(8,13)</t>
  </si>
  <si>
    <t>(9,13)</t>
  </si>
  <si>
    <t>(10,13)</t>
  </si>
  <si>
    <t>(10,14)</t>
  </si>
  <si>
    <t>(9,14)</t>
  </si>
  <si>
    <t>(8,14)</t>
  </si>
  <si>
    <t>(7,14)</t>
  </si>
  <si>
    <t>(6,14)</t>
  </si>
  <si>
    <t>(5,14)</t>
  </si>
  <si>
    <t>(4,14)</t>
  </si>
  <si>
    <t>(3,14)</t>
  </si>
  <si>
    <t>(2,14)</t>
  </si>
  <si>
    <t>(1,14)</t>
  </si>
  <si>
    <t>(1,15)</t>
  </si>
  <si>
    <t>(2,15)</t>
  </si>
  <si>
    <t>(3,15)</t>
  </si>
  <si>
    <t>(4,15)</t>
  </si>
  <si>
    <t>(5,15)</t>
  </si>
  <si>
    <t>(6,15)</t>
  </si>
  <si>
    <t>(7,15)</t>
  </si>
  <si>
    <t>(8,15)</t>
  </si>
  <si>
    <t>(9,15)</t>
  </si>
  <si>
    <t>(10,15)</t>
  </si>
  <si>
    <t>(10,16)</t>
  </si>
  <si>
    <t>(9,16)</t>
  </si>
  <si>
    <t>(8,16)</t>
  </si>
  <si>
    <t>(7,16)</t>
  </si>
  <si>
    <t>(6,16)</t>
  </si>
  <si>
    <t>(5,16)</t>
  </si>
  <si>
    <t>(3,16)</t>
  </si>
  <si>
    <t>(2,16)</t>
  </si>
  <si>
    <t>(1,16)</t>
  </si>
  <si>
    <t>(1,17)</t>
  </si>
  <si>
    <t>(2,17)</t>
  </si>
  <si>
    <t>(3,17)</t>
  </si>
  <si>
    <t>(4,17)</t>
  </si>
  <si>
    <t>(5,17)</t>
  </si>
  <si>
    <t>(6,17)</t>
  </si>
  <si>
    <t>(7,17)</t>
  </si>
  <si>
    <t>(9,17)</t>
  </si>
  <si>
    <t>(10,17)</t>
  </si>
  <si>
    <t>(9,18)</t>
  </si>
  <si>
    <t>(8,18)</t>
  </si>
  <si>
    <t>(7,18)</t>
  </si>
  <si>
    <t>(5,18)</t>
  </si>
  <si>
    <t>(4,18)</t>
  </si>
  <si>
    <t>(3,18)</t>
  </si>
  <si>
    <t>(1,18)</t>
  </si>
  <si>
    <t>(1,19)</t>
  </si>
  <si>
    <t>(2,19)</t>
  </si>
  <si>
    <t>(3,19)</t>
  </si>
  <si>
    <t>(4,19)</t>
  </si>
  <si>
    <t>(1,1)</t>
  </si>
  <si>
    <t>CONSTRUCTOR/ NHÀ THẦU</t>
  </si>
  <si>
    <t>CONSULTANT/ TƯ VẤN GIÁM SÁT</t>
  </si>
  <si>
    <t>Kỹ sư đường bộ/ Road Engineer</t>
  </si>
  <si>
    <t>Construction Site Engineer/ Giám sát đường</t>
  </si>
  <si>
    <t>(3,3)</t>
  </si>
  <si>
    <t>(8,9)</t>
  </si>
  <si>
    <t>(8,17)</t>
  </si>
  <si>
    <t>(5,19)</t>
  </si>
  <si>
    <t>(6,19)</t>
  </si>
  <si>
    <t>(8,19)</t>
  </si>
  <si>
    <t>(9,19)</t>
  </si>
  <si>
    <t>(10,19)</t>
  </si>
  <si>
    <t>(9,20)</t>
  </si>
  <si>
    <t>(8,20)</t>
  </si>
  <si>
    <t>(7,20)</t>
  </si>
  <si>
    <t>(6,20)</t>
  </si>
  <si>
    <t>(5,20)</t>
  </si>
  <si>
    <t>(4,20)</t>
  </si>
  <si>
    <t>(3,20)</t>
  </si>
  <si>
    <t>(2,20)</t>
  </si>
  <si>
    <t>(1,20)</t>
  </si>
  <si>
    <t>(1,21)</t>
  </si>
  <si>
    <t>(2,21)</t>
  </si>
  <si>
    <t>(3,21)</t>
  </si>
  <si>
    <t>(4,21)</t>
  </si>
  <si>
    <t>(5,21)</t>
  </si>
  <si>
    <t>(6,21)</t>
  </si>
  <si>
    <t>(7,21)</t>
  </si>
  <si>
    <t>(8,21)</t>
  </si>
  <si>
    <t>(9,21)</t>
  </si>
  <si>
    <t>(10,21)</t>
  </si>
  <si>
    <t>(10,22)</t>
  </si>
  <si>
    <t>(9,22)</t>
  </si>
  <si>
    <t>(8,22)</t>
  </si>
  <si>
    <t>(7,22)</t>
  </si>
  <si>
    <t>(6,22)</t>
  </si>
  <si>
    <t>(5,22)</t>
  </si>
  <si>
    <t>(4,22)</t>
  </si>
  <si>
    <t>(3,22)</t>
  </si>
  <si>
    <t>(2,22)</t>
  </si>
  <si>
    <t>Construction of My An – Cao Lanh Expressway Project (Phase 1)</t>
  </si>
  <si>
    <t xml:space="preserve">Work area : </t>
  </si>
  <si>
    <t>Tổng chiều sâu thực tế</t>
  </si>
  <si>
    <t>hung dung gruor</t>
  </si>
  <si>
    <t>nguyen van minh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</si>
  <si>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</si>
  <si>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</si>
  <si>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</si>
  <si>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</si>
  <si>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</si>
  <si>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</si>
  <si>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</si>
  <si>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</si>
  <si>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</si>
  <si>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</si>
  <si>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(11,11)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</si>
  <si>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</si>
  <si>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</si>
  <si>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</si>
  <si>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</si>
  <si>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</si>
  <si>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</si>
  <si>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</si>
  <si>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</si>
  <si>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</si>
  <si>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</si>
  <si>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</si>
  <si>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(1,22)</t>
  </si>
  <si>
    <t>(1,23)</t>
  </si>
  <si>
    <t>(2,23)</t>
  </si>
  <si>
    <t>(3,23)</t>
  </si>
  <si>
    <t>(4,23)</t>
  </si>
  <si>
    <t>(5,23)</t>
  </si>
  <si>
    <t>(6,23)</t>
  </si>
  <si>
    <t>(7,23)</t>
  </si>
  <si>
    <t>(8,23)</t>
  </si>
  <si>
    <t>(9,23)</t>
  </si>
  <si>
    <t>(10,23)</t>
  </si>
  <si>
    <t>(11,23)</t>
  </si>
  <si>
    <t>Nguyễn Phi Thịnh</t>
  </si>
  <si>
    <t>Võ Quốc Triệu Vỹ</t>
  </si>
  <si>
    <t>(10,20)</t>
  </si>
  <si>
    <t>(7,19)</t>
  </si>
  <si>
    <t>(2,18)</t>
  </si>
  <si>
    <t>(6,18)</t>
  </si>
  <si>
    <t>(10,18)</t>
  </si>
  <si>
    <t>Km10+230 - Km10+280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</si>
</sst>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.5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5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4" xfId="0" applyFont="1" applyBorder="1"/>
    <xf numFmtId="0" fontId="3" fillId="0" borderId="3" xfId="0" applyFont="1" applyBorder="1"/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2" fontId="10" fillId="0" borderId="1" xfId="2" applyNumberFormat="1" applyFont="1" applyBorder="1" applyAlignment="1">
      <alignment horizontal="center" vertical="center"/>
    </xf>
  </cellXfs>
  <cellStyles count="3">
    <cellStyle name="Normal" xfId="0" builtinId="0"/>
    <cellStyle name="Normal 11 2" xfId="2" xr:uid="{EFDB6A6F-54E7-4D5D-A25F-398730E81A13}"/>
    <cellStyle name="Normal 2" xfId="1" xr:uid="{6DD15741-6B50-47EC-8C4E-B7FED7B466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8A5F74-53A8-4CA9-9B23-F6F8AAF41435}"/>
            </a:ext>
          </a:extLst>
        </xdr:cNvPr>
        <xdr:cNvSpPr txBox="1"/>
      </xdr:nvSpPr>
      <xdr:spPr>
        <a:xfrm>
          <a:off x="10744352" y="55312"/>
          <a:ext cx="5241774" cy="516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A5328-D8E3-4A0B-96AD-D97FB413FC71}"/>
            </a:ext>
          </a:extLst>
        </xdr:cNvPr>
        <xdr:cNvSpPr txBox="1"/>
      </xdr:nvSpPr>
      <xdr:spPr>
        <a:xfrm>
          <a:off x="11836325" y="716392"/>
          <a:ext cx="3617988" cy="10750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85E033-3A51-4106-92E6-D2BDA8E002AF}"/>
            </a:ext>
          </a:extLst>
        </xdr:cNvPr>
        <xdr:cNvSpPr txBox="1"/>
      </xdr:nvSpPr>
      <xdr:spPr>
        <a:xfrm>
          <a:off x="7356944" y="55312"/>
          <a:ext cx="521256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A97870-3180-40DE-A3D0-C791077236A8}"/>
            </a:ext>
          </a:extLst>
        </xdr:cNvPr>
        <xdr:cNvSpPr txBox="1"/>
      </xdr:nvSpPr>
      <xdr:spPr>
        <a:xfrm>
          <a:off x="842923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DF1978"/>
  <sheetViews>
    <sheetView showZeros="0" view="pageBreakPreview" topLeftCell="A701" zoomScale="85" zoomScaleNormal="100" zoomScaleSheetLayoutView="85" workbookViewId="0">
      <selection activeCell="I15" sqref="I15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9.109375" style="1"/>
  </cols>
  <sheetData>
    <row r="1" spans="1:110" ht="27" customHeight="1" x14ac:dyDescent="0.3">
      <c r="A1" s="35" t="s">
        <v>23</v>
      </c>
      <c r="B1" s="35"/>
      <c r="C1" s="35"/>
      <c r="D1" s="35"/>
      <c r="E1" s="35"/>
      <c r="F1" s="35"/>
      <c r="G1" s="35"/>
      <c r="H1" s="35"/>
    </row>
    <row r="2" spans="1:110" s="5" customFormat="1" ht="24" customHeight="1" x14ac:dyDescent="0.3">
      <c r="A2" s="36" t="s">
        <v>1</v>
      </c>
      <c r="B2" s="3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36" t="s">
        <v>2</v>
      </c>
      <c r="B3" s="3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36" t="s">
        <v>243</v>
      </c>
      <c r="B4" s="3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36" t="s">
        <v>3</v>
      </c>
      <c r="B5" s="3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36" t="s">
        <v>4</v>
      </c>
      <c r="B6" s="3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36" t="s">
        <v>0</v>
      </c>
      <c r="B7" s="36"/>
      <c r="C7" s="8">
        <v>46058</v>
      </c>
      <c r="D7" s="6"/>
      <c r="E7" s="6"/>
      <c r="F7" s="6"/>
      <c r="G7" s="6"/>
      <c r="K7" s="6"/>
    </row>
    <row r="8" spans="1:110" s="5" customFormat="1" ht="15.6" x14ac:dyDescent="0.3">
      <c r="A8" s="37"/>
      <c r="B8" s="3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0.29872685185185183</v>
      </c>
      <c r="D10" s="4">
        <v>0.29886574074074074</v>
      </c>
      <c r="E10" s="2">
        <v>11.629999999999999</v>
      </c>
      <c r="F10" s="2">
        <v>11.739999999999998</v>
      </c>
      <c r="G10" s="1" t="s">
        <v>26</v>
      </c>
      <c r="H10" s="4">
        <f>D10-C10</f>
        <v>1.388888888889106E-4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0.29913194444444446</v>
      </c>
      <c r="D11" s="4">
        <v>0.29929398148148151</v>
      </c>
      <c r="E11" s="2">
        <v>11.629999999999999</v>
      </c>
      <c r="F11" s="2">
        <v>11.77</v>
      </c>
      <c r="G11" s="1" t="s">
        <v>26</v>
      </c>
      <c r="H11" s="4">
        <f t="shared" ref="H11:H74" si="2">D11-C11</f>
        <v>1.6203703703704386E-4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0.29958333333333337</v>
      </c>
      <c r="D12" s="4">
        <v>0.29973379629629632</v>
      </c>
      <c r="E12" s="2">
        <v>11.629999999999999</v>
      </c>
      <c r="F12" s="2">
        <v>11.739999999999998</v>
      </c>
      <c r="G12" s="1" t="s">
        <v>26</v>
      </c>
      <c r="H12" s="4">
        <f t="shared" ref="H12:H75" si="4">D12-C12</f>
        <v>1.5046296296294948E-4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0.29996527777777782</v>
      </c>
      <c r="D13" s="4">
        <v>0.30011574074074077</v>
      </c>
      <c r="E13" s="2">
        <v>11.629999999999999</v>
      </c>
      <c r="F13" s="2">
        <v>11.76</v>
      </c>
      <c r="G13" s="1" t="s">
        <v>26</v>
      </c>
      <c r="H13" s="4">
        <f t="shared" si="4"/>
        <v>1.5046296296294948E-4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0.30039351851851853</v>
      </c>
      <c r="D14" s="4">
        <v>0.30055555555555558</v>
      </c>
      <c r="E14" s="2">
        <v>11.629999999999999</v>
      </c>
      <c r="F14" s="2">
        <v>11.68</v>
      </c>
      <c r="G14" s="1" t="s">
        <v>26</v>
      </c>
      <c r="H14" s="4">
        <f t="shared" si="4"/>
        <v>1.6203703703704386E-4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0.30081018518518521</v>
      </c>
      <c r="D15" s="4">
        <v>0.30097222222222225</v>
      </c>
      <c r="E15" s="2">
        <v>11.629999999999999</v>
      </c>
      <c r="F15" s="2">
        <v>11.709999999999999</v>
      </c>
      <c r="G15" s="1" t="s">
        <v>26</v>
      </c>
      <c r="H15" s="4">
        <f t="shared" si="4"/>
        <v>1.6203703703704386E-4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0.30121527777777779</v>
      </c>
      <c r="D16" s="4">
        <v>0.30137731481481483</v>
      </c>
      <c r="E16" s="2">
        <v>11.629999999999999</v>
      </c>
      <c r="F16" s="2">
        <v>11.77</v>
      </c>
      <c r="G16" s="1" t="s">
        <v>26</v>
      </c>
      <c r="H16" s="4">
        <f t="shared" si="4"/>
        <v>1.6203703703704386E-4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0.30164351851851856</v>
      </c>
      <c r="D17" s="4">
        <v>0.30179398148148151</v>
      </c>
      <c r="E17" s="2">
        <v>11.629999999999999</v>
      </c>
      <c r="F17" s="2">
        <v>11.68</v>
      </c>
      <c r="G17" s="1" t="s">
        <v>26</v>
      </c>
      <c r="H17" s="4">
        <f t="shared" si="4"/>
        <v>1.5046296296294948E-4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0.30202546296296301</v>
      </c>
      <c r="D18" s="4">
        <v>0.30219907407407415</v>
      </c>
      <c r="E18" s="2">
        <v>11.629999999999999</v>
      </c>
      <c r="F18" s="2">
        <v>11.7</v>
      </c>
      <c r="G18" s="1" t="s">
        <v>26</v>
      </c>
      <c r="H18" s="4">
        <f t="shared" si="4"/>
        <v>1.7361111111113825E-4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0.30244212962962969</v>
      </c>
      <c r="D19" s="4">
        <v>0.30261574074074082</v>
      </c>
      <c r="E19" s="2">
        <v>11.629999999999999</v>
      </c>
      <c r="F19" s="2">
        <v>11.77</v>
      </c>
      <c r="G19" s="1" t="s">
        <v>26</v>
      </c>
      <c r="H19" s="4">
        <f t="shared" si="4"/>
        <v>1.7361111111113825E-4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0.30287037037037046</v>
      </c>
      <c r="D20" s="4">
        <v>0.30302083333333341</v>
      </c>
      <c r="E20" s="2">
        <v>11.629999999999999</v>
      </c>
      <c r="F20" s="2">
        <v>11.76</v>
      </c>
      <c r="G20" s="1" t="s">
        <v>26</v>
      </c>
      <c r="H20" s="4">
        <f t="shared" si="4"/>
        <v>1.5046296296294948E-4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0.30327546296296304</v>
      </c>
      <c r="D21" s="4">
        <v>0.30343750000000008</v>
      </c>
      <c r="E21" s="2">
        <v>11.629999999999999</v>
      </c>
      <c r="F21" s="2">
        <v>11.78</v>
      </c>
      <c r="G21" s="1" t="s">
        <v>26</v>
      </c>
      <c r="H21" s="4">
        <f t="shared" si="4"/>
        <v>1.6203703703704386E-4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0.30369212962962971</v>
      </c>
      <c r="D22" s="4">
        <v>0.30385416666666676</v>
      </c>
      <c r="E22" s="2">
        <v>11.629999999999999</v>
      </c>
      <c r="F22" s="2">
        <v>11.7</v>
      </c>
      <c r="G22" s="1" t="s">
        <v>26</v>
      </c>
      <c r="H22" s="4">
        <f t="shared" si="4"/>
        <v>1.6203703703704386E-4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0.3040972222222223</v>
      </c>
      <c r="D23" s="4">
        <v>0.30425925925925934</v>
      </c>
      <c r="E23" s="2">
        <v>11.629999999999999</v>
      </c>
      <c r="F23" s="2">
        <v>11.729999999999999</v>
      </c>
      <c r="G23" s="1" t="s">
        <v>26</v>
      </c>
      <c r="H23" s="4">
        <f t="shared" si="4"/>
        <v>1.6203703703704386E-4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0.30453703703703711</v>
      </c>
      <c r="D24" s="4">
        <v>0.30469907407407415</v>
      </c>
      <c r="E24" s="2">
        <v>11.629999999999999</v>
      </c>
      <c r="F24" s="2">
        <v>11.709999999999999</v>
      </c>
      <c r="G24" s="1" t="s">
        <v>26</v>
      </c>
      <c r="H24" s="4">
        <f t="shared" si="4"/>
        <v>1.6203703703704386E-4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0.30496527777777788</v>
      </c>
      <c r="D25" s="4">
        <v>0.30511574074074083</v>
      </c>
      <c r="E25" s="2">
        <v>11.629999999999999</v>
      </c>
      <c r="F25" s="2">
        <v>11.719999999999999</v>
      </c>
      <c r="G25" s="1" t="s">
        <v>26</v>
      </c>
      <c r="H25" s="4">
        <f t="shared" si="4"/>
        <v>1.5046296296294948E-4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0.30534722222222233</v>
      </c>
      <c r="D26" s="4">
        <v>0.30548611111111124</v>
      </c>
      <c r="E26" s="2">
        <v>11.629999999999999</v>
      </c>
      <c r="F26" s="2">
        <v>11.68</v>
      </c>
      <c r="G26" s="1" t="s">
        <v>26</v>
      </c>
      <c r="H26" s="4">
        <f t="shared" si="4"/>
        <v>1.388888888889106E-4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0.3057754629629631</v>
      </c>
      <c r="D27" s="4">
        <v>0.30592592592592605</v>
      </c>
      <c r="E27" s="2">
        <v>11.629999999999999</v>
      </c>
      <c r="F27" s="2">
        <v>11.77</v>
      </c>
      <c r="G27" s="1" t="s">
        <v>26</v>
      </c>
      <c r="H27" s="4">
        <f t="shared" si="4"/>
        <v>1.5046296296294948E-4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0.30620370370370381</v>
      </c>
      <c r="D28" s="4">
        <v>0.30635416666666676</v>
      </c>
      <c r="E28" s="2">
        <v>11.629999999999999</v>
      </c>
      <c r="F28" s="2">
        <v>11.639999999999999</v>
      </c>
      <c r="G28" s="1" t="s">
        <v>26</v>
      </c>
      <c r="H28" s="4">
        <f t="shared" si="4"/>
        <v>1.5046296296294948E-4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0.30658564814814826</v>
      </c>
      <c r="D29" s="4">
        <v>0.3067476851851853</v>
      </c>
      <c r="E29" s="2">
        <v>11.629999999999999</v>
      </c>
      <c r="F29" s="2">
        <v>11.78</v>
      </c>
      <c r="G29" s="1" t="s">
        <v>26</v>
      </c>
      <c r="H29" s="4">
        <f t="shared" si="4"/>
        <v>1.6203703703704386E-4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0.30700231481481494</v>
      </c>
      <c r="D30" s="4">
        <v>0.30715277777777789</v>
      </c>
      <c r="E30" s="2">
        <v>11.629999999999999</v>
      </c>
      <c r="F30" s="2">
        <v>11.76</v>
      </c>
      <c r="G30" s="1" t="s">
        <v>26</v>
      </c>
      <c r="H30" s="4">
        <f t="shared" si="4"/>
        <v>1.5046296296294948E-4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0.30738425925925938</v>
      </c>
      <c r="D31" s="4">
        <v>0.30754629629629643</v>
      </c>
      <c r="E31" s="2">
        <v>11.629999999999999</v>
      </c>
      <c r="F31" s="2">
        <v>11.69</v>
      </c>
      <c r="G31" s="1" t="s">
        <v>26</v>
      </c>
      <c r="H31" s="4">
        <f t="shared" si="4"/>
        <v>1.6203703703704386E-4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0.30783564814814829</v>
      </c>
      <c r="D32" s="4">
        <v>0.3079745370370372</v>
      </c>
      <c r="E32" s="2">
        <v>11.629999999999999</v>
      </c>
      <c r="F32" s="2">
        <v>11.669999999999998</v>
      </c>
      <c r="G32" s="1" t="s">
        <v>26</v>
      </c>
      <c r="H32" s="4">
        <f t="shared" si="4"/>
        <v>1.388888888889106E-4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0.30821759259259274</v>
      </c>
      <c r="D33" s="4">
        <v>0.30837962962962978</v>
      </c>
      <c r="E33" s="2">
        <v>11.629999999999999</v>
      </c>
      <c r="F33" s="2">
        <v>11.78</v>
      </c>
      <c r="G33" s="1" t="s">
        <v>26</v>
      </c>
      <c r="H33" s="4">
        <f t="shared" si="4"/>
        <v>1.6203703703704386E-4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0.30864583333333351</v>
      </c>
      <c r="D34" s="4">
        <v>0.30879629629629646</v>
      </c>
      <c r="E34" s="2">
        <v>11.629999999999999</v>
      </c>
      <c r="F34" s="2">
        <v>11.659999999999998</v>
      </c>
      <c r="G34" s="1" t="s">
        <v>26</v>
      </c>
      <c r="H34" s="4">
        <f t="shared" si="4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0.30908564814814832</v>
      </c>
      <c r="D35" s="4">
        <v>0.30923611111111127</v>
      </c>
      <c r="E35" s="2">
        <v>11.629999999999999</v>
      </c>
      <c r="F35" s="2">
        <v>11.739999999999998</v>
      </c>
      <c r="G35" s="1" t="s">
        <v>26</v>
      </c>
      <c r="H35" s="4">
        <f t="shared" si="4"/>
        <v>1.5046296296294948E-4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0.30951388888888903</v>
      </c>
      <c r="D36" s="4">
        <v>0.30967592592592608</v>
      </c>
      <c r="E36" s="2">
        <v>11.629999999999999</v>
      </c>
      <c r="F36" s="2">
        <v>11.78</v>
      </c>
      <c r="G36" s="1" t="s">
        <v>26</v>
      </c>
      <c r="H36" s="4">
        <f t="shared" si="4"/>
        <v>1.6203703703704386E-4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0.30996527777777794</v>
      </c>
      <c r="D37" s="4">
        <v>0.31010416666666685</v>
      </c>
      <c r="E37" s="2">
        <v>11.629999999999999</v>
      </c>
      <c r="F37" s="2">
        <v>11.639999999999999</v>
      </c>
      <c r="G37" s="1" t="s">
        <v>26</v>
      </c>
      <c r="H37" s="4">
        <f t="shared" si="4"/>
        <v>1.388888888889106E-4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0.31034722222222239</v>
      </c>
      <c r="D38" s="4">
        <v>0.31052083333333352</v>
      </c>
      <c r="E38" s="2">
        <v>11.629999999999999</v>
      </c>
      <c r="F38" s="2">
        <v>11.68</v>
      </c>
      <c r="G38" s="1" t="s">
        <v>26</v>
      </c>
      <c r="H38" s="4">
        <f t="shared" si="4"/>
        <v>1.7361111111113825E-4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0.31078703703703725</v>
      </c>
      <c r="D39" s="4">
        <v>0.31092592592592616</v>
      </c>
      <c r="E39" s="2">
        <v>11.629999999999999</v>
      </c>
      <c r="F39" s="2">
        <v>11.77</v>
      </c>
      <c r="G39" s="1" t="s">
        <v>26</v>
      </c>
      <c r="H39" s="4">
        <f t="shared" si="4"/>
        <v>1.388888888889106E-4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0.31119212962962989</v>
      </c>
      <c r="D40" s="4">
        <v>0.3113310185185188</v>
      </c>
      <c r="E40" s="2">
        <v>11.629999999999999</v>
      </c>
      <c r="F40" s="2">
        <v>11.719999999999999</v>
      </c>
      <c r="G40" s="1" t="s">
        <v>26</v>
      </c>
      <c r="H40" s="4">
        <f t="shared" si="4"/>
        <v>1.388888888889106E-4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0.31162037037037066</v>
      </c>
      <c r="D41" s="4">
        <v>0.3117939814814818</v>
      </c>
      <c r="E41" s="2">
        <v>11.629999999999999</v>
      </c>
      <c r="F41" s="2">
        <v>11.78</v>
      </c>
      <c r="G41" s="1" t="s">
        <v>26</v>
      </c>
      <c r="H41" s="4">
        <f t="shared" si="4"/>
        <v>1.7361111111113825E-4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0.31204861111111143</v>
      </c>
      <c r="D42" s="4">
        <v>0.31222222222222257</v>
      </c>
      <c r="E42" s="2">
        <v>11.629999999999999</v>
      </c>
      <c r="F42" s="2">
        <v>11.659999999999998</v>
      </c>
      <c r="G42" s="1" t="s">
        <v>26</v>
      </c>
      <c r="H42" s="4">
        <f t="shared" si="4"/>
        <v>1.7361111111113825E-4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0.31251157407407443</v>
      </c>
      <c r="D43" s="4">
        <v>0.31268518518518557</v>
      </c>
      <c r="E43" s="2">
        <v>11.629999999999999</v>
      </c>
      <c r="F43" s="2">
        <v>11.669999999999998</v>
      </c>
      <c r="G43" s="1" t="s">
        <v>26</v>
      </c>
      <c r="H43" s="4">
        <f t="shared" si="4"/>
        <v>1.7361111111113825E-4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0.31295138888888929</v>
      </c>
      <c r="D44" s="4">
        <v>0.31312500000000043</v>
      </c>
      <c r="E44" s="2">
        <v>11.629999999999999</v>
      </c>
      <c r="F44" s="2">
        <v>11.639999999999999</v>
      </c>
      <c r="G44" s="1" t="s">
        <v>26</v>
      </c>
      <c r="H44" s="4">
        <f t="shared" si="4"/>
        <v>1.7361111111113825E-4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0.31337962962963006</v>
      </c>
      <c r="D45" s="4">
        <v>0.31354166666666711</v>
      </c>
      <c r="E45" s="2">
        <v>11.629999999999999</v>
      </c>
      <c r="F45" s="2">
        <v>11.649999999999999</v>
      </c>
      <c r="G45" s="1" t="s">
        <v>26</v>
      </c>
      <c r="H45" s="4">
        <f t="shared" si="4"/>
        <v>1.6203703703704386E-4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0.31383101851851897</v>
      </c>
      <c r="D46" s="4">
        <v>0.31400462962963011</v>
      </c>
      <c r="E46" s="2">
        <v>11.629999999999999</v>
      </c>
      <c r="F46" s="2">
        <v>11.719999999999999</v>
      </c>
      <c r="G46" s="1" t="s">
        <v>26</v>
      </c>
      <c r="H46" s="4">
        <f t="shared" si="4"/>
        <v>1.7361111111113825E-4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0.31425925925925974</v>
      </c>
      <c r="D47" s="4">
        <v>0.31440972222222269</v>
      </c>
      <c r="E47" s="2">
        <v>11.629999999999999</v>
      </c>
      <c r="F47" s="2">
        <v>11.77</v>
      </c>
      <c r="G47" s="1" t="s">
        <v>26</v>
      </c>
      <c r="H47" s="4">
        <f t="shared" si="4"/>
        <v>1.5046296296294948E-4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0.31464120370370419</v>
      </c>
      <c r="D48" s="4">
        <v>0.31481481481481532</v>
      </c>
      <c r="E48" s="2">
        <v>11.629999999999999</v>
      </c>
      <c r="F48" s="2">
        <v>11.649999999999999</v>
      </c>
      <c r="G48" s="1" t="s">
        <v>26</v>
      </c>
      <c r="H48" s="4">
        <f t="shared" si="4"/>
        <v>1.7361111111113825E-4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0.31510416666666718</v>
      </c>
      <c r="D49" s="4">
        <v>0.3152430555555561</v>
      </c>
      <c r="E49" s="2">
        <v>11.629999999999999</v>
      </c>
      <c r="F49" s="2">
        <v>11.669999999999998</v>
      </c>
      <c r="G49" s="1" t="s">
        <v>26</v>
      </c>
      <c r="H49" s="4">
        <f t="shared" si="4"/>
        <v>1.388888888889106E-4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0.31553240740740796</v>
      </c>
      <c r="D50" s="4">
        <v>0.31570601851851909</v>
      </c>
      <c r="E50" s="2">
        <v>11.629999999999999</v>
      </c>
      <c r="F50" s="2">
        <v>11.669999999999998</v>
      </c>
      <c r="G50" s="1" t="s">
        <v>26</v>
      </c>
      <c r="H50" s="4">
        <f t="shared" si="4"/>
        <v>1.7361111111113825E-4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0.31598379629629686</v>
      </c>
      <c r="D51" s="4">
        <v>0.31612268518518577</v>
      </c>
      <c r="E51" s="2">
        <v>11.629999999999999</v>
      </c>
      <c r="F51" s="2">
        <v>11.78</v>
      </c>
      <c r="G51" s="1" t="s">
        <v>26</v>
      </c>
      <c r="H51" s="4">
        <f t="shared" si="4"/>
        <v>1.388888888889106E-4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0.31640046296296354</v>
      </c>
      <c r="D52" s="4">
        <v>0.31655092592592649</v>
      </c>
      <c r="E52" s="2">
        <v>11.629999999999999</v>
      </c>
      <c r="F52" s="2">
        <v>11.659999999999998</v>
      </c>
      <c r="G52" s="1" t="s">
        <v>26</v>
      </c>
      <c r="H52" s="4">
        <f t="shared" si="4"/>
        <v>1.5046296296294948E-4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0.31678240740740798</v>
      </c>
      <c r="D53" s="4">
        <v>0.31695601851851912</v>
      </c>
      <c r="E53" s="2">
        <v>11.629999999999999</v>
      </c>
      <c r="F53" s="2">
        <v>11.739999999999998</v>
      </c>
      <c r="G53" s="1" t="s">
        <v>26</v>
      </c>
      <c r="H53" s="4">
        <f t="shared" si="4"/>
        <v>1.7361111111113825E-4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0.31723379629629689</v>
      </c>
      <c r="D54" s="4">
        <v>0.31739583333333393</v>
      </c>
      <c r="E54" s="2">
        <v>11.629999999999999</v>
      </c>
      <c r="F54" s="2">
        <v>11.729999999999999</v>
      </c>
      <c r="G54" s="1" t="s">
        <v>26</v>
      </c>
      <c r="H54" s="4">
        <f t="shared" si="4"/>
        <v>1.6203703703704386E-4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0.31762731481481543</v>
      </c>
      <c r="D55" s="4">
        <v>0.31777777777777838</v>
      </c>
      <c r="E55" s="2">
        <v>11.629999999999999</v>
      </c>
      <c r="F55" s="2">
        <v>11.76</v>
      </c>
      <c r="G55" s="1" t="s">
        <v>26</v>
      </c>
      <c r="H55" s="4">
        <f t="shared" si="4"/>
        <v>1.5046296296294948E-4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0.31806712962963024</v>
      </c>
      <c r="D56" s="4">
        <v>0.31820601851851915</v>
      </c>
      <c r="E56" s="2">
        <v>11.629999999999999</v>
      </c>
      <c r="F56" s="2">
        <v>11.78</v>
      </c>
      <c r="G56" s="1" t="s">
        <v>26</v>
      </c>
      <c r="H56" s="4">
        <f t="shared" si="4"/>
        <v>1.388888888889106E-4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0.31847222222222288</v>
      </c>
      <c r="D57" s="4">
        <v>0.31864583333333402</v>
      </c>
      <c r="E57" s="2">
        <v>11.629999999999999</v>
      </c>
      <c r="F57" s="2">
        <v>11.719999999999999</v>
      </c>
      <c r="G57" s="1" t="s">
        <v>26</v>
      </c>
      <c r="H57" s="4">
        <f t="shared" si="4"/>
        <v>1.7361111111113825E-4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0.31888888888888955</v>
      </c>
      <c r="D58" s="4">
        <v>0.3190393518518525</v>
      </c>
      <c r="E58" s="2">
        <v>11.629999999999999</v>
      </c>
      <c r="F58" s="2">
        <v>11.649999999999999</v>
      </c>
      <c r="G58" s="1" t="s">
        <v>26</v>
      </c>
      <c r="H58" s="4">
        <f t="shared" si="4"/>
        <v>1.5046296296294948E-4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0.31928240740740804</v>
      </c>
      <c r="D59" s="4">
        <v>0.31945601851851918</v>
      </c>
      <c r="E59" s="2">
        <v>11.629999999999999</v>
      </c>
      <c r="F59" s="2">
        <v>11.729999999999999</v>
      </c>
      <c r="G59" s="1" t="s">
        <v>26</v>
      </c>
      <c r="H59" s="4">
        <f t="shared" si="4"/>
        <v>1.7361111111113825E-4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0.31972222222222291</v>
      </c>
      <c r="D60" s="4">
        <v>0.31988425925925995</v>
      </c>
      <c r="E60" s="2">
        <v>11.629999999999999</v>
      </c>
      <c r="F60" s="2">
        <v>11.749999999999998</v>
      </c>
      <c r="G60" s="1" t="s">
        <v>26</v>
      </c>
      <c r="H60" s="4">
        <f t="shared" si="4"/>
        <v>1.6203703703704386E-4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0.32013888888888958</v>
      </c>
      <c r="D61" s="4">
        <v>0.32031250000000072</v>
      </c>
      <c r="E61" s="2">
        <v>11.629999999999999</v>
      </c>
      <c r="F61" s="2">
        <v>11.659999999999998</v>
      </c>
      <c r="G61" s="1" t="s">
        <v>26</v>
      </c>
      <c r="H61" s="4">
        <f t="shared" si="4"/>
        <v>1.7361111111113825E-4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0.32054398148148222</v>
      </c>
      <c r="D62" s="4">
        <v>0.32069444444444517</v>
      </c>
      <c r="E62" s="2">
        <v>11.629999999999999</v>
      </c>
      <c r="F62" s="2">
        <v>11.719999999999999</v>
      </c>
      <c r="G62" s="1" t="s">
        <v>26</v>
      </c>
      <c r="H62" s="4">
        <f t="shared" si="4"/>
        <v>1.5046296296294948E-4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0.32093750000000071</v>
      </c>
      <c r="D63" s="4">
        <v>0.32108796296296366</v>
      </c>
      <c r="E63" s="2">
        <v>11.629999999999999</v>
      </c>
      <c r="F63" s="2">
        <v>11.749999999999998</v>
      </c>
      <c r="G63" s="1" t="s">
        <v>26</v>
      </c>
      <c r="H63" s="4">
        <f t="shared" si="4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0.32135416666666738</v>
      </c>
      <c r="D64" s="4">
        <v>0.32152777777777852</v>
      </c>
      <c r="E64" s="2">
        <v>11.629999999999999</v>
      </c>
      <c r="F64" s="2">
        <v>11.639999999999999</v>
      </c>
      <c r="G64" s="1" t="s">
        <v>26</v>
      </c>
      <c r="H64" s="4">
        <f t="shared" si="4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0.32180555555555629</v>
      </c>
      <c r="D65" s="4">
        <v>0.3219444444444452</v>
      </c>
      <c r="E65" s="2">
        <v>11.629999999999999</v>
      </c>
      <c r="F65" s="2">
        <v>11.719999999999999</v>
      </c>
      <c r="G65" s="1" t="s">
        <v>26</v>
      </c>
      <c r="H65" s="4">
        <f t="shared" si="4"/>
        <v>1.388888888889106E-4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0.32222222222222296</v>
      </c>
      <c r="D66" s="4">
        <v>0.32237268518518591</v>
      </c>
      <c r="E66" s="2">
        <v>11.629999999999999</v>
      </c>
      <c r="F66" s="2">
        <v>11.739999999999998</v>
      </c>
      <c r="G66" s="1" t="s">
        <v>26</v>
      </c>
      <c r="H66" s="4">
        <f t="shared" si="4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0.32260416666666741</v>
      </c>
      <c r="D67" s="4">
        <v>0.32276620370370446</v>
      </c>
      <c r="E67" s="2">
        <v>11.629999999999999</v>
      </c>
      <c r="F67" s="2">
        <v>11.78</v>
      </c>
      <c r="G67" s="1" t="s">
        <v>26</v>
      </c>
      <c r="H67" s="4">
        <f t="shared" si="4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0.32304398148148222</v>
      </c>
      <c r="D68" s="4">
        <v>0.32318287037037113</v>
      </c>
      <c r="E68" s="2">
        <v>11.629999999999999</v>
      </c>
      <c r="F68" s="2">
        <v>11.78</v>
      </c>
      <c r="G68" s="1" t="s">
        <v>26</v>
      </c>
      <c r="H68" s="4">
        <f t="shared" si="4"/>
        <v>1.388888888889106E-4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0.32341435185185263</v>
      </c>
      <c r="D69" s="4">
        <v>0.32355324074074154</v>
      </c>
      <c r="E69" s="2">
        <v>11.629999999999999</v>
      </c>
      <c r="F69" s="2">
        <v>11.669999999999998</v>
      </c>
      <c r="G69" s="1" t="s">
        <v>26</v>
      </c>
      <c r="H69" s="4">
        <f t="shared" si="4"/>
        <v>1.388888888889106E-4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0.32378472222222304</v>
      </c>
      <c r="D70" s="4">
        <v>0.32393518518518599</v>
      </c>
      <c r="E70" s="2">
        <v>11.629999999999999</v>
      </c>
      <c r="F70" s="2">
        <v>11.669999999999998</v>
      </c>
      <c r="G70" s="1" t="s">
        <v>26</v>
      </c>
      <c r="H70" s="4">
        <f t="shared" si="4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0.32416666666666749</v>
      </c>
      <c r="D71" s="4">
        <v>0.32434027777777863</v>
      </c>
      <c r="E71" s="2">
        <v>11.629999999999999</v>
      </c>
      <c r="F71" s="2">
        <v>11.739999999999998</v>
      </c>
      <c r="G71" s="1" t="s">
        <v>26</v>
      </c>
      <c r="H71" s="4">
        <f t="shared" si="4"/>
        <v>1.7361111111113825E-4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0.32460648148148236</v>
      </c>
      <c r="D72" s="4">
        <v>0.32475694444444531</v>
      </c>
      <c r="E72" s="2">
        <v>11.629999999999999</v>
      </c>
      <c r="F72" s="2">
        <v>11.719999999999999</v>
      </c>
      <c r="G72" s="1" t="s">
        <v>26</v>
      </c>
      <c r="H72" s="4">
        <f t="shared" si="4"/>
        <v>1.5046296296294948E-4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0.32503472222222307</v>
      </c>
      <c r="D73" s="4">
        <v>0.32517361111111198</v>
      </c>
      <c r="E73" s="2">
        <v>11.629999999999999</v>
      </c>
      <c r="F73" s="2">
        <v>11.639999999999999</v>
      </c>
      <c r="G73" s="1" t="s">
        <v>26</v>
      </c>
      <c r="H73" s="4">
        <f t="shared" si="4"/>
        <v>1.388888888889106E-4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0.32540509259259348</v>
      </c>
      <c r="D74" s="4">
        <v>0.32556712962963053</v>
      </c>
      <c r="E74" s="2">
        <v>11.629999999999999</v>
      </c>
      <c r="F74" s="2">
        <v>11.77</v>
      </c>
      <c r="G74" s="1" t="s">
        <v>26</v>
      </c>
      <c r="H74" s="4">
        <f t="shared" si="4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0.32584490740740829</v>
      </c>
      <c r="D75" s="4">
        <v>0.32599537037037124</v>
      </c>
      <c r="E75" s="2">
        <v>11.629999999999999</v>
      </c>
      <c r="F75" s="2">
        <v>11.659999999999998</v>
      </c>
      <c r="G75" s="1" t="s">
        <v>26</v>
      </c>
      <c r="H75" s="4">
        <f t="shared" si="4"/>
        <v>1.5046296296294948E-4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0.32625000000000087</v>
      </c>
      <c r="D76" s="4">
        <v>0.32642361111111201</v>
      </c>
      <c r="E76" s="2">
        <v>11.629999999999999</v>
      </c>
      <c r="F76" s="2">
        <v>11.649999999999999</v>
      </c>
      <c r="G76" s="1" t="s">
        <v>26</v>
      </c>
      <c r="H76" s="4">
        <f t="shared" ref="H76:H139" si="6">D76-C76</f>
        <v>1.7361111111113825E-4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0.32668981481481574</v>
      </c>
      <c r="D77" s="4">
        <v>0.32682870370370465</v>
      </c>
      <c r="E77" s="2">
        <v>11.629999999999999</v>
      </c>
      <c r="F77" s="2">
        <v>11.749999999999998</v>
      </c>
      <c r="G77" s="1" t="s">
        <v>26</v>
      </c>
      <c r="H77" s="4">
        <f t="shared" si="6"/>
        <v>1.388888888889106E-4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0.32706018518518615</v>
      </c>
      <c r="D78" s="4">
        <v>0.32723379629629729</v>
      </c>
      <c r="E78" s="2">
        <v>11.629999999999999</v>
      </c>
      <c r="F78" s="2">
        <v>11.729999999999999</v>
      </c>
      <c r="G78" s="1" t="s">
        <v>26</v>
      </c>
      <c r="H78" s="4">
        <f t="shared" si="6"/>
        <v>1.7361111111113825E-4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0.32747685185185282</v>
      </c>
      <c r="D79" s="4">
        <v>0.32763888888888987</v>
      </c>
      <c r="E79" s="2">
        <v>11.629999999999999</v>
      </c>
      <c r="F79" s="2">
        <v>11.659999999999998</v>
      </c>
      <c r="G79" s="1" t="s">
        <v>26</v>
      </c>
      <c r="H79" s="4">
        <f t="shared" si="6"/>
        <v>1.6203703703704386E-4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0.3278935185185195</v>
      </c>
      <c r="D80" s="4">
        <v>0.32805555555555654</v>
      </c>
      <c r="E80" s="2">
        <v>11.629999999999999</v>
      </c>
      <c r="F80" s="2">
        <v>11.639999999999999</v>
      </c>
      <c r="G80" s="1" t="s">
        <v>26</v>
      </c>
      <c r="H80" s="4">
        <f t="shared" si="6"/>
        <v>1.6203703703704386E-4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0.32832175925926027</v>
      </c>
      <c r="D81" s="4">
        <v>0.32849537037037141</v>
      </c>
      <c r="E81" s="2">
        <v>11.629999999999999</v>
      </c>
      <c r="F81" s="2">
        <v>11.76</v>
      </c>
      <c r="G81" s="1" t="s">
        <v>26</v>
      </c>
      <c r="H81" s="4">
        <f t="shared" si="6"/>
        <v>1.7361111111113825E-4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0.32877314814814917</v>
      </c>
      <c r="D82" s="4">
        <v>0.32894675925926031</v>
      </c>
      <c r="E82" s="2">
        <v>11.629999999999999</v>
      </c>
      <c r="F82" s="2">
        <v>11.649999999999999</v>
      </c>
      <c r="G82" s="1" t="s">
        <v>26</v>
      </c>
      <c r="H82" s="4">
        <f t="shared" si="6"/>
        <v>1.7361111111113825E-4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0.32920138888888995</v>
      </c>
      <c r="D83" s="4">
        <v>0.32934027777777886</v>
      </c>
      <c r="E83" s="2">
        <v>11.629999999999999</v>
      </c>
      <c r="F83" s="2">
        <v>11.739999999999998</v>
      </c>
      <c r="G83" s="1" t="s">
        <v>26</v>
      </c>
      <c r="H83" s="4">
        <f t="shared" si="6"/>
        <v>1.388888888889106E-4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0.32960648148148258</v>
      </c>
      <c r="D84" s="4">
        <v>0.32974537037037149</v>
      </c>
      <c r="E84" s="2">
        <v>11.629999999999999</v>
      </c>
      <c r="F84" s="2">
        <v>11.659999999999998</v>
      </c>
      <c r="G84" s="1" t="s">
        <v>26</v>
      </c>
      <c r="H84" s="4">
        <f t="shared" si="6"/>
        <v>1.388888888889106E-4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0.32998842592592703</v>
      </c>
      <c r="D85" s="4">
        <v>0.33013888888888998</v>
      </c>
      <c r="E85" s="2">
        <v>11.629999999999999</v>
      </c>
      <c r="F85" s="2">
        <v>11.78</v>
      </c>
      <c r="G85" s="1" t="s">
        <v>26</v>
      </c>
      <c r="H85" s="4">
        <f t="shared" si="6"/>
        <v>1.5046296296294948E-4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0.33042824074074184</v>
      </c>
      <c r="D86" s="4">
        <v>0.33059027777777888</v>
      </c>
      <c r="E86" s="2">
        <v>11.629999999999999</v>
      </c>
      <c r="F86" s="2">
        <v>11.649999999999999</v>
      </c>
      <c r="G86" s="1" t="s">
        <v>26</v>
      </c>
      <c r="H86" s="4">
        <f t="shared" si="6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0.33087962962963074</v>
      </c>
      <c r="D87" s="4">
        <v>0.33103009259259369</v>
      </c>
      <c r="E87" s="2">
        <v>11.629999999999999</v>
      </c>
      <c r="F87" s="2">
        <v>11.739999999999998</v>
      </c>
      <c r="G87" s="1" t="s">
        <v>26</v>
      </c>
      <c r="H87" s="4">
        <f t="shared" si="6"/>
        <v>1.5046296296294948E-4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0.33127314814814923</v>
      </c>
      <c r="D88" s="4">
        <v>0.33143518518518628</v>
      </c>
      <c r="E88" s="2">
        <v>11.629999999999999</v>
      </c>
      <c r="F88" s="2">
        <v>11.749999999999998</v>
      </c>
      <c r="G88" s="1" t="s">
        <v>26</v>
      </c>
      <c r="H88" s="4">
        <f t="shared" si="6"/>
        <v>1.6203703703704386E-4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0.33167824074074181</v>
      </c>
      <c r="D89" s="4">
        <v>0.33181712962963072</v>
      </c>
      <c r="E89" s="2">
        <v>11.629999999999999</v>
      </c>
      <c r="F89" s="2">
        <v>11.69</v>
      </c>
      <c r="G89" s="1" t="s">
        <v>26</v>
      </c>
      <c r="H89" s="4">
        <f t="shared" si="6"/>
        <v>1.388888888889106E-4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0.33204861111111222</v>
      </c>
      <c r="D90" s="4">
        <v>0.33222222222222336</v>
      </c>
      <c r="E90" s="2">
        <v>11.629999999999999</v>
      </c>
      <c r="F90" s="2">
        <v>11.68</v>
      </c>
      <c r="G90" s="1" t="s">
        <v>26</v>
      </c>
      <c r="H90" s="4">
        <f t="shared" si="6"/>
        <v>1.7361111111113825E-4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0.33250000000000113</v>
      </c>
      <c r="D91" s="4">
        <v>0.33266203703703817</v>
      </c>
      <c r="E91" s="2">
        <v>11.629999999999999</v>
      </c>
      <c r="F91" s="2">
        <v>11.76</v>
      </c>
      <c r="G91" s="1" t="s">
        <v>26</v>
      </c>
      <c r="H91" s="4">
        <f t="shared" si="6"/>
        <v>1.6203703703704386E-4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0.33295138888889003</v>
      </c>
      <c r="D92" s="4">
        <v>0.33311342592592708</v>
      </c>
      <c r="E92" s="2">
        <v>11.629999999999999</v>
      </c>
      <c r="F92" s="2">
        <v>11.76</v>
      </c>
      <c r="G92" s="1" t="s">
        <v>26</v>
      </c>
      <c r="H92" s="4">
        <f t="shared" si="6"/>
        <v>1.6203703703704386E-4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0.33340277777777894</v>
      </c>
      <c r="D93" s="4">
        <v>0.33355324074074189</v>
      </c>
      <c r="E93" s="2">
        <v>11.629999999999999</v>
      </c>
      <c r="F93" s="2">
        <v>11.749999999999998</v>
      </c>
      <c r="G93" s="1" t="s">
        <v>26</v>
      </c>
      <c r="H93" s="4">
        <f t="shared" si="6"/>
        <v>1.5046296296294948E-4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0.33380787037037152</v>
      </c>
      <c r="D94" s="4">
        <v>0.33396990740740856</v>
      </c>
      <c r="E94" s="2">
        <v>11.629999999999999</v>
      </c>
      <c r="F94" s="2">
        <v>11.639999999999999</v>
      </c>
      <c r="G94" s="1" t="s">
        <v>26</v>
      </c>
      <c r="H94" s="4">
        <f t="shared" si="6"/>
        <v>1.6203703703704386E-4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0.3342129629629641</v>
      </c>
      <c r="D95" s="4">
        <v>0.33436342592592705</v>
      </c>
      <c r="E95" s="2">
        <v>11.629999999999999</v>
      </c>
      <c r="F95" s="2">
        <v>11.749999999999998</v>
      </c>
      <c r="G95" s="1" t="s">
        <v>26</v>
      </c>
      <c r="H95" s="4">
        <f t="shared" si="6"/>
        <v>1.5046296296294948E-4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0.33462962962963078</v>
      </c>
      <c r="D96" s="4">
        <v>0.33478009259259373</v>
      </c>
      <c r="E96" s="2">
        <v>11.629999999999999</v>
      </c>
      <c r="F96" s="2">
        <v>11.69</v>
      </c>
      <c r="G96" s="1" t="s">
        <v>26</v>
      </c>
      <c r="H96" s="4">
        <f t="shared" si="6"/>
        <v>1.5046296296294948E-4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0.33504629629629745</v>
      </c>
      <c r="D97" s="4">
        <v>0.33518518518518636</v>
      </c>
      <c r="E97" s="2">
        <v>11.629999999999999</v>
      </c>
      <c r="F97" s="2">
        <v>11.729999999999999</v>
      </c>
      <c r="G97" s="1" t="s">
        <v>26</v>
      </c>
      <c r="H97" s="4">
        <f t="shared" si="6"/>
        <v>1.388888888889106E-4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0.33545138888889009</v>
      </c>
      <c r="D98" s="4">
        <v>0.335590277777779</v>
      </c>
      <c r="E98" s="2">
        <v>11.629999999999999</v>
      </c>
      <c r="F98" s="2">
        <v>11.78</v>
      </c>
      <c r="G98" s="1" t="s">
        <v>26</v>
      </c>
      <c r="H98" s="4">
        <f t="shared" si="6"/>
        <v>1.388888888889106E-4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0.33585648148148273</v>
      </c>
      <c r="D99" s="4">
        <v>0.33601851851851977</v>
      </c>
      <c r="E99" s="2">
        <v>11.629999999999999</v>
      </c>
      <c r="F99" s="2">
        <v>11.68</v>
      </c>
      <c r="G99" s="1" t="s">
        <v>26</v>
      </c>
      <c r="H99" s="4">
        <f t="shared" si="6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0.33629629629629754</v>
      </c>
      <c r="D100" s="4">
        <v>0.33646990740740867</v>
      </c>
      <c r="E100" s="2">
        <v>11.629999999999999</v>
      </c>
      <c r="F100" s="2">
        <v>11.76</v>
      </c>
      <c r="G100" s="1" t="s">
        <v>26</v>
      </c>
      <c r="H100" s="4">
        <f t="shared" si="6"/>
        <v>1.7361111111113825E-4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0.33671296296296421</v>
      </c>
      <c r="D101" s="4">
        <v>0.33686342592592716</v>
      </c>
      <c r="E101" s="2">
        <v>11.629999999999999</v>
      </c>
      <c r="F101" s="2">
        <v>11.78</v>
      </c>
      <c r="G101" s="1" t="s">
        <v>26</v>
      </c>
      <c r="H101" s="4">
        <f t="shared" si="6"/>
        <v>1.5046296296294948E-4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0.33715277777777902</v>
      </c>
      <c r="D102" s="4">
        <v>0.33729166666666793</v>
      </c>
      <c r="E102" s="2">
        <v>11.629999999999999</v>
      </c>
      <c r="F102" s="2">
        <v>11.739999999999998</v>
      </c>
      <c r="G102" s="1" t="s">
        <v>26</v>
      </c>
      <c r="H102" s="4">
        <f t="shared" si="6"/>
        <v>1.388888888889106E-4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0.33754629629629757</v>
      </c>
      <c r="D103" s="4">
        <v>0.33770833333333461</v>
      </c>
      <c r="E103" s="2">
        <v>11.629999999999999</v>
      </c>
      <c r="F103" s="2">
        <v>11.709999999999999</v>
      </c>
      <c r="G103" s="1" t="s">
        <v>26</v>
      </c>
      <c r="H103" s="4">
        <f t="shared" si="6"/>
        <v>1.6203703703704386E-4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0.33795138888889015</v>
      </c>
      <c r="D104" s="4">
        <v>0.33812500000000129</v>
      </c>
      <c r="E104" s="2">
        <v>11.629999999999999</v>
      </c>
      <c r="F104" s="2">
        <v>11.669999999999998</v>
      </c>
      <c r="G104" s="1" t="s">
        <v>26</v>
      </c>
      <c r="H104" s="4">
        <f t="shared" si="6"/>
        <v>1.7361111111113825E-4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0.33840277777777905</v>
      </c>
      <c r="D105" s="4">
        <v>0.3385648148148161</v>
      </c>
      <c r="E105" s="2">
        <v>11.629999999999999</v>
      </c>
      <c r="F105" s="2">
        <v>11.649999999999999</v>
      </c>
      <c r="G105" s="1" t="s">
        <v>26</v>
      </c>
      <c r="H105" s="4">
        <f t="shared" si="6"/>
        <v>1.6203703703704386E-4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0.33885416666666796</v>
      </c>
      <c r="D106" s="4">
        <v>0.3390046296296309</v>
      </c>
      <c r="E106" s="2">
        <v>11.629999999999999</v>
      </c>
      <c r="F106" s="2">
        <v>11.77</v>
      </c>
      <c r="G106" s="1" t="s">
        <v>26</v>
      </c>
      <c r="H106" s="4">
        <f t="shared" si="6"/>
        <v>1.5046296296294948E-4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0.33928240740740867</v>
      </c>
      <c r="D107" s="4">
        <v>0.33942129629629758</v>
      </c>
      <c r="E107" s="2">
        <v>11.629999999999999</v>
      </c>
      <c r="F107" s="2">
        <v>11.669999999999998</v>
      </c>
      <c r="G107" s="1" t="s">
        <v>26</v>
      </c>
      <c r="H107" s="4">
        <f t="shared" si="6"/>
        <v>1.388888888889106E-4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0.33968750000000131</v>
      </c>
      <c r="D108" s="4">
        <v>0.33983796296296426</v>
      </c>
      <c r="E108" s="2">
        <v>11.629999999999999</v>
      </c>
      <c r="F108" s="2">
        <v>11.7</v>
      </c>
      <c r="G108" s="1" t="s">
        <v>26</v>
      </c>
      <c r="H108" s="4">
        <f t="shared" si="6"/>
        <v>1.5046296296294948E-4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0.34010416666666798</v>
      </c>
      <c r="D109" s="4">
        <v>0.34027777777777912</v>
      </c>
      <c r="E109" s="2">
        <v>11.629999999999999</v>
      </c>
      <c r="F109" s="2">
        <v>11.76</v>
      </c>
      <c r="G109" s="1" t="s">
        <v>26</v>
      </c>
      <c r="H109" s="4">
        <f t="shared" si="6"/>
        <v>1.7361111111113825E-4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0.34053240740740875</v>
      </c>
      <c r="D110" s="4">
        <v>0.34067129629629767</v>
      </c>
      <c r="E110" s="2">
        <v>11.629999999999999</v>
      </c>
      <c r="F110" s="2">
        <v>11.739999999999998</v>
      </c>
      <c r="G110" s="1" t="s">
        <v>26</v>
      </c>
      <c r="H110" s="4">
        <f t="shared" si="6"/>
        <v>1.388888888889106E-4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0.34094907407407543</v>
      </c>
      <c r="D111" s="4">
        <v>0.34109953703703838</v>
      </c>
      <c r="E111" s="2">
        <v>11.629999999999999</v>
      </c>
      <c r="F111" s="2">
        <v>11.669999999999998</v>
      </c>
      <c r="G111" s="1" t="s">
        <v>26</v>
      </c>
      <c r="H111" s="4">
        <f t="shared" si="6"/>
        <v>1.5046296296294948E-4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0.34133101851851988</v>
      </c>
      <c r="D112" s="4">
        <v>0.34148148148148283</v>
      </c>
      <c r="E112" s="2">
        <v>11.629999999999999</v>
      </c>
      <c r="F112" s="2">
        <v>11.68</v>
      </c>
      <c r="G112" s="1" t="s">
        <v>26</v>
      </c>
      <c r="H112" s="4">
        <f t="shared" si="6"/>
        <v>1.5046296296294948E-4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0.34171296296296433</v>
      </c>
      <c r="D113" s="4">
        <v>0.34186342592592728</v>
      </c>
      <c r="E113" s="2">
        <v>11.629999999999999</v>
      </c>
      <c r="F113" s="2">
        <v>11.669999999999998</v>
      </c>
      <c r="G113" s="1" t="s">
        <v>26</v>
      </c>
      <c r="H113" s="4">
        <f t="shared" si="6"/>
        <v>1.5046296296294948E-4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0.34215277777777914</v>
      </c>
      <c r="D114" s="4">
        <v>0.34229166666666805</v>
      </c>
      <c r="E114" s="2">
        <v>11.629999999999999</v>
      </c>
      <c r="F114" s="2">
        <v>11.649999999999999</v>
      </c>
      <c r="G114" s="1" t="s">
        <v>26</v>
      </c>
      <c r="H114" s="4">
        <f t="shared" si="6"/>
        <v>1.388888888889106E-4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0.34255787037037178</v>
      </c>
      <c r="D115" s="4">
        <v>0.34273148148148291</v>
      </c>
      <c r="E115" s="2">
        <v>11.629999999999999</v>
      </c>
      <c r="F115" s="2">
        <v>11.76</v>
      </c>
      <c r="G115" s="1" t="s">
        <v>26</v>
      </c>
      <c r="H115" s="4">
        <f t="shared" si="6"/>
        <v>1.7361111111113825E-4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0.34297453703703845</v>
      </c>
      <c r="D116" s="4">
        <v>0.3431250000000014</v>
      </c>
      <c r="E116" s="2">
        <v>11.629999999999999</v>
      </c>
      <c r="F116" s="2">
        <v>11.729999999999999</v>
      </c>
      <c r="G116" s="1" t="s">
        <v>26</v>
      </c>
      <c r="H116" s="4">
        <f t="shared" si="6"/>
        <v>1.5046296296294948E-4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0.34341435185185326</v>
      </c>
      <c r="D117" s="4">
        <v>0.3435879629629644</v>
      </c>
      <c r="E117" s="2">
        <v>11.629999999999999</v>
      </c>
      <c r="F117" s="2">
        <v>11.739999999999998</v>
      </c>
      <c r="G117" s="1" t="s">
        <v>26</v>
      </c>
      <c r="H117" s="4">
        <f t="shared" si="6"/>
        <v>1.7361111111113825E-4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0.34384259259259403</v>
      </c>
      <c r="D118" s="4">
        <v>0.34398148148148294</v>
      </c>
      <c r="E118" s="2">
        <v>11.629999999999999</v>
      </c>
      <c r="F118" s="2">
        <v>11.68</v>
      </c>
      <c r="G118" s="1" t="s">
        <v>26</v>
      </c>
      <c r="H118" s="4">
        <f t="shared" si="6"/>
        <v>1.388888888889106E-4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0.34423611111111257</v>
      </c>
      <c r="D119" s="4">
        <v>0.34440972222222371</v>
      </c>
      <c r="E119" s="2">
        <v>11.629999999999999</v>
      </c>
      <c r="F119" s="2">
        <v>11.76</v>
      </c>
      <c r="G119" s="1" t="s">
        <v>26</v>
      </c>
      <c r="H119" s="4">
        <f t="shared" si="6"/>
        <v>1.7361111111113825E-4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0.34469907407407557</v>
      </c>
      <c r="D120" s="4">
        <v>0.34483796296296448</v>
      </c>
      <c r="E120" s="2">
        <v>11.629999999999999</v>
      </c>
      <c r="F120" s="2">
        <v>11.659999999999998</v>
      </c>
      <c r="G120" s="1" t="s">
        <v>26</v>
      </c>
      <c r="H120" s="4">
        <f t="shared" si="6"/>
        <v>1.388888888889106E-4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0.34512731481481634</v>
      </c>
      <c r="D121" s="4">
        <v>0.34526620370370525</v>
      </c>
      <c r="E121" s="2">
        <v>11.629999999999999</v>
      </c>
      <c r="F121" s="2">
        <v>11.729999999999999</v>
      </c>
      <c r="G121" s="1" t="s">
        <v>26</v>
      </c>
      <c r="H121" s="4">
        <f t="shared" si="6"/>
        <v>1.388888888889106E-4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0.34550925925926079</v>
      </c>
      <c r="D122" s="4">
        <v>0.3456481481481497</v>
      </c>
      <c r="E122" s="2">
        <v>11.629999999999999</v>
      </c>
      <c r="F122" s="2">
        <v>11.69</v>
      </c>
      <c r="G122" s="1" t="s">
        <v>26</v>
      </c>
      <c r="H122" s="4">
        <f t="shared" si="6"/>
        <v>1.388888888889106E-4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0.3458796296296312</v>
      </c>
      <c r="D123" s="4">
        <v>0.34604166666666825</v>
      </c>
      <c r="E123" s="2">
        <v>11.629999999999999</v>
      </c>
      <c r="F123" s="2">
        <v>11.719999999999999</v>
      </c>
      <c r="G123" s="1" t="s">
        <v>26</v>
      </c>
      <c r="H123" s="4">
        <f t="shared" si="6"/>
        <v>1.6203703703704386E-4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0.34627314814814975</v>
      </c>
      <c r="D124" s="4">
        <v>0.34642361111111269</v>
      </c>
      <c r="E124" s="2">
        <v>11.629999999999999</v>
      </c>
      <c r="F124" s="2">
        <v>11.7</v>
      </c>
      <c r="G124" s="1" t="s">
        <v>26</v>
      </c>
      <c r="H124" s="4">
        <f t="shared" si="6"/>
        <v>1.5046296296294948E-4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0.34670138888889046</v>
      </c>
      <c r="D125" s="4">
        <v>0.3468750000000016</v>
      </c>
      <c r="E125" s="2">
        <v>11.629999999999999</v>
      </c>
      <c r="F125" s="2">
        <v>11.739999999999998</v>
      </c>
      <c r="G125" s="1" t="s">
        <v>26</v>
      </c>
      <c r="H125" s="4">
        <f t="shared" si="6"/>
        <v>1.7361111111113825E-4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0.34711805555555714</v>
      </c>
      <c r="D126" s="4">
        <v>0.34725694444444605</v>
      </c>
      <c r="E126" s="2">
        <v>11.629999999999999</v>
      </c>
      <c r="F126" s="2">
        <v>11.739999999999998</v>
      </c>
      <c r="G126" s="1" t="s">
        <v>26</v>
      </c>
      <c r="H126" s="4">
        <f t="shared" si="6"/>
        <v>1.388888888889106E-4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0.34753472222222381</v>
      </c>
      <c r="D127" s="4">
        <v>0.34768518518518676</v>
      </c>
      <c r="E127" s="2">
        <v>11.629999999999999</v>
      </c>
      <c r="F127" s="2">
        <v>11.639999999999999</v>
      </c>
      <c r="G127" s="1" t="s">
        <v>26</v>
      </c>
      <c r="H127" s="4">
        <f t="shared" si="6"/>
        <v>1.5046296296294948E-4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0.34791666666666826</v>
      </c>
      <c r="D128" s="4">
        <v>0.34805555555555717</v>
      </c>
      <c r="E128" s="2">
        <v>11.629999999999999</v>
      </c>
      <c r="F128" s="2">
        <v>11.68</v>
      </c>
      <c r="G128" s="1" t="s">
        <v>26</v>
      </c>
      <c r="H128" s="4">
        <f t="shared" si="6"/>
        <v>1.388888888889106E-4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0.3483217592592609</v>
      </c>
      <c r="D129" s="4">
        <v>0.34849537037037204</v>
      </c>
      <c r="E129" s="2">
        <v>11.629999999999999</v>
      </c>
      <c r="F129" s="2">
        <v>11.749999999999998</v>
      </c>
      <c r="G129" s="1" t="s">
        <v>26</v>
      </c>
      <c r="H129" s="4">
        <f t="shared" si="6"/>
        <v>1.7361111111113825E-4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0.34875000000000167</v>
      </c>
      <c r="D130" s="4">
        <v>0.34892361111111281</v>
      </c>
      <c r="E130" s="2">
        <v>11.629999999999999</v>
      </c>
      <c r="F130" s="2">
        <v>11.669999999999998</v>
      </c>
      <c r="G130" s="1" t="s">
        <v>26</v>
      </c>
      <c r="H130" s="4">
        <f t="shared" si="6"/>
        <v>1.7361111111113825E-4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0.34915509259259431</v>
      </c>
      <c r="D131" s="4">
        <v>0.34932870370370545</v>
      </c>
      <c r="E131" s="2">
        <v>11.629999999999999</v>
      </c>
      <c r="F131" s="2">
        <v>11.7</v>
      </c>
      <c r="G131" s="1" t="s">
        <v>26</v>
      </c>
      <c r="H131" s="4">
        <f t="shared" si="6"/>
        <v>1.7361111111113825E-4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0.34959490740740917</v>
      </c>
      <c r="D132" s="4">
        <v>0.34976851851852031</v>
      </c>
      <c r="E132" s="2">
        <v>11.629999999999999</v>
      </c>
      <c r="F132" s="2">
        <v>11.749999999999998</v>
      </c>
      <c r="G132" s="1" t="s">
        <v>26</v>
      </c>
      <c r="H132" s="4">
        <f t="shared" si="6"/>
        <v>1.7361111111113825E-4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0.35004629629629808</v>
      </c>
      <c r="D133" s="4">
        <v>0.35019675925926103</v>
      </c>
      <c r="E133" s="2">
        <v>11.629999999999999</v>
      </c>
      <c r="F133" s="2">
        <v>11.749999999999998</v>
      </c>
      <c r="G133" s="1" t="s">
        <v>26</v>
      </c>
      <c r="H133" s="4">
        <f t="shared" si="6"/>
        <v>1.5046296296294948E-4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0.35045138888889066</v>
      </c>
      <c r="D134" s="4">
        <v>0.35059027777777957</v>
      </c>
      <c r="E134" s="2">
        <v>11.629999999999999</v>
      </c>
      <c r="F134" s="2">
        <v>11.709999999999999</v>
      </c>
      <c r="G134" s="1" t="s">
        <v>26</v>
      </c>
      <c r="H134" s="4">
        <f t="shared" si="6"/>
        <v>1.388888888889106E-4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0.35082175925926107</v>
      </c>
      <c r="D135" s="4">
        <v>0.35099537037037221</v>
      </c>
      <c r="E135" s="2">
        <v>11.629999999999999</v>
      </c>
      <c r="F135" s="2">
        <v>11.69</v>
      </c>
      <c r="G135" s="1" t="s">
        <v>26</v>
      </c>
      <c r="H135" s="4">
        <f t="shared" si="6"/>
        <v>1.7361111111113825E-4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0.35128472222222407</v>
      </c>
      <c r="D136" s="4">
        <v>0.3514583333333352</v>
      </c>
      <c r="E136" s="2">
        <v>11.629999999999999</v>
      </c>
      <c r="F136" s="2">
        <v>11.77</v>
      </c>
      <c r="G136" s="1" t="s">
        <v>26</v>
      </c>
      <c r="H136" s="4">
        <f t="shared" si="6"/>
        <v>1.7361111111113825E-4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0.35173611111111297</v>
      </c>
      <c r="D137" s="4">
        <v>0.35189814814815001</v>
      </c>
      <c r="E137" s="2">
        <v>11.629999999999999</v>
      </c>
      <c r="F137" s="2">
        <v>11.709999999999999</v>
      </c>
      <c r="G137" s="1" t="s">
        <v>26</v>
      </c>
      <c r="H137" s="4">
        <f t="shared" si="6"/>
        <v>1.6203703703704386E-4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0.35215277777777965</v>
      </c>
      <c r="D138" s="4">
        <v>0.3523032407407426</v>
      </c>
      <c r="E138" s="2">
        <v>11.629999999999999</v>
      </c>
      <c r="F138" s="2">
        <v>11.719999999999999</v>
      </c>
      <c r="G138" s="1" t="s">
        <v>26</v>
      </c>
      <c r="H138" s="4">
        <f t="shared" si="6"/>
        <v>1.5046296296294948E-4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0.35259259259259446</v>
      </c>
      <c r="D139" s="4">
        <v>0.35273148148148337</v>
      </c>
      <c r="E139" s="2">
        <v>11.629999999999999</v>
      </c>
      <c r="F139" s="2">
        <v>11.77</v>
      </c>
      <c r="G139" s="1" t="s">
        <v>26</v>
      </c>
      <c r="H139" s="4">
        <f t="shared" si="6"/>
        <v>1.388888888889106E-4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0.35300925925926113</v>
      </c>
      <c r="D140" s="4">
        <v>0.35314814814815004</v>
      </c>
      <c r="E140" s="2">
        <v>11.629999999999999</v>
      </c>
      <c r="F140" s="2">
        <v>11.749999999999998</v>
      </c>
      <c r="G140" s="1" t="s">
        <v>26</v>
      </c>
      <c r="H140" s="4">
        <f t="shared" ref="H140:H203" si="8">D140-C140</f>
        <v>1.388888888889106E-4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0.35337962962963154</v>
      </c>
      <c r="D141" s="4">
        <v>0.35353009259259449</v>
      </c>
      <c r="E141" s="2">
        <v>11.629999999999999</v>
      </c>
      <c r="F141" s="2">
        <v>11.709999999999999</v>
      </c>
      <c r="G141" s="1" t="s">
        <v>26</v>
      </c>
      <c r="H141" s="4">
        <f t="shared" si="8"/>
        <v>1.5046296296294948E-4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0.35377314814815003</v>
      </c>
      <c r="D142" s="4">
        <v>0.35392361111111298</v>
      </c>
      <c r="E142" s="2">
        <v>11.629999999999999</v>
      </c>
      <c r="F142" s="2">
        <v>11.69</v>
      </c>
      <c r="G142" s="1" t="s">
        <v>26</v>
      </c>
      <c r="H142" s="4">
        <f t="shared" si="8"/>
        <v>1.5046296296294948E-4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0.35418981481481671</v>
      </c>
      <c r="D143" s="4">
        <v>0.35435185185185375</v>
      </c>
      <c r="E143" s="2">
        <v>11.629999999999999</v>
      </c>
      <c r="F143" s="2">
        <v>11.739999999999998</v>
      </c>
      <c r="G143" s="1" t="s">
        <v>26</v>
      </c>
      <c r="H143" s="4">
        <f t="shared" si="8"/>
        <v>1.6203703703704386E-4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0.35464120370370561</v>
      </c>
      <c r="D144" s="4">
        <v>0.35481481481481675</v>
      </c>
      <c r="E144" s="2">
        <v>11.629999999999999</v>
      </c>
      <c r="F144" s="2">
        <v>11.729999999999999</v>
      </c>
      <c r="G144" s="1" t="s">
        <v>26</v>
      </c>
      <c r="H144" s="4">
        <f t="shared" si="8"/>
        <v>1.7361111111113825E-4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0.35510416666666861</v>
      </c>
      <c r="D145" s="4">
        <v>0.35526620370370565</v>
      </c>
      <c r="E145" s="2">
        <v>11.629999999999999</v>
      </c>
      <c r="F145" s="2">
        <v>11.639999999999999</v>
      </c>
      <c r="G145" s="1" t="s">
        <v>26</v>
      </c>
      <c r="H145" s="4">
        <f t="shared" si="8"/>
        <v>1.6203703703704386E-4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0.35553240740740938</v>
      </c>
      <c r="D146" s="4">
        <v>0.35569444444444642</v>
      </c>
      <c r="E146" s="2">
        <v>11.629999999999999</v>
      </c>
      <c r="F146" s="2">
        <v>11.659999999999998</v>
      </c>
      <c r="G146" s="1" t="s">
        <v>26</v>
      </c>
      <c r="H146" s="4">
        <f t="shared" si="8"/>
        <v>1.6203703703704386E-4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0.35592592592592792</v>
      </c>
      <c r="D147" s="4">
        <v>0.35607638888889087</v>
      </c>
      <c r="E147" s="2">
        <v>11.629999999999999</v>
      </c>
      <c r="F147" s="2">
        <v>11.659999999999998</v>
      </c>
      <c r="G147" s="1" t="s">
        <v>26</v>
      </c>
      <c r="H147" s="4">
        <f t="shared" si="8"/>
        <v>1.5046296296294948E-4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0.3563310185185205</v>
      </c>
      <c r="D148" s="4">
        <v>0.35646990740740941</v>
      </c>
      <c r="E148" s="2">
        <v>11.629999999999999</v>
      </c>
      <c r="F148" s="2">
        <v>11.659999999999998</v>
      </c>
      <c r="G148" s="1" t="s">
        <v>26</v>
      </c>
      <c r="H148" s="4">
        <f t="shared" si="8"/>
        <v>1.388888888889106E-4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0.35671296296296495</v>
      </c>
      <c r="D149" s="4">
        <v>0.3568634259259279</v>
      </c>
      <c r="E149" s="2">
        <v>11.629999999999999</v>
      </c>
      <c r="F149" s="2">
        <v>11.639999999999999</v>
      </c>
      <c r="G149" s="1" t="s">
        <v>26</v>
      </c>
      <c r="H149" s="4">
        <f t="shared" si="8"/>
        <v>1.5046296296294948E-4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0.3570949074074094</v>
      </c>
      <c r="D150" s="4">
        <v>0.35724537037037235</v>
      </c>
      <c r="E150" s="2">
        <v>11.629999999999999</v>
      </c>
      <c r="F150" s="2">
        <v>11.649999999999999</v>
      </c>
      <c r="G150" s="1" t="s">
        <v>26</v>
      </c>
      <c r="H150" s="4">
        <f t="shared" si="8"/>
        <v>1.5046296296294948E-4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0.35751157407407608</v>
      </c>
      <c r="D151" s="4">
        <v>0.35767361111111312</v>
      </c>
      <c r="E151" s="2">
        <v>11.629999999999999</v>
      </c>
      <c r="F151" s="2">
        <v>11.719999999999999</v>
      </c>
      <c r="G151" s="1" t="s">
        <v>26</v>
      </c>
      <c r="H151" s="4">
        <f t="shared" si="8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0.35790509259259462</v>
      </c>
      <c r="D152" s="4">
        <v>0.35804398148148353</v>
      </c>
      <c r="E152" s="2">
        <v>11.629999999999999</v>
      </c>
      <c r="F152" s="2">
        <v>11.68</v>
      </c>
      <c r="G152" s="1" t="s">
        <v>26</v>
      </c>
      <c r="H152" s="4">
        <f t="shared" si="8"/>
        <v>1.388888888889106E-4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0.35828703703703907</v>
      </c>
      <c r="D153" s="4">
        <v>0.35843750000000202</v>
      </c>
      <c r="E153" s="2">
        <v>11.629999999999999</v>
      </c>
      <c r="F153" s="2">
        <v>11.639999999999999</v>
      </c>
      <c r="G153" s="1" t="s">
        <v>26</v>
      </c>
      <c r="H153" s="4">
        <f t="shared" si="8"/>
        <v>1.5046296296294948E-4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0.35871527777777978</v>
      </c>
      <c r="D154" s="4">
        <v>0.35885416666666869</v>
      </c>
      <c r="E154" s="2">
        <v>11.629999999999999</v>
      </c>
      <c r="F154" s="2">
        <v>11.729999999999999</v>
      </c>
      <c r="G154" s="1" t="s">
        <v>26</v>
      </c>
      <c r="H154" s="4">
        <f t="shared" si="8"/>
        <v>1.388888888889106E-4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0.35910879629629833</v>
      </c>
      <c r="D155" s="4">
        <v>0.35924768518518724</v>
      </c>
      <c r="E155" s="2">
        <v>11.629999999999999</v>
      </c>
      <c r="F155" s="2">
        <v>11.69</v>
      </c>
      <c r="G155" s="1" t="s">
        <v>26</v>
      </c>
      <c r="H155" s="4">
        <f t="shared" si="8"/>
        <v>1.388888888889106E-4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0.35951388888889096</v>
      </c>
      <c r="D156" s="4">
        <v>0.3596875000000021</v>
      </c>
      <c r="E156" s="2">
        <v>11.629999999999999</v>
      </c>
      <c r="F156" s="2">
        <v>11.77</v>
      </c>
      <c r="G156" s="1" t="s">
        <v>26</v>
      </c>
      <c r="H156" s="4">
        <f t="shared" si="8"/>
        <v>1.7361111111113825E-4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0.35996527777777987</v>
      </c>
      <c r="D157" s="4">
        <v>0.36010416666666878</v>
      </c>
      <c r="E157" s="2">
        <v>11.629999999999999</v>
      </c>
      <c r="F157" s="2">
        <v>11.659999999999998</v>
      </c>
      <c r="G157" s="1" t="s">
        <v>26</v>
      </c>
      <c r="H157" s="4">
        <f t="shared" si="8"/>
        <v>1.388888888889106E-4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0.36037037037037251</v>
      </c>
      <c r="D158" s="4">
        <v>0.36050925925926142</v>
      </c>
      <c r="E158" s="2">
        <v>11.629999999999999</v>
      </c>
      <c r="F158" s="2">
        <v>11.719999999999999</v>
      </c>
      <c r="G158" s="1" t="s">
        <v>26</v>
      </c>
      <c r="H158" s="4">
        <f t="shared" si="8"/>
        <v>1.388888888889106E-4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0.36077546296296514</v>
      </c>
      <c r="D159" s="4">
        <v>0.36094907407407628</v>
      </c>
      <c r="E159" s="2">
        <v>11.629999999999999</v>
      </c>
      <c r="F159" s="2">
        <v>11.639999999999999</v>
      </c>
      <c r="G159" s="1" t="s">
        <v>26</v>
      </c>
      <c r="H159" s="4">
        <f t="shared" si="8"/>
        <v>1.7361111111113825E-4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0.36120370370370591</v>
      </c>
      <c r="D160" s="4">
        <v>0.36134259259259482</v>
      </c>
      <c r="E160" s="2">
        <v>11.629999999999999</v>
      </c>
      <c r="F160" s="2">
        <v>11.729999999999999</v>
      </c>
      <c r="G160" s="1" t="s">
        <v>26</v>
      </c>
      <c r="H160" s="4">
        <f t="shared" si="8"/>
        <v>1.388888888889106E-4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0.36163194444444668</v>
      </c>
      <c r="D161" s="4">
        <v>0.3617708333333356</v>
      </c>
      <c r="E161" s="2">
        <v>11.629999999999999</v>
      </c>
      <c r="F161" s="2">
        <v>11.68</v>
      </c>
      <c r="G161" s="1" t="s">
        <v>26</v>
      </c>
      <c r="H161" s="4">
        <f t="shared" si="8"/>
        <v>1.388888888889106E-4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0.36206018518518746</v>
      </c>
      <c r="D162" s="4">
        <v>0.3622222222222245</v>
      </c>
      <c r="E162" s="2">
        <v>11.629999999999999</v>
      </c>
      <c r="F162" s="2">
        <v>11.739999999999998</v>
      </c>
      <c r="G162" s="1" t="s">
        <v>26</v>
      </c>
      <c r="H162" s="4">
        <f t="shared" si="8"/>
        <v>1.6203703703704386E-4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0.36251157407407636</v>
      </c>
      <c r="D163" s="4">
        <v>0.36265046296296527</v>
      </c>
      <c r="E163" s="2">
        <v>11.629999999999999</v>
      </c>
      <c r="F163" s="2">
        <v>11.669999999999998</v>
      </c>
      <c r="G163" s="1" t="s">
        <v>26</v>
      </c>
      <c r="H163" s="4">
        <f t="shared" si="8"/>
        <v>1.388888888889106E-4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0.36293981481481713</v>
      </c>
      <c r="D164" s="4">
        <v>0.36310185185185417</v>
      </c>
      <c r="E164" s="2">
        <v>11.629999999999999</v>
      </c>
      <c r="F164" s="2">
        <v>11.7</v>
      </c>
      <c r="G164" s="1" t="s">
        <v>26</v>
      </c>
      <c r="H164" s="4">
        <f t="shared" si="8"/>
        <v>1.6203703703704386E-4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0.36337962962963194</v>
      </c>
      <c r="D165" s="4">
        <v>0.36354166666666898</v>
      </c>
      <c r="E165" s="2">
        <v>11.629999999999999</v>
      </c>
      <c r="F165" s="2">
        <v>11.639999999999999</v>
      </c>
      <c r="G165" s="1" t="s">
        <v>26</v>
      </c>
      <c r="H165" s="4">
        <f t="shared" si="8"/>
        <v>1.6203703703704386E-4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0.36378472222222452</v>
      </c>
      <c r="D166" s="4">
        <v>0.36393518518518747</v>
      </c>
      <c r="E166" s="2">
        <v>11.629999999999999</v>
      </c>
      <c r="F166" s="2">
        <v>11.69</v>
      </c>
      <c r="G166" s="1" t="s">
        <v>26</v>
      </c>
      <c r="H166" s="4">
        <f t="shared" si="8"/>
        <v>1.5046296296294948E-4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0.3641898148148171</v>
      </c>
      <c r="D167" s="4">
        <v>0.36432870370370601</v>
      </c>
      <c r="E167" s="2">
        <v>11.629999999999999</v>
      </c>
      <c r="F167" s="2">
        <v>11.659999999999998</v>
      </c>
      <c r="G167" s="1" t="s">
        <v>26</v>
      </c>
      <c r="H167" s="4">
        <f t="shared" si="8"/>
        <v>1.388888888889106E-4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0.36459490740740974</v>
      </c>
      <c r="D168" s="4">
        <v>0.36474537037037269</v>
      </c>
      <c r="E168" s="2">
        <v>11.629999999999999</v>
      </c>
      <c r="F168" s="2">
        <v>11.7</v>
      </c>
      <c r="G168" s="1" t="s">
        <v>26</v>
      </c>
      <c r="H168" s="4">
        <f t="shared" si="8"/>
        <v>1.5046296296294948E-4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0.36498842592592823</v>
      </c>
      <c r="D169" s="4">
        <v>0.36512731481481714</v>
      </c>
      <c r="E169" s="2">
        <v>11.629999999999999</v>
      </c>
      <c r="F169" s="2">
        <v>11.68</v>
      </c>
      <c r="G169" s="1" t="s">
        <v>26</v>
      </c>
      <c r="H169" s="4">
        <f t="shared" si="8"/>
        <v>1.388888888889106E-4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0.36537037037037268</v>
      </c>
      <c r="D170" s="4">
        <v>0.36553240740740972</v>
      </c>
      <c r="E170" s="2">
        <v>11.629999999999999</v>
      </c>
      <c r="F170" s="2">
        <v>11.639999999999999</v>
      </c>
      <c r="G170" s="1" t="s">
        <v>26</v>
      </c>
      <c r="H170" s="4">
        <f t="shared" si="8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0.36582175925926158</v>
      </c>
      <c r="D171" s="4">
        <v>0.36598379629629862</v>
      </c>
      <c r="E171" s="2">
        <v>11.629999999999999</v>
      </c>
      <c r="F171" s="2">
        <v>11.709999999999999</v>
      </c>
      <c r="G171" s="1" t="s">
        <v>26</v>
      </c>
      <c r="H171" s="4">
        <f t="shared" si="8"/>
        <v>1.6203703703704386E-4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0.36623842592592826</v>
      </c>
      <c r="D172" s="4">
        <v>0.36637731481481717</v>
      </c>
      <c r="E172" s="2">
        <v>11.629999999999999</v>
      </c>
      <c r="F172" s="2">
        <v>11.739999999999998</v>
      </c>
      <c r="G172" s="1" t="s">
        <v>26</v>
      </c>
      <c r="H172" s="4">
        <f t="shared" si="8"/>
        <v>1.388888888889106E-4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0.36660879629629867</v>
      </c>
      <c r="D173" s="4">
        <v>0.36678240740740981</v>
      </c>
      <c r="E173" s="2">
        <v>11.629999999999999</v>
      </c>
      <c r="F173" s="2">
        <v>11.68</v>
      </c>
      <c r="G173" s="1" t="s">
        <v>26</v>
      </c>
      <c r="H173" s="4">
        <f t="shared" si="8"/>
        <v>1.7361111111113825E-4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0.36702546296296534</v>
      </c>
      <c r="D174" s="4">
        <v>0.36716435185185425</v>
      </c>
      <c r="E174" s="2">
        <v>11.629999999999999</v>
      </c>
      <c r="F174" s="2">
        <v>11.709999999999999</v>
      </c>
      <c r="G174" s="1" t="s">
        <v>26</v>
      </c>
      <c r="H174" s="4">
        <f t="shared" si="8"/>
        <v>1.388888888889106E-4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0.36739583333333575</v>
      </c>
      <c r="D175" s="4">
        <v>0.36756944444444689</v>
      </c>
      <c r="E175" s="2">
        <v>11.629999999999999</v>
      </c>
      <c r="F175" s="2">
        <v>11.7</v>
      </c>
      <c r="G175" s="1" t="s">
        <v>26</v>
      </c>
      <c r="H175" s="4">
        <f t="shared" si="8"/>
        <v>1.7361111111113825E-4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0.36781250000000243</v>
      </c>
      <c r="D176" s="4">
        <v>0.36797453703703947</v>
      </c>
      <c r="E176" s="2">
        <v>11.629999999999999</v>
      </c>
      <c r="F176" s="2">
        <v>11.77</v>
      </c>
      <c r="G176" s="1" t="s">
        <v>26</v>
      </c>
      <c r="H176" s="4">
        <f t="shared" si="8"/>
        <v>1.6203703703704386E-4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0.36820601851852097</v>
      </c>
      <c r="D177" s="4">
        <v>0.36836805555555802</v>
      </c>
      <c r="E177" s="2">
        <v>11.629999999999999</v>
      </c>
      <c r="F177" s="2">
        <v>11.78</v>
      </c>
      <c r="G177" s="1" t="s">
        <v>26</v>
      </c>
      <c r="H177" s="4">
        <f t="shared" si="8"/>
        <v>1.6203703703704386E-4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0.36861111111111355</v>
      </c>
      <c r="D178" s="4">
        <v>0.36875000000000246</v>
      </c>
      <c r="E178" s="2">
        <v>11.629999999999999</v>
      </c>
      <c r="F178" s="2">
        <v>11.639999999999999</v>
      </c>
      <c r="G178" s="1" t="s">
        <v>26</v>
      </c>
      <c r="H178" s="4">
        <f t="shared" si="8"/>
        <v>1.388888888889106E-4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0.36898148148148396</v>
      </c>
      <c r="D179" s="4">
        <v>0.36913194444444691</v>
      </c>
      <c r="E179" s="2">
        <v>11.629999999999999</v>
      </c>
      <c r="F179" s="2">
        <v>11.719999999999999</v>
      </c>
      <c r="G179" s="1" t="s">
        <v>26</v>
      </c>
      <c r="H179" s="4">
        <f t="shared" si="8"/>
        <v>1.5046296296294948E-4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0.36937500000000245</v>
      </c>
      <c r="D180" s="4">
        <v>0.3695254629629654</v>
      </c>
      <c r="E180" s="2">
        <v>11.629999999999999</v>
      </c>
      <c r="F180" s="2">
        <v>11.649999999999999</v>
      </c>
      <c r="G180" s="1" t="s">
        <v>26</v>
      </c>
      <c r="H180" s="4">
        <f t="shared" si="8"/>
        <v>1.5046296296294948E-4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0.36981481481481726</v>
      </c>
      <c r="D181" s="4">
        <v>0.36996527777778021</v>
      </c>
      <c r="E181" s="2">
        <v>11.629999999999999</v>
      </c>
      <c r="F181" s="2">
        <v>11.639999999999999</v>
      </c>
      <c r="G181" s="1" t="s">
        <v>26</v>
      </c>
      <c r="H181" s="4">
        <f t="shared" si="8"/>
        <v>1.5046296296294948E-4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0.37021990740740984</v>
      </c>
      <c r="D182" s="4">
        <v>0.37039351851852098</v>
      </c>
      <c r="E182" s="2">
        <v>11.629999999999999</v>
      </c>
      <c r="F182" s="2">
        <v>11.709999999999999</v>
      </c>
      <c r="G182" s="1" t="s">
        <v>26</v>
      </c>
      <c r="H182" s="4">
        <f t="shared" si="8"/>
        <v>1.7361111111113825E-4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0.37063657407407652</v>
      </c>
      <c r="D183" s="4">
        <v>0.37081018518518766</v>
      </c>
      <c r="E183" s="2">
        <v>11.629999999999999</v>
      </c>
      <c r="F183" s="2">
        <v>11.68</v>
      </c>
      <c r="G183" s="1" t="s">
        <v>26</v>
      </c>
      <c r="H183" s="4">
        <f t="shared" si="8"/>
        <v>1.7361111111113825E-4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0.37108796296296542</v>
      </c>
      <c r="D184" s="4">
        <v>0.37123842592592837</v>
      </c>
      <c r="E184" s="2">
        <v>11.629999999999999</v>
      </c>
      <c r="F184" s="2">
        <v>11.639999999999999</v>
      </c>
      <c r="G184" s="1" t="s">
        <v>26</v>
      </c>
      <c r="H184" s="4">
        <f t="shared" si="8"/>
        <v>1.5046296296294948E-4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0.3715046296296321</v>
      </c>
      <c r="D185" s="4">
        <v>0.37164351851852101</v>
      </c>
      <c r="E185" s="2">
        <v>11.629999999999999</v>
      </c>
      <c r="F185" s="2">
        <v>11.719999999999999</v>
      </c>
      <c r="G185" s="1" t="s">
        <v>26</v>
      </c>
      <c r="H185" s="4">
        <f t="shared" si="8"/>
        <v>1.388888888889106E-4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0.37187500000000251</v>
      </c>
      <c r="D186" s="4">
        <v>0.37202546296296546</v>
      </c>
      <c r="E186" s="2">
        <v>11.629999999999999</v>
      </c>
      <c r="F186" s="2">
        <v>11.709999999999999</v>
      </c>
      <c r="G186" s="1" t="s">
        <v>26</v>
      </c>
      <c r="H186" s="4">
        <f t="shared" si="8"/>
        <v>1.5046296296294948E-4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0.37228009259259509</v>
      </c>
      <c r="D187" s="4">
        <v>0.37243055555555804</v>
      </c>
      <c r="E187" s="2">
        <v>11.629999999999999</v>
      </c>
      <c r="F187" s="2">
        <v>11.659999999999998</v>
      </c>
      <c r="G187" s="1" t="s">
        <v>26</v>
      </c>
      <c r="H187" s="4">
        <f t="shared" si="8"/>
        <v>1.5046296296294948E-4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0.3727199074074099</v>
      </c>
      <c r="D188" s="4">
        <v>0.37285879629629881</v>
      </c>
      <c r="E188" s="2">
        <v>11.629999999999999</v>
      </c>
      <c r="F188" s="2">
        <v>11.709999999999999</v>
      </c>
      <c r="G188" s="1" t="s">
        <v>26</v>
      </c>
      <c r="H188" s="4">
        <f t="shared" si="8"/>
        <v>1.388888888889106E-4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0.37314814814815067</v>
      </c>
      <c r="D189" s="4">
        <v>0.37328703703703958</v>
      </c>
      <c r="E189" s="2">
        <v>11.629999999999999</v>
      </c>
      <c r="F189" s="2">
        <v>11.77</v>
      </c>
      <c r="G189" s="1" t="s">
        <v>26</v>
      </c>
      <c r="H189" s="4">
        <f t="shared" si="8"/>
        <v>1.388888888889106E-4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0.37354166666666921</v>
      </c>
      <c r="D190" s="4">
        <v>0.37369212962963216</v>
      </c>
      <c r="E190" s="2">
        <v>11.629999999999999</v>
      </c>
      <c r="F190" s="2">
        <v>11.729999999999999</v>
      </c>
      <c r="G190" s="1" t="s">
        <v>26</v>
      </c>
      <c r="H190" s="4">
        <f t="shared" si="8"/>
        <v>1.5046296296294948E-4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0.37392361111111366</v>
      </c>
      <c r="D191" s="4">
        <v>0.37408564814815071</v>
      </c>
      <c r="E191" s="2">
        <v>11.629999999999999</v>
      </c>
      <c r="F191" s="2">
        <v>11.649999999999999</v>
      </c>
      <c r="G191" s="1" t="s">
        <v>26</v>
      </c>
      <c r="H191" s="4">
        <f t="shared" si="8"/>
        <v>1.6203703703704386E-4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0.37435185185185443</v>
      </c>
      <c r="D192" s="4">
        <v>0.37452546296296557</v>
      </c>
      <c r="E192" s="2">
        <v>11.629999999999999</v>
      </c>
      <c r="F192" s="2">
        <v>11.7</v>
      </c>
      <c r="G192" s="1" t="s">
        <v>26</v>
      </c>
      <c r="H192" s="4">
        <f t="shared" si="8"/>
        <v>1.7361111111113825E-4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0.37481481481481743</v>
      </c>
      <c r="D193" s="4">
        <v>0.37495370370370634</v>
      </c>
      <c r="E193" s="2">
        <v>11.629999999999999</v>
      </c>
      <c r="F193" s="2">
        <v>11.659999999999998</v>
      </c>
      <c r="G193" s="1" t="s">
        <v>26</v>
      </c>
      <c r="H193" s="4">
        <f t="shared" si="8"/>
        <v>1.388888888889106E-4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0.37519675925926188</v>
      </c>
      <c r="D194" s="4">
        <v>0.37535879629629892</v>
      </c>
      <c r="E194" s="2">
        <v>11.629999999999999</v>
      </c>
      <c r="F194" s="2">
        <v>11.69</v>
      </c>
      <c r="G194" s="1" t="s">
        <v>26</v>
      </c>
      <c r="H194" s="4">
        <f t="shared" si="8"/>
        <v>1.6203703703704386E-4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0.37564814814815078</v>
      </c>
      <c r="D195" s="4">
        <v>0.37581018518518783</v>
      </c>
      <c r="E195" s="2">
        <v>11.629999999999999</v>
      </c>
      <c r="F195" s="2">
        <v>11.709999999999999</v>
      </c>
      <c r="G195" s="1" t="s">
        <v>26</v>
      </c>
      <c r="H195" s="4">
        <f t="shared" si="8"/>
        <v>1.6203703703704386E-4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0.37609953703703969</v>
      </c>
      <c r="D196" s="4">
        <v>0.37625000000000264</v>
      </c>
      <c r="E196" s="2">
        <v>11.629999999999999</v>
      </c>
      <c r="F196" s="2">
        <v>11.669999999999998</v>
      </c>
      <c r="G196" s="1" t="s">
        <v>26</v>
      </c>
      <c r="H196" s="4">
        <f t="shared" si="8"/>
        <v>1.5046296296294948E-4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0.37649305555555818</v>
      </c>
      <c r="D197" s="4">
        <v>0.37664351851852113</v>
      </c>
      <c r="E197" s="2">
        <v>11.629999999999999</v>
      </c>
      <c r="F197" s="2">
        <v>11.709999999999999</v>
      </c>
      <c r="G197" s="1" t="s">
        <v>26</v>
      </c>
      <c r="H197" s="4">
        <f t="shared" si="8"/>
        <v>1.5046296296294948E-4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0.37688657407407666</v>
      </c>
      <c r="D198" s="4">
        <v>0.3770601851851878</v>
      </c>
      <c r="E198" s="2">
        <v>11.629999999999999</v>
      </c>
      <c r="F198" s="2">
        <v>11.68</v>
      </c>
      <c r="G198" s="1" t="s">
        <v>26</v>
      </c>
      <c r="H198" s="4">
        <f t="shared" si="8"/>
        <v>1.7361111111113825E-4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0.37732638888889153</v>
      </c>
      <c r="D199" s="4">
        <v>0.37746527777778044</v>
      </c>
      <c r="E199" s="2">
        <v>11.629999999999999</v>
      </c>
      <c r="F199" s="2">
        <v>11.76</v>
      </c>
      <c r="G199" s="1" t="s">
        <v>26</v>
      </c>
      <c r="H199" s="4">
        <f t="shared" si="8"/>
        <v>1.388888888889106E-4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0.3777546296296323</v>
      </c>
      <c r="D200" s="4">
        <v>0.37792824074074344</v>
      </c>
      <c r="E200" s="2">
        <v>11.629999999999999</v>
      </c>
      <c r="F200" s="2">
        <v>11.739999999999998</v>
      </c>
      <c r="G200" s="1" t="s">
        <v>26</v>
      </c>
      <c r="H200" s="4">
        <f t="shared" si="8"/>
        <v>1.7361111111113825E-4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0.3782175925925953</v>
      </c>
      <c r="D201" s="4">
        <v>0.37837962962963234</v>
      </c>
      <c r="E201" s="2">
        <v>11.629999999999999</v>
      </c>
      <c r="F201" s="2">
        <v>11.659999999999998</v>
      </c>
      <c r="G201" s="1" t="s">
        <v>26</v>
      </c>
      <c r="H201" s="4">
        <f t="shared" si="8"/>
        <v>1.6203703703704386E-4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0.37861111111111384</v>
      </c>
      <c r="D202" s="4">
        <v>0.37875000000000275</v>
      </c>
      <c r="E202" s="2">
        <v>11.629999999999999</v>
      </c>
      <c r="F202" s="2">
        <v>11.719999999999999</v>
      </c>
      <c r="G202" s="1" t="s">
        <v>26</v>
      </c>
      <c r="H202" s="4">
        <f t="shared" si="8"/>
        <v>1.388888888889106E-4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0.37899305555555829</v>
      </c>
      <c r="D203" s="4">
        <v>0.37914351851852124</v>
      </c>
      <c r="E203" s="2">
        <v>11.629999999999999</v>
      </c>
      <c r="F203" s="2">
        <v>11.77</v>
      </c>
      <c r="G203" s="1" t="s">
        <v>26</v>
      </c>
      <c r="H203" s="4">
        <f t="shared" si="8"/>
        <v>1.5046296296294948E-4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0.37938657407407678</v>
      </c>
      <c r="D204" s="4">
        <v>0.37953703703703973</v>
      </c>
      <c r="E204" s="2">
        <v>11.629999999999999</v>
      </c>
      <c r="F204" s="2">
        <v>11.77</v>
      </c>
      <c r="G204" s="1" t="s">
        <v>26</v>
      </c>
      <c r="H204" s="4">
        <f t="shared" ref="H204:H267" si="10">D204-C204</f>
        <v>1.5046296296294948E-4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0.37982638888889159</v>
      </c>
      <c r="D205" s="4">
        <v>0.37997685185185454</v>
      </c>
      <c r="E205" s="2">
        <v>11.629999999999999</v>
      </c>
      <c r="F205" s="2">
        <v>11.669999999999998</v>
      </c>
      <c r="G205" s="1" t="s">
        <v>26</v>
      </c>
      <c r="H205" s="4">
        <f t="shared" si="10"/>
        <v>1.5046296296294948E-4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0.38020833333333603</v>
      </c>
      <c r="D206" s="4">
        <v>0.38035879629629898</v>
      </c>
      <c r="E206" s="2">
        <v>11.629999999999999</v>
      </c>
      <c r="F206" s="2">
        <v>11.7</v>
      </c>
      <c r="G206" s="1" t="s">
        <v>26</v>
      </c>
      <c r="H206" s="4">
        <f t="shared" si="10"/>
        <v>1.5046296296294948E-4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0.38063657407407675</v>
      </c>
      <c r="D207" s="4">
        <v>0.38077546296296566</v>
      </c>
      <c r="E207" s="2">
        <v>11.629999999999999</v>
      </c>
      <c r="F207" s="2">
        <v>11.7</v>
      </c>
      <c r="G207" s="1" t="s">
        <v>26</v>
      </c>
      <c r="H207" s="4">
        <f t="shared" si="10"/>
        <v>1.388888888889106E-4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0.38100694444444716</v>
      </c>
      <c r="D208" s="4">
        <v>0.3811689814814842</v>
      </c>
      <c r="E208" s="2">
        <v>11.629999999999999</v>
      </c>
      <c r="F208" s="2">
        <v>11.69</v>
      </c>
      <c r="G208" s="1" t="s">
        <v>26</v>
      </c>
      <c r="H208" s="4">
        <f t="shared" si="10"/>
        <v>1.6203703703704386E-4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0.38144675925926197</v>
      </c>
      <c r="D209" s="4">
        <v>0.38162037037037311</v>
      </c>
      <c r="E209" s="2">
        <v>11.629999999999999</v>
      </c>
      <c r="F209" s="2">
        <v>11.78</v>
      </c>
      <c r="G209" s="1" t="s">
        <v>26</v>
      </c>
      <c r="H209" s="4">
        <f t="shared" si="10"/>
        <v>1.7361111111113825E-4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0.38190972222222497</v>
      </c>
      <c r="D210" s="4">
        <v>0.38204861111111388</v>
      </c>
      <c r="E210" s="2">
        <v>11.629999999999999</v>
      </c>
      <c r="F210" s="2">
        <v>11.76</v>
      </c>
      <c r="G210" s="1" t="s">
        <v>26</v>
      </c>
      <c r="H210" s="4">
        <f t="shared" si="10"/>
        <v>1.388888888889106E-4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0.38229166666666942</v>
      </c>
      <c r="D211" s="4">
        <v>0.38244212962963237</v>
      </c>
      <c r="E211" s="2">
        <v>11.629999999999999</v>
      </c>
      <c r="F211" s="2">
        <v>11.649999999999999</v>
      </c>
      <c r="G211" s="1" t="s">
        <v>26</v>
      </c>
      <c r="H211" s="4">
        <f t="shared" si="10"/>
        <v>1.5046296296294948E-4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0.38273148148148423</v>
      </c>
      <c r="D212" s="4">
        <v>0.38287037037037314</v>
      </c>
      <c r="E212" s="2">
        <v>11.629999999999999</v>
      </c>
      <c r="F212" s="2">
        <v>11.78</v>
      </c>
      <c r="G212" s="1" t="s">
        <v>26</v>
      </c>
      <c r="H212" s="4">
        <f t="shared" si="10"/>
        <v>1.388888888889106E-4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0.38310185185185464</v>
      </c>
      <c r="D213" s="4">
        <v>0.38325231481481759</v>
      </c>
      <c r="E213" s="2">
        <v>11.629999999999999</v>
      </c>
      <c r="F213" s="2">
        <v>11.639999999999999</v>
      </c>
      <c r="G213" s="1" t="s">
        <v>26</v>
      </c>
      <c r="H213" s="4">
        <f t="shared" si="10"/>
        <v>1.5046296296294948E-4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0.38354166666666945</v>
      </c>
      <c r="D214" s="4">
        <v>0.38370370370370649</v>
      </c>
      <c r="E214" s="2">
        <v>11.629999999999999</v>
      </c>
      <c r="F214" s="2">
        <v>11.749999999999998</v>
      </c>
      <c r="G214" s="1" t="s">
        <v>26</v>
      </c>
      <c r="H214" s="4">
        <f t="shared" si="10"/>
        <v>1.6203703703704386E-4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0.38398148148148425</v>
      </c>
      <c r="D215" s="4">
        <v>0.3841319444444472</v>
      </c>
      <c r="E215" s="2">
        <v>11.629999999999999</v>
      </c>
      <c r="F215" s="2">
        <v>11.68</v>
      </c>
      <c r="G215" s="1" t="s">
        <v>26</v>
      </c>
      <c r="H215" s="4">
        <f t="shared" si="10"/>
        <v>1.5046296296294948E-4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0.38438657407407684</v>
      </c>
      <c r="D216" s="4">
        <v>0.38452546296296575</v>
      </c>
      <c r="E216" s="2">
        <v>11.629999999999999</v>
      </c>
      <c r="F216" s="2">
        <v>11.749999999999998</v>
      </c>
      <c r="G216" s="1" t="s">
        <v>26</v>
      </c>
      <c r="H216" s="4">
        <f t="shared" si="10"/>
        <v>1.388888888889106E-4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0.38478009259259538</v>
      </c>
      <c r="D217" s="4">
        <v>0.38493055555555833</v>
      </c>
      <c r="E217" s="2">
        <v>11.629999999999999</v>
      </c>
      <c r="F217" s="2">
        <v>11.729999999999999</v>
      </c>
      <c r="G217" s="1" t="s">
        <v>26</v>
      </c>
      <c r="H217" s="4">
        <f t="shared" si="10"/>
        <v>1.5046296296294948E-4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0.38518518518518796</v>
      </c>
      <c r="D218" s="4">
        <v>0.38532407407407687</v>
      </c>
      <c r="E218" s="2">
        <v>11.629999999999999</v>
      </c>
      <c r="F218" s="2">
        <v>11.709999999999999</v>
      </c>
      <c r="G218" s="1" t="s">
        <v>26</v>
      </c>
      <c r="H218" s="4">
        <f t="shared" si="10"/>
        <v>1.388888888889106E-4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0.3855787037037065</v>
      </c>
      <c r="D219" s="4">
        <v>0.38571759259259542</v>
      </c>
      <c r="E219" s="2">
        <v>11.629999999999999</v>
      </c>
      <c r="F219" s="2">
        <v>11.78</v>
      </c>
      <c r="G219" s="1" t="s">
        <v>26</v>
      </c>
      <c r="H219" s="4">
        <f t="shared" si="10"/>
        <v>1.388888888889106E-4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0.38597222222222505</v>
      </c>
      <c r="D220" s="4">
        <v>0.38614583333333619</v>
      </c>
      <c r="E220" s="2">
        <v>11.629999999999999</v>
      </c>
      <c r="F220" s="2">
        <v>11.68</v>
      </c>
      <c r="G220" s="1" t="s">
        <v>26</v>
      </c>
      <c r="H220" s="4">
        <f t="shared" si="10"/>
        <v>1.7361111111113825E-4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0.38642361111111395</v>
      </c>
      <c r="D221" s="4">
        <v>0.38656250000000286</v>
      </c>
      <c r="E221" s="2">
        <v>11.629999999999999</v>
      </c>
      <c r="F221" s="2">
        <v>11.76</v>
      </c>
      <c r="G221" s="1" t="s">
        <v>26</v>
      </c>
      <c r="H221" s="4">
        <f t="shared" si="10"/>
        <v>1.388888888889106E-4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0.38679398148148436</v>
      </c>
      <c r="D222" s="4">
        <v>0.38695601851852141</v>
      </c>
      <c r="E222" s="2">
        <v>11.629999999999999</v>
      </c>
      <c r="F222" s="2">
        <v>11.719999999999999</v>
      </c>
      <c r="G222" s="1" t="s">
        <v>26</v>
      </c>
      <c r="H222" s="4">
        <f t="shared" si="10"/>
        <v>1.6203703703704386E-4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0.38719907407407694</v>
      </c>
      <c r="D223" s="4">
        <v>0.38733796296296585</v>
      </c>
      <c r="E223" s="2">
        <v>11.629999999999999</v>
      </c>
      <c r="F223" s="2">
        <v>11.76</v>
      </c>
      <c r="G223" s="1" t="s">
        <v>26</v>
      </c>
      <c r="H223" s="4">
        <f t="shared" si="10"/>
        <v>1.388888888889106E-4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0.38756944444444735</v>
      </c>
      <c r="D224" s="4">
        <v>0.3877199074074103</v>
      </c>
      <c r="E224" s="2">
        <v>11.629999999999999</v>
      </c>
      <c r="F224" s="2">
        <v>11.78</v>
      </c>
      <c r="G224" s="1" t="s">
        <v>26</v>
      </c>
      <c r="H224" s="4">
        <f t="shared" si="10"/>
        <v>1.5046296296294948E-4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0.38798611111111403</v>
      </c>
      <c r="D225" s="4">
        <v>0.38814814814815107</v>
      </c>
      <c r="E225" s="2">
        <v>11.629999999999999</v>
      </c>
      <c r="F225" s="2">
        <v>11.729999999999999</v>
      </c>
      <c r="G225" s="1" t="s">
        <v>26</v>
      </c>
      <c r="H225" s="4">
        <f t="shared" si="10"/>
        <v>1.6203703703704386E-4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0.38843750000000293</v>
      </c>
      <c r="D226" s="4">
        <v>0.38859953703703998</v>
      </c>
      <c r="E226" s="2">
        <v>11.629999999999999</v>
      </c>
      <c r="F226" s="2">
        <v>11.68</v>
      </c>
      <c r="G226" s="1" t="s">
        <v>26</v>
      </c>
      <c r="H226" s="4">
        <f t="shared" si="10"/>
        <v>1.6203703703704386E-4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0.3888657407407437</v>
      </c>
      <c r="D227" s="4">
        <v>0.38902777777778075</v>
      </c>
      <c r="E227" s="2">
        <v>11.629999999999999</v>
      </c>
      <c r="F227" s="2">
        <v>11.729999999999999</v>
      </c>
      <c r="G227" s="1" t="s">
        <v>26</v>
      </c>
      <c r="H227" s="4">
        <f t="shared" si="10"/>
        <v>1.6203703703704386E-4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0.38929398148148447</v>
      </c>
      <c r="D228" s="4">
        <v>0.38946759259259561</v>
      </c>
      <c r="E228" s="2">
        <v>11.629999999999999</v>
      </c>
      <c r="F228" s="2">
        <v>11.639999999999999</v>
      </c>
      <c r="G228" s="1" t="s">
        <v>26</v>
      </c>
      <c r="H228" s="4">
        <f t="shared" si="10"/>
        <v>1.7361111111113825E-4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0.38975694444444747</v>
      </c>
      <c r="D229" s="4">
        <v>0.38993055555555861</v>
      </c>
      <c r="E229" s="2">
        <v>11.629999999999999</v>
      </c>
      <c r="F229" s="2">
        <v>11.739999999999998</v>
      </c>
      <c r="G229" s="1" t="s">
        <v>26</v>
      </c>
      <c r="H229" s="4">
        <f t="shared" si="10"/>
        <v>1.7361111111113825E-4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0.39020833333333638</v>
      </c>
      <c r="D230" s="4">
        <v>0.39034722222222529</v>
      </c>
      <c r="E230" s="2">
        <v>11.629999999999999</v>
      </c>
      <c r="F230" s="2">
        <v>11.7</v>
      </c>
      <c r="G230" s="1" t="s">
        <v>26</v>
      </c>
      <c r="H230" s="4">
        <f t="shared" si="10"/>
        <v>1.388888888889106E-4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0.39061342592592901</v>
      </c>
      <c r="D231" s="4">
        <v>0.39077546296296606</v>
      </c>
      <c r="E231" s="2">
        <v>11.629999999999999</v>
      </c>
      <c r="F231" s="2">
        <v>11.649999999999999</v>
      </c>
      <c r="G231" s="1" t="s">
        <v>26</v>
      </c>
      <c r="H231" s="4">
        <f t="shared" si="10"/>
        <v>1.6203703703704386E-4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0.3910185185185216</v>
      </c>
      <c r="D232" s="4">
        <v>0.39115740740741051</v>
      </c>
      <c r="E232" s="2">
        <v>11.629999999999999</v>
      </c>
      <c r="F232" s="2">
        <v>11.749999999999998</v>
      </c>
      <c r="G232" s="1" t="s">
        <v>26</v>
      </c>
      <c r="H232" s="4">
        <f t="shared" si="10"/>
        <v>1.388888888889106E-4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0.39144675925926237</v>
      </c>
      <c r="D233" s="4">
        <v>0.39162037037037351</v>
      </c>
      <c r="E233" s="2">
        <v>11.629999999999999</v>
      </c>
      <c r="F233" s="2">
        <v>11.69</v>
      </c>
      <c r="G233" s="1" t="s">
        <v>26</v>
      </c>
      <c r="H233" s="4">
        <f t="shared" si="10"/>
        <v>1.7361111111113825E-4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0.39189814814815127</v>
      </c>
      <c r="D234" s="4">
        <v>0.39204861111111422</v>
      </c>
      <c r="E234" s="2">
        <v>11.629999999999999</v>
      </c>
      <c r="F234" s="2">
        <v>11.69</v>
      </c>
      <c r="G234" s="1" t="s">
        <v>26</v>
      </c>
      <c r="H234" s="4">
        <f t="shared" si="10"/>
        <v>1.5046296296294948E-4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0.39228009259259572</v>
      </c>
      <c r="D235" s="4">
        <v>0.39244212962963276</v>
      </c>
      <c r="E235" s="2">
        <v>11.629999999999999</v>
      </c>
      <c r="F235" s="2">
        <v>11.749999999999998</v>
      </c>
      <c r="G235" s="1" t="s">
        <v>26</v>
      </c>
      <c r="H235" s="4">
        <f t="shared" si="10"/>
        <v>1.6203703703704386E-4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0.3926851851851883</v>
      </c>
      <c r="D236" s="4">
        <v>0.39282407407407721</v>
      </c>
      <c r="E236" s="2">
        <v>11.629999999999999</v>
      </c>
      <c r="F236" s="2">
        <v>11.669999999999998</v>
      </c>
      <c r="G236" s="1" t="s">
        <v>26</v>
      </c>
      <c r="H236" s="4">
        <f t="shared" si="10"/>
        <v>1.388888888889106E-4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0.39307870370370684</v>
      </c>
      <c r="D237" s="4">
        <v>0.39321759259259575</v>
      </c>
      <c r="E237" s="2">
        <v>11.629999999999999</v>
      </c>
      <c r="F237" s="2">
        <v>11.7</v>
      </c>
      <c r="G237" s="1" t="s">
        <v>26</v>
      </c>
      <c r="H237" s="4">
        <f t="shared" si="10"/>
        <v>1.388888888889106E-4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0.39349537037037352</v>
      </c>
      <c r="D238" s="4">
        <v>0.39365740740741056</v>
      </c>
      <c r="E238" s="2">
        <v>11.629999999999999</v>
      </c>
      <c r="F238" s="2">
        <v>11.69</v>
      </c>
      <c r="G238" s="1" t="s">
        <v>26</v>
      </c>
      <c r="H238" s="4">
        <f t="shared" si="10"/>
        <v>1.6203703703704386E-4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0.39393518518518833</v>
      </c>
      <c r="D239" s="4">
        <v>0.39409722222222537</v>
      </c>
      <c r="E239" s="2">
        <v>11.629999999999999</v>
      </c>
      <c r="F239" s="2">
        <v>11.76</v>
      </c>
      <c r="G239" s="1" t="s">
        <v>26</v>
      </c>
      <c r="H239" s="4">
        <f t="shared" si="10"/>
        <v>1.6203703703704386E-4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0.39434027777778091</v>
      </c>
      <c r="D240" s="4">
        <v>0.39447916666666982</v>
      </c>
      <c r="E240" s="2">
        <v>11.629999999999999</v>
      </c>
      <c r="F240" s="2">
        <v>11.78</v>
      </c>
      <c r="G240" s="1" t="s">
        <v>26</v>
      </c>
      <c r="H240" s="4">
        <f t="shared" si="10"/>
        <v>1.388888888889106E-4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0.39476851851852168</v>
      </c>
      <c r="D241" s="4">
        <v>0.39491898148148463</v>
      </c>
      <c r="E241" s="2">
        <v>11.629999999999999</v>
      </c>
      <c r="F241" s="2">
        <v>11.649999999999999</v>
      </c>
      <c r="G241" s="1" t="s">
        <v>26</v>
      </c>
      <c r="H241" s="4">
        <f t="shared" si="10"/>
        <v>1.5046296296294948E-4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0.3951967592592624</v>
      </c>
      <c r="D242" s="4">
        <v>0.39534722222222535</v>
      </c>
      <c r="E242" s="2">
        <v>11.629999999999999</v>
      </c>
      <c r="F242" s="2">
        <v>11.639999999999999</v>
      </c>
      <c r="G242" s="1" t="s">
        <v>26</v>
      </c>
      <c r="H242" s="4">
        <f t="shared" si="10"/>
        <v>1.5046296296294948E-4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0.39560185185185498</v>
      </c>
      <c r="D243" s="4">
        <v>0.39577546296296612</v>
      </c>
      <c r="E243" s="2">
        <v>11.629999999999999</v>
      </c>
      <c r="F243" s="2">
        <v>11.639999999999999</v>
      </c>
      <c r="G243" s="1" t="s">
        <v>26</v>
      </c>
      <c r="H243" s="4">
        <f t="shared" si="10"/>
        <v>1.7361111111113825E-4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0.39603009259259575</v>
      </c>
      <c r="D244" s="4">
        <v>0.39619212962963279</v>
      </c>
      <c r="E244" s="2">
        <v>11.629999999999999</v>
      </c>
      <c r="F244" s="2">
        <v>11.68</v>
      </c>
      <c r="G244" s="1" t="s">
        <v>26</v>
      </c>
      <c r="H244" s="4">
        <f t="shared" si="10"/>
        <v>1.6203703703704386E-4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0.39644675925926243</v>
      </c>
      <c r="D245" s="4">
        <v>0.39662037037037357</v>
      </c>
      <c r="E245" s="2">
        <v>11.629999999999999</v>
      </c>
      <c r="F245" s="2">
        <v>11.659999999999998</v>
      </c>
      <c r="G245" s="1" t="s">
        <v>26</v>
      </c>
      <c r="H245" s="4">
        <f t="shared" si="10"/>
        <v>1.7361111111113825E-4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0.3968634259259291</v>
      </c>
      <c r="D246" s="4">
        <v>0.39701388888889205</v>
      </c>
      <c r="E246" s="2">
        <v>11.629999999999999</v>
      </c>
      <c r="F246" s="2">
        <v>11.739999999999998</v>
      </c>
      <c r="G246" s="1" t="s">
        <v>26</v>
      </c>
      <c r="H246" s="4">
        <f t="shared" si="10"/>
        <v>1.5046296296294948E-4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0.39724537037037355</v>
      </c>
      <c r="D247" s="4">
        <v>0.39741898148148469</v>
      </c>
      <c r="E247" s="2">
        <v>11.629999999999999</v>
      </c>
      <c r="F247" s="2">
        <v>11.729999999999999</v>
      </c>
      <c r="G247" s="1" t="s">
        <v>26</v>
      </c>
      <c r="H247" s="4">
        <f t="shared" si="10"/>
        <v>1.7361111111113825E-4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0.39766203703704023</v>
      </c>
      <c r="D248" s="4">
        <v>0.39781250000000318</v>
      </c>
      <c r="E248" s="2">
        <v>11.629999999999999</v>
      </c>
      <c r="F248" s="2">
        <v>11.76</v>
      </c>
      <c r="G248" s="1" t="s">
        <v>26</v>
      </c>
      <c r="H248" s="4">
        <f t="shared" si="10"/>
        <v>1.5046296296294948E-4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0.39804398148148468</v>
      </c>
      <c r="D249" s="4">
        <v>0.39820601851852172</v>
      </c>
      <c r="E249" s="2">
        <v>11.629999999999999</v>
      </c>
      <c r="F249" s="2">
        <v>11.68</v>
      </c>
      <c r="G249" s="1" t="s">
        <v>26</v>
      </c>
      <c r="H249" s="4">
        <f t="shared" si="10"/>
        <v>1.6203703703704386E-4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0.39847222222222545</v>
      </c>
      <c r="D250" s="4">
        <v>0.39863425925926249</v>
      </c>
      <c r="E250" s="2">
        <v>11.629999999999999</v>
      </c>
      <c r="F250" s="2">
        <v>11.68</v>
      </c>
      <c r="G250" s="1" t="s">
        <v>26</v>
      </c>
      <c r="H250" s="4">
        <f t="shared" si="10"/>
        <v>1.6203703703704386E-4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0.39892361111111435</v>
      </c>
      <c r="D251" s="4">
        <v>0.39909722222222549</v>
      </c>
      <c r="E251" s="2">
        <v>11.629999999999999</v>
      </c>
      <c r="F251" s="2">
        <v>11.639999999999999</v>
      </c>
      <c r="G251" s="1" t="s">
        <v>26</v>
      </c>
      <c r="H251" s="4">
        <f t="shared" si="10"/>
        <v>1.7361111111113825E-4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0.39934027777778103</v>
      </c>
      <c r="D252" s="4">
        <v>0.39947916666666994</v>
      </c>
      <c r="E252" s="2">
        <v>11.629999999999999</v>
      </c>
      <c r="F252" s="2">
        <v>11.719999999999999</v>
      </c>
      <c r="G252" s="1" t="s">
        <v>26</v>
      </c>
      <c r="H252" s="4">
        <f t="shared" si="10"/>
        <v>1.388888888889106E-4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0.39972222222222548</v>
      </c>
      <c r="D253" s="4">
        <v>0.39989583333333661</v>
      </c>
      <c r="E253" s="2">
        <v>11.629999999999999</v>
      </c>
      <c r="F253" s="2">
        <v>11.76</v>
      </c>
      <c r="G253" s="1" t="s">
        <v>26</v>
      </c>
      <c r="H253" s="4">
        <f t="shared" si="10"/>
        <v>1.7361111111113825E-4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0.40018518518518847</v>
      </c>
      <c r="D254" s="4">
        <v>0.40033564814815142</v>
      </c>
      <c r="E254" s="2">
        <v>11.629999999999999</v>
      </c>
      <c r="F254" s="2">
        <v>11.69</v>
      </c>
      <c r="G254" s="1" t="s">
        <v>26</v>
      </c>
      <c r="H254" s="4">
        <f t="shared" si="10"/>
        <v>1.5046296296294948E-4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0.40056712962963292</v>
      </c>
      <c r="D255" s="4">
        <v>0.40072916666666997</v>
      </c>
      <c r="E255" s="2">
        <v>11.629999999999999</v>
      </c>
      <c r="F255" s="2">
        <v>11.69</v>
      </c>
      <c r="G255" s="1" t="s">
        <v>26</v>
      </c>
      <c r="H255" s="4">
        <f t="shared" si="10"/>
        <v>1.6203703703704386E-4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0.40100694444444773</v>
      </c>
      <c r="D256" s="4">
        <v>0.40118055555555887</v>
      </c>
      <c r="E256" s="2">
        <v>11.629999999999999</v>
      </c>
      <c r="F256" s="2">
        <v>11.7</v>
      </c>
      <c r="G256" s="1" t="s">
        <v>26</v>
      </c>
      <c r="H256" s="4">
        <f t="shared" si="10"/>
        <v>1.7361111111113825E-4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0.40145833333333664</v>
      </c>
      <c r="D257" s="4">
        <v>0.40159722222222555</v>
      </c>
      <c r="E257" s="2">
        <v>11.629999999999999</v>
      </c>
      <c r="F257" s="2">
        <v>11.739999999999998</v>
      </c>
      <c r="G257" s="1" t="s">
        <v>26</v>
      </c>
      <c r="H257" s="4">
        <f t="shared" si="10"/>
        <v>1.388888888889106E-4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0.40182870370370705</v>
      </c>
      <c r="D258" s="4">
        <v>0.40199074074074409</v>
      </c>
      <c r="E258" s="2">
        <v>11.629999999999999</v>
      </c>
      <c r="F258" s="2">
        <v>11.68</v>
      </c>
      <c r="G258" s="1" t="s">
        <v>26</v>
      </c>
      <c r="H258" s="4">
        <f t="shared" si="10"/>
        <v>1.6203703703704386E-4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0.40225694444444782</v>
      </c>
      <c r="D259" s="4">
        <v>0.40241898148148486</v>
      </c>
      <c r="E259" s="2">
        <v>11.629999999999999</v>
      </c>
      <c r="F259" s="2">
        <v>11.69</v>
      </c>
      <c r="G259" s="1" t="s">
        <v>26</v>
      </c>
      <c r="H259" s="4">
        <f t="shared" si="10"/>
        <v>1.6203703703704386E-4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0.4026620370370404</v>
      </c>
      <c r="D260" s="4">
        <v>0.40281250000000335</v>
      </c>
      <c r="E260" s="2">
        <v>11.629999999999999</v>
      </c>
      <c r="F260" s="2">
        <v>11.709999999999999</v>
      </c>
      <c r="G260" s="1" t="s">
        <v>26</v>
      </c>
      <c r="H260" s="4">
        <f t="shared" si="10"/>
        <v>1.5046296296294948E-4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0.40305555555555889</v>
      </c>
      <c r="D261" s="4">
        <v>0.40320601851852184</v>
      </c>
      <c r="E261" s="2">
        <v>11.629999999999999</v>
      </c>
      <c r="F261" s="2">
        <v>11.7</v>
      </c>
      <c r="G261" s="1" t="s">
        <v>26</v>
      </c>
      <c r="H261" s="4">
        <f t="shared" si="10"/>
        <v>1.5046296296294948E-4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0.40347222222222556</v>
      </c>
      <c r="D262" s="4">
        <v>0.4036458333333367</v>
      </c>
      <c r="E262" s="2">
        <v>11.629999999999999</v>
      </c>
      <c r="F262" s="2">
        <v>11.719999999999999</v>
      </c>
      <c r="G262" s="1" t="s">
        <v>26</v>
      </c>
      <c r="H262" s="4">
        <f t="shared" si="10"/>
        <v>1.7361111111113825E-4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0.40392361111111447</v>
      </c>
      <c r="D263" s="4">
        <v>0.40406250000000338</v>
      </c>
      <c r="E263" s="2">
        <v>11.629999999999999</v>
      </c>
      <c r="F263" s="2">
        <v>11.749999999999998</v>
      </c>
      <c r="G263" s="1" t="s">
        <v>26</v>
      </c>
      <c r="H263" s="4">
        <f t="shared" si="10"/>
        <v>1.388888888889106E-4</v>
      </c>
      <c r="I263">
        <f t="shared" ref="I263:I271" si="11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0.40435185185185524</v>
      </c>
      <c r="D264" s="4">
        <v>0.40449074074074415</v>
      </c>
      <c r="E264" s="2">
        <v>11.629999999999999</v>
      </c>
      <c r="F264" s="2">
        <v>11.68</v>
      </c>
      <c r="G264" s="1" t="s">
        <v>26</v>
      </c>
      <c r="H264" s="4">
        <f t="shared" si="10"/>
        <v>1.388888888889106E-4</v>
      </c>
      <c r="I264">
        <f t="shared" si="11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0.40473379629629969</v>
      </c>
      <c r="D265" s="4">
        <v>0.40489583333333673</v>
      </c>
      <c r="E265" s="2">
        <v>11.629999999999999</v>
      </c>
      <c r="F265" s="2">
        <v>11.77</v>
      </c>
      <c r="G265" s="1" t="s">
        <v>26</v>
      </c>
      <c r="H265" s="4">
        <f t="shared" si="10"/>
        <v>1.6203703703704386E-4</v>
      </c>
      <c r="I265">
        <f t="shared" si="11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0.40513888888889227</v>
      </c>
      <c r="D266" s="4">
        <v>0.40528935185185522</v>
      </c>
      <c r="E266" s="2">
        <v>11.629999999999999</v>
      </c>
      <c r="F266" s="2">
        <v>11.659999999999998</v>
      </c>
      <c r="G266" s="1" t="s">
        <v>26</v>
      </c>
      <c r="H266" s="4">
        <f t="shared" si="10"/>
        <v>1.5046296296294948E-4</v>
      </c>
      <c r="I266">
        <f t="shared" si="11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0.40556712962963298</v>
      </c>
      <c r="D267" s="4">
        <v>0.40571759259259593</v>
      </c>
      <c r="E267" s="2">
        <v>11.629999999999999</v>
      </c>
      <c r="F267" s="2">
        <v>11.68</v>
      </c>
      <c r="G267" s="1" t="s">
        <v>26</v>
      </c>
      <c r="H267" s="4">
        <f t="shared" si="10"/>
        <v>1.5046296296294948E-4</v>
      </c>
      <c r="I267">
        <f t="shared" si="11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0.40597222222222556</v>
      </c>
      <c r="D268" s="4">
        <v>0.40612268518518851</v>
      </c>
      <c r="E268" s="2">
        <v>11.629999999999999</v>
      </c>
      <c r="F268" s="2">
        <v>11.68</v>
      </c>
      <c r="G268" s="1" t="s">
        <v>26</v>
      </c>
      <c r="H268" s="4">
        <f t="shared" ref="H268:H331" si="13">D268-C268</f>
        <v>1.5046296296294948E-4</v>
      </c>
      <c r="I268">
        <f t="shared" si="11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0.40636574074074405</v>
      </c>
      <c r="D269" s="4">
        <v>0.406516203703707</v>
      </c>
      <c r="E269" s="2">
        <v>11.629999999999999</v>
      </c>
      <c r="F269" s="2">
        <v>11.77</v>
      </c>
      <c r="G269" s="1" t="s">
        <v>26</v>
      </c>
      <c r="H269" s="4">
        <f t="shared" si="13"/>
        <v>1.5046296296294948E-4</v>
      </c>
      <c r="I269">
        <f t="shared" si="11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0.40677083333333663</v>
      </c>
      <c r="D270" s="4">
        <v>0.40690972222222554</v>
      </c>
      <c r="E270" s="2">
        <v>11.629999999999999</v>
      </c>
      <c r="F270" s="2">
        <v>11.739999999999998</v>
      </c>
      <c r="G270" s="1" t="s">
        <v>26</v>
      </c>
      <c r="H270" s="4">
        <f t="shared" si="13"/>
        <v>1.388888888889106E-4</v>
      </c>
      <c r="I270">
        <f t="shared" si="11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0.40718750000000331</v>
      </c>
      <c r="D271" s="4">
        <v>0.40734953703704035</v>
      </c>
      <c r="E271" s="2">
        <v>11.629999999999999</v>
      </c>
      <c r="F271" s="2">
        <v>11.77</v>
      </c>
      <c r="G271" s="1" t="s">
        <v>26</v>
      </c>
      <c r="H271" s="4">
        <f t="shared" si="13"/>
        <v>1.6203703703704386E-4</v>
      </c>
      <c r="I271">
        <f t="shared" si="11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0.40762731481481812</v>
      </c>
      <c r="D272" s="4">
        <v>0.40777777777778107</v>
      </c>
      <c r="E272" s="2">
        <v>11.629999999999999</v>
      </c>
      <c r="F272" s="2">
        <v>11.649999999999999</v>
      </c>
      <c r="G272" s="1" t="s">
        <v>26</v>
      </c>
      <c r="H272" s="4">
        <f t="shared" si="13"/>
        <v>1.5046296296294948E-4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0.40805555555555884</v>
      </c>
      <c r="D273" s="4">
        <v>0.40820601851852178</v>
      </c>
      <c r="E273" s="2">
        <v>11.629999999999999</v>
      </c>
      <c r="F273" s="2">
        <v>11.649999999999999</v>
      </c>
      <c r="G273" s="1" t="s">
        <v>26</v>
      </c>
      <c r="H273" s="4">
        <f t="shared" si="13"/>
        <v>1.5046296296294948E-4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0.40848379629629955</v>
      </c>
      <c r="D274" s="4">
        <v>0.4086342592592625</v>
      </c>
      <c r="E274" s="2">
        <v>11.629999999999999</v>
      </c>
      <c r="F274" s="2">
        <v>11.729999999999999</v>
      </c>
      <c r="G274" s="1" t="s">
        <v>26</v>
      </c>
      <c r="H274" s="4">
        <f t="shared" si="13"/>
        <v>1.5046296296294948E-4</v>
      </c>
      <c r="I274">
        <f t="shared" ref="I274:I282" si="14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0.40892361111111436</v>
      </c>
      <c r="D275" s="4">
        <v>0.40906250000000327</v>
      </c>
      <c r="E275" s="2">
        <v>11.629999999999999</v>
      </c>
      <c r="F275" s="2">
        <v>11.669999999999998</v>
      </c>
      <c r="G275" s="1" t="s">
        <v>26</v>
      </c>
      <c r="H275" s="4">
        <f t="shared" si="13"/>
        <v>1.388888888889106E-4</v>
      </c>
      <c r="I275">
        <f t="shared" si="14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0.409328703703707</v>
      </c>
      <c r="D276" s="4">
        <v>0.40950231481481814</v>
      </c>
      <c r="E276" s="2">
        <v>11.629999999999999</v>
      </c>
      <c r="F276" s="2">
        <v>11.729999999999999</v>
      </c>
      <c r="G276" s="1" t="s">
        <v>26</v>
      </c>
      <c r="H276" s="4">
        <f t="shared" si="13"/>
        <v>1.7361111111113825E-4</v>
      </c>
      <c r="I276">
        <f t="shared" si="14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0.40976851851852186</v>
      </c>
      <c r="D277" s="4">
        <v>0.40990740740741077</v>
      </c>
      <c r="E277" s="2">
        <v>11.629999999999999</v>
      </c>
      <c r="F277" s="2">
        <v>11.709999999999999</v>
      </c>
      <c r="G277" s="1" t="s">
        <v>26</v>
      </c>
      <c r="H277" s="4">
        <f t="shared" si="13"/>
        <v>1.388888888889106E-4</v>
      </c>
      <c r="I277">
        <f t="shared" si="14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0.41019675925926263</v>
      </c>
      <c r="D278" s="4">
        <v>0.41033564814815154</v>
      </c>
      <c r="E278" s="2">
        <v>11.629999999999999</v>
      </c>
      <c r="F278" s="2">
        <v>11.7</v>
      </c>
      <c r="G278" s="1" t="s">
        <v>26</v>
      </c>
      <c r="H278" s="4">
        <f t="shared" si="13"/>
        <v>1.388888888889106E-4</v>
      </c>
      <c r="I278">
        <f t="shared" si="14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0.41056712962963304</v>
      </c>
      <c r="D279" s="4">
        <v>0.41071759259259599</v>
      </c>
      <c r="E279" s="2">
        <v>11.629999999999999</v>
      </c>
      <c r="F279" s="2">
        <v>11.709999999999999</v>
      </c>
      <c r="G279" s="1" t="s">
        <v>26</v>
      </c>
      <c r="H279" s="4">
        <f t="shared" si="13"/>
        <v>1.5046296296294948E-4</v>
      </c>
      <c r="I279">
        <f t="shared" si="14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0.41100694444444785</v>
      </c>
      <c r="D280" s="4">
        <v>0.4111574074074108</v>
      </c>
      <c r="E280" s="2">
        <v>11.629999999999999</v>
      </c>
      <c r="F280" s="2">
        <v>11.76</v>
      </c>
      <c r="G280" s="1" t="s">
        <v>26</v>
      </c>
      <c r="H280" s="4">
        <f t="shared" si="13"/>
        <v>1.5046296296294948E-4</v>
      </c>
      <c r="I280">
        <f t="shared" si="14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0.41141203703704043</v>
      </c>
      <c r="D281" s="4">
        <v>0.41157407407407748</v>
      </c>
      <c r="E281" s="2">
        <v>11.629999999999999</v>
      </c>
      <c r="F281" s="2">
        <v>11.69</v>
      </c>
      <c r="G281" s="1" t="s">
        <v>26</v>
      </c>
      <c r="H281" s="4">
        <f t="shared" si="13"/>
        <v>1.6203703703704386E-4</v>
      </c>
      <c r="I281">
        <f t="shared" si="14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0.41181712962963302</v>
      </c>
      <c r="D282" s="4">
        <v>0.41199074074074415</v>
      </c>
      <c r="E282" s="2">
        <v>11.629999999999999</v>
      </c>
      <c r="F282" s="2">
        <v>11.76</v>
      </c>
      <c r="G282" s="1" t="s">
        <v>26</v>
      </c>
      <c r="H282" s="4">
        <f t="shared" si="13"/>
        <v>1.7361111111113825E-4</v>
      </c>
      <c r="I282">
        <f t="shared" si="14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0.41226851851852192</v>
      </c>
      <c r="D283" s="4">
        <v>0.41241898148148487</v>
      </c>
      <c r="E283" s="2">
        <v>11.629999999999999</v>
      </c>
      <c r="F283" s="2">
        <v>11.649999999999999</v>
      </c>
      <c r="G283" s="1" t="s">
        <v>26</v>
      </c>
      <c r="H283" s="4">
        <f t="shared" si="13"/>
        <v>1.5046296296294948E-4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0.4126736111111145</v>
      </c>
      <c r="D284" s="4">
        <v>0.41282407407407745</v>
      </c>
      <c r="E284" s="2">
        <v>11.629999999999999</v>
      </c>
      <c r="F284" s="2">
        <v>11.69</v>
      </c>
      <c r="G284" s="1" t="s">
        <v>26</v>
      </c>
      <c r="H284" s="4">
        <f t="shared" si="13"/>
        <v>1.5046296296294948E-4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0.41310185185185522</v>
      </c>
      <c r="D285" s="4">
        <v>0.41326388888889226</v>
      </c>
      <c r="E285" s="2">
        <v>11.629999999999999</v>
      </c>
      <c r="F285" s="2">
        <v>11.739999999999998</v>
      </c>
      <c r="G285" s="1" t="s">
        <v>26</v>
      </c>
      <c r="H285" s="4">
        <f t="shared" si="13"/>
        <v>1.6203703703704386E-4</v>
      </c>
      <c r="I285">
        <f t="shared" ref="I285:I293" si="15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0.4135069444444478</v>
      </c>
      <c r="D286" s="4">
        <v>0.41366898148148484</v>
      </c>
      <c r="E286" s="2">
        <v>11.629999999999999</v>
      </c>
      <c r="F286" s="2">
        <v>11.729999999999999</v>
      </c>
      <c r="G286" s="1" t="s">
        <v>26</v>
      </c>
      <c r="H286" s="4">
        <f t="shared" si="13"/>
        <v>1.6203703703704386E-4</v>
      </c>
      <c r="I286">
        <f t="shared" si="15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0.41394675925926261</v>
      </c>
      <c r="D287" s="4">
        <v>0.41410879629629965</v>
      </c>
      <c r="E287" s="2">
        <v>11.629999999999999</v>
      </c>
      <c r="F287" s="2">
        <v>11.77</v>
      </c>
      <c r="G287" s="1" t="s">
        <v>26</v>
      </c>
      <c r="H287" s="4">
        <f t="shared" si="13"/>
        <v>1.6203703703704386E-4</v>
      </c>
      <c r="I287">
        <f t="shared" si="15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0.41439814814815151</v>
      </c>
      <c r="D288" s="4">
        <v>0.41457175925926265</v>
      </c>
      <c r="E288" s="2">
        <v>11.629999999999999</v>
      </c>
      <c r="F288" s="2">
        <v>11.69</v>
      </c>
      <c r="G288" s="1" t="s">
        <v>26</v>
      </c>
      <c r="H288" s="4">
        <f t="shared" si="13"/>
        <v>1.7361111111113825E-4</v>
      </c>
      <c r="I288">
        <f t="shared" si="15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0.41486111111111451</v>
      </c>
      <c r="D289" s="4">
        <v>0.41502314814815155</v>
      </c>
      <c r="E289" s="2">
        <v>11.629999999999999</v>
      </c>
      <c r="F289" s="2">
        <v>11.68</v>
      </c>
      <c r="G289" s="1" t="s">
        <v>26</v>
      </c>
      <c r="H289" s="4">
        <f t="shared" si="13"/>
        <v>1.6203703703704386E-4</v>
      </c>
      <c r="I289">
        <f t="shared" si="15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0.41531250000000342</v>
      </c>
      <c r="D290" s="4">
        <v>0.41548611111111455</v>
      </c>
      <c r="E290" s="2">
        <v>11.629999999999999</v>
      </c>
      <c r="F290" s="2">
        <v>11.69</v>
      </c>
      <c r="G290" s="1" t="s">
        <v>26</v>
      </c>
      <c r="H290" s="4">
        <f t="shared" si="13"/>
        <v>1.7361111111113825E-4</v>
      </c>
      <c r="I290">
        <f t="shared" si="15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0.41572916666667009</v>
      </c>
      <c r="D291" s="4">
        <v>0.41587962962963304</v>
      </c>
      <c r="E291" s="2">
        <v>11.629999999999999</v>
      </c>
      <c r="F291" s="2">
        <v>11.709999999999999</v>
      </c>
      <c r="G291" s="1" t="s">
        <v>26</v>
      </c>
      <c r="H291" s="4">
        <f t="shared" si="13"/>
        <v>1.5046296296294948E-4</v>
      </c>
      <c r="I291">
        <f t="shared" si="15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0.41611111111111454</v>
      </c>
      <c r="D292" s="4">
        <v>0.41625000000000345</v>
      </c>
      <c r="E292" s="2">
        <v>11.629999999999999</v>
      </c>
      <c r="F292" s="2">
        <v>11.68</v>
      </c>
      <c r="G292" s="1" t="s">
        <v>26</v>
      </c>
      <c r="H292" s="4">
        <f t="shared" si="13"/>
        <v>1.388888888889106E-4</v>
      </c>
      <c r="I292">
        <f t="shared" si="15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0.41650462962963308</v>
      </c>
      <c r="D293" s="4">
        <v>0.41665509259259603</v>
      </c>
      <c r="E293" s="2">
        <v>11.629999999999999</v>
      </c>
      <c r="F293" s="2">
        <v>11.739999999999998</v>
      </c>
      <c r="G293" s="1" t="s">
        <v>26</v>
      </c>
      <c r="H293" s="4">
        <f t="shared" si="13"/>
        <v>1.5046296296294948E-4</v>
      </c>
      <c r="I293">
        <f t="shared" si="15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0.41694444444444789</v>
      </c>
      <c r="D294" s="4">
        <v>0.41711805555555903</v>
      </c>
      <c r="E294" s="2">
        <v>11.629999999999999</v>
      </c>
      <c r="F294" s="2">
        <v>11.69</v>
      </c>
      <c r="G294" s="1" t="s">
        <v>26</v>
      </c>
      <c r="H294" s="4">
        <f t="shared" si="13"/>
        <v>1.7361111111113825E-4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0.41740740740741089</v>
      </c>
      <c r="D295" s="4">
        <v>0.4175462962962998</v>
      </c>
      <c r="E295" s="2">
        <v>11.629999999999999</v>
      </c>
      <c r="F295" s="2">
        <v>11.68</v>
      </c>
      <c r="G295" s="1" t="s">
        <v>26</v>
      </c>
      <c r="H295" s="4">
        <f t="shared" si="13"/>
        <v>1.388888888889106E-4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0.41780092592592943</v>
      </c>
      <c r="D296" s="4">
        <v>0.41793981481481834</v>
      </c>
      <c r="E296" s="2">
        <v>11.629999999999999</v>
      </c>
      <c r="F296" s="2">
        <v>11.68</v>
      </c>
      <c r="G296" s="1" t="s">
        <v>26</v>
      </c>
      <c r="H296" s="4">
        <f t="shared" si="13"/>
        <v>1.388888888889106E-4</v>
      </c>
      <c r="I296">
        <f t="shared" ref="I296:I304" si="16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0.41821759259259611</v>
      </c>
      <c r="D297" s="4">
        <v>0.41835648148148502</v>
      </c>
      <c r="E297" s="2">
        <v>11.629999999999999</v>
      </c>
      <c r="F297" s="2">
        <v>11.7</v>
      </c>
      <c r="G297" s="1" t="s">
        <v>26</v>
      </c>
      <c r="H297" s="4">
        <f t="shared" si="13"/>
        <v>1.388888888889106E-4</v>
      </c>
      <c r="I297">
        <f t="shared" si="16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0.41864583333333688</v>
      </c>
      <c r="D298" s="4">
        <v>0.41878472222222579</v>
      </c>
      <c r="E298" s="2">
        <v>11.629999999999999</v>
      </c>
      <c r="F298" s="2">
        <v>11.76</v>
      </c>
      <c r="G298" s="1" t="s">
        <v>26</v>
      </c>
      <c r="H298" s="4">
        <f t="shared" si="13"/>
        <v>1.388888888889106E-4</v>
      </c>
      <c r="I298">
        <f t="shared" si="16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0.41901620370370729</v>
      </c>
      <c r="D299" s="4">
        <v>0.41918981481481843</v>
      </c>
      <c r="E299" s="2">
        <v>11.629999999999999</v>
      </c>
      <c r="F299" s="2">
        <v>11.719999999999999</v>
      </c>
      <c r="G299" s="1" t="s">
        <v>26</v>
      </c>
      <c r="H299" s="4">
        <f t="shared" si="13"/>
        <v>1.7361111111113825E-4</v>
      </c>
      <c r="I299">
        <f t="shared" si="16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0.41942129629629993</v>
      </c>
      <c r="D300" s="4">
        <v>0.41958333333333697</v>
      </c>
      <c r="E300" s="2">
        <v>11.629999999999999</v>
      </c>
      <c r="F300" s="2">
        <v>11.639999999999999</v>
      </c>
      <c r="G300" s="1" t="s">
        <v>26</v>
      </c>
      <c r="H300" s="4">
        <f t="shared" si="13"/>
        <v>1.6203703703704386E-4</v>
      </c>
      <c r="I300">
        <f t="shared" si="16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0.41981481481481847</v>
      </c>
      <c r="D301" s="4">
        <v>0.41996527777778142</v>
      </c>
      <c r="E301" s="2">
        <v>11.629999999999999</v>
      </c>
      <c r="F301" s="2">
        <v>11.639999999999999</v>
      </c>
      <c r="G301" s="1" t="s">
        <v>26</v>
      </c>
      <c r="H301" s="4">
        <f t="shared" si="13"/>
        <v>1.5046296296294948E-4</v>
      </c>
      <c r="I301">
        <f t="shared" si="16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0.42023148148148515</v>
      </c>
      <c r="D302" s="4">
        <v>0.42037037037037406</v>
      </c>
      <c r="E302" s="2">
        <v>11.629999999999999</v>
      </c>
      <c r="F302" s="2">
        <v>11.709999999999999</v>
      </c>
      <c r="G302" s="1" t="s">
        <v>26</v>
      </c>
      <c r="H302" s="4">
        <f t="shared" si="13"/>
        <v>1.388888888889106E-4</v>
      </c>
      <c r="I302">
        <f t="shared" si="16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0.42064814814815182</v>
      </c>
      <c r="D303" s="4">
        <v>0.42081018518518887</v>
      </c>
      <c r="E303" s="2">
        <v>11.629999999999999</v>
      </c>
      <c r="F303" s="2">
        <v>11.69</v>
      </c>
      <c r="G303" s="1" t="s">
        <v>26</v>
      </c>
      <c r="H303" s="4">
        <f t="shared" si="13"/>
        <v>1.6203703703704386E-4</v>
      </c>
      <c r="I303">
        <f t="shared" si="16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0.42107638888889259</v>
      </c>
      <c r="D304" s="4">
        <v>0.42123842592592964</v>
      </c>
      <c r="E304" s="2">
        <v>11.629999999999999</v>
      </c>
      <c r="F304" s="2">
        <v>11.729999999999999</v>
      </c>
      <c r="G304" s="1" t="s">
        <v>26</v>
      </c>
      <c r="H304" s="4">
        <f t="shared" si="13"/>
        <v>1.6203703703704386E-4</v>
      </c>
      <c r="I304">
        <f t="shared" si="16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0.42150462962963336</v>
      </c>
      <c r="D305" s="4">
        <v>0.42165509259259631</v>
      </c>
      <c r="E305" s="2">
        <v>11.629999999999999</v>
      </c>
      <c r="F305" s="2">
        <v>11.639999999999999</v>
      </c>
      <c r="G305" s="1" t="s">
        <v>26</v>
      </c>
      <c r="H305" s="4">
        <f t="shared" si="13"/>
        <v>1.5046296296294948E-4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0.42194444444444817</v>
      </c>
      <c r="D306" s="4">
        <v>0.42208333333333709</v>
      </c>
      <c r="E306" s="2">
        <v>11.629999999999999</v>
      </c>
      <c r="F306" s="2">
        <v>11.649999999999999</v>
      </c>
      <c r="G306" s="1" t="s">
        <v>26</v>
      </c>
      <c r="H306" s="4">
        <f t="shared" si="13"/>
        <v>1.388888888889106E-4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0.42236111111111485</v>
      </c>
      <c r="D307" s="4">
        <v>0.42252314814815189</v>
      </c>
      <c r="E307" s="2">
        <v>11.629999999999999</v>
      </c>
      <c r="F307" s="2">
        <v>11.68</v>
      </c>
      <c r="G307" s="1" t="s">
        <v>26</v>
      </c>
      <c r="H307" s="4">
        <f t="shared" si="13"/>
        <v>1.6203703703704386E-4</v>
      </c>
      <c r="I307">
        <f t="shared" ref="I307:I315" si="17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0.42275462962963339</v>
      </c>
      <c r="D308" s="4">
        <v>0.4228935185185223</v>
      </c>
      <c r="E308" s="2">
        <v>11.629999999999999</v>
      </c>
      <c r="F308" s="2">
        <v>11.78</v>
      </c>
      <c r="G308" s="1" t="s">
        <v>26</v>
      </c>
      <c r="H308" s="4">
        <f t="shared" si="13"/>
        <v>1.388888888889106E-4</v>
      </c>
      <c r="I308">
        <f t="shared" si="17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0.4231250000000038</v>
      </c>
      <c r="D309" s="4">
        <v>0.42327546296296675</v>
      </c>
      <c r="E309" s="2">
        <v>11.629999999999999</v>
      </c>
      <c r="F309" s="2">
        <v>11.69</v>
      </c>
      <c r="G309" s="1" t="s">
        <v>26</v>
      </c>
      <c r="H309" s="4">
        <f t="shared" si="13"/>
        <v>1.5046296296294948E-4</v>
      </c>
      <c r="I309">
        <f t="shared" si="17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0.42354166666667048</v>
      </c>
      <c r="D310" s="4">
        <v>0.42368055555555939</v>
      </c>
      <c r="E310" s="2">
        <v>11.629999999999999</v>
      </c>
      <c r="F310" s="2">
        <v>11.649999999999999</v>
      </c>
      <c r="G310" s="1" t="s">
        <v>26</v>
      </c>
      <c r="H310" s="4">
        <f t="shared" si="13"/>
        <v>1.388888888889106E-4</v>
      </c>
      <c r="I310">
        <f t="shared" si="17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0.42396990740741125</v>
      </c>
      <c r="D311" s="4">
        <v>0.42413194444444829</v>
      </c>
      <c r="E311" s="2">
        <v>11.629999999999999</v>
      </c>
      <c r="F311" s="2">
        <v>11.68</v>
      </c>
      <c r="G311" s="1" t="s">
        <v>26</v>
      </c>
      <c r="H311" s="4">
        <f t="shared" si="13"/>
        <v>1.6203703703704386E-4</v>
      </c>
      <c r="I311">
        <f t="shared" si="17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0.42437500000000383</v>
      </c>
      <c r="D312" s="4">
        <v>0.42454861111111497</v>
      </c>
      <c r="E312" s="2">
        <v>11.629999999999999</v>
      </c>
      <c r="F312" s="2">
        <v>11.76</v>
      </c>
      <c r="G312" s="1" t="s">
        <v>26</v>
      </c>
      <c r="H312" s="4">
        <f t="shared" si="13"/>
        <v>1.7361111111113825E-4</v>
      </c>
      <c r="I312">
        <f t="shared" si="17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0.42482638888889274</v>
      </c>
      <c r="D313" s="4">
        <v>0.42496527777778165</v>
      </c>
      <c r="E313" s="2">
        <v>11.629999999999999</v>
      </c>
      <c r="F313" s="2">
        <v>11.639999999999999</v>
      </c>
      <c r="G313" s="1" t="s">
        <v>26</v>
      </c>
      <c r="H313" s="4">
        <f t="shared" si="13"/>
        <v>1.388888888889106E-4</v>
      </c>
      <c r="I313">
        <f t="shared" si="17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0.42524305555555941</v>
      </c>
      <c r="D314" s="4">
        <v>0.42539351851852236</v>
      </c>
      <c r="E314" s="2">
        <v>11.629999999999999</v>
      </c>
      <c r="F314" s="2">
        <v>11.69</v>
      </c>
      <c r="G314" s="1" t="s">
        <v>26</v>
      </c>
      <c r="H314" s="4">
        <f t="shared" si="13"/>
        <v>1.5046296296294948E-4</v>
      </c>
      <c r="I314">
        <f t="shared" si="17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0.4256365740740779</v>
      </c>
      <c r="D315" s="4">
        <v>0.42579861111111494</v>
      </c>
      <c r="E315" s="2">
        <v>11.629999999999999</v>
      </c>
      <c r="F315" s="2">
        <v>11.639999999999999</v>
      </c>
      <c r="G315" s="1" t="s">
        <v>26</v>
      </c>
      <c r="H315" s="4">
        <f t="shared" si="13"/>
        <v>1.6203703703704386E-4</v>
      </c>
      <c r="I315">
        <f t="shared" si="17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0.42607638888889271</v>
      </c>
      <c r="D316" s="4">
        <v>0.42622685185185566</v>
      </c>
      <c r="E316" s="2">
        <v>11.629999999999999</v>
      </c>
      <c r="F316" s="2">
        <v>11.709999999999999</v>
      </c>
      <c r="G316" s="1" t="s">
        <v>26</v>
      </c>
      <c r="H316" s="4">
        <f t="shared" si="13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0.42649305555555939</v>
      </c>
      <c r="D317" s="4">
        <v>0.4266319444444483</v>
      </c>
      <c r="E317" s="2">
        <v>11.629999999999999</v>
      </c>
      <c r="F317" s="2">
        <v>11.729999999999999</v>
      </c>
      <c r="G317" s="1" t="s">
        <v>26</v>
      </c>
      <c r="H317" s="4">
        <f t="shared" si="13"/>
        <v>1.388888888889106E-4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0.4268634259259298</v>
      </c>
      <c r="D318" s="4">
        <v>0.42700231481481871</v>
      </c>
      <c r="E318" s="2">
        <v>11.629999999999999</v>
      </c>
      <c r="F318" s="2">
        <v>11.68</v>
      </c>
      <c r="G318" s="1" t="s">
        <v>26</v>
      </c>
      <c r="H318" s="4">
        <f t="shared" si="13"/>
        <v>1.388888888889106E-4</v>
      </c>
      <c r="I318">
        <f t="shared" ref="I318:I326" si="18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0.42728009259259647</v>
      </c>
      <c r="D319" s="4">
        <v>0.42745370370370761</v>
      </c>
      <c r="E319" s="2">
        <v>11.629999999999999</v>
      </c>
      <c r="F319" s="2">
        <v>11.68</v>
      </c>
      <c r="G319" s="1" t="s">
        <v>26</v>
      </c>
      <c r="H319" s="4">
        <f t="shared" si="13"/>
        <v>1.7361111111113825E-4</v>
      </c>
      <c r="I319">
        <f t="shared" si="18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0.42770833333333724</v>
      </c>
      <c r="D320" s="4">
        <v>0.42784722222222615</v>
      </c>
      <c r="E320" s="2">
        <v>11.629999999999999</v>
      </c>
      <c r="F320" s="2">
        <v>11.78</v>
      </c>
      <c r="G320" s="1" t="s">
        <v>26</v>
      </c>
      <c r="H320" s="4">
        <f t="shared" si="13"/>
        <v>1.388888888889106E-4</v>
      </c>
      <c r="I320">
        <f t="shared" si="18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0.42810185185185579</v>
      </c>
      <c r="D321" s="4">
        <v>0.4282407407407447</v>
      </c>
      <c r="E321" s="2">
        <v>11.629999999999999</v>
      </c>
      <c r="F321" s="2">
        <v>11.639999999999999</v>
      </c>
      <c r="G321" s="1" t="s">
        <v>26</v>
      </c>
      <c r="H321" s="4">
        <f t="shared" si="13"/>
        <v>1.388888888889106E-4</v>
      </c>
      <c r="I321">
        <f t="shared" si="18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0.42849537037037433</v>
      </c>
      <c r="D322" s="4">
        <v>0.42866898148148547</v>
      </c>
      <c r="E322" s="2">
        <v>11.629999999999999</v>
      </c>
      <c r="F322" s="2">
        <v>11.7</v>
      </c>
      <c r="G322" s="1" t="s">
        <v>26</v>
      </c>
      <c r="H322" s="4">
        <f t="shared" si="13"/>
        <v>1.7361111111113825E-4</v>
      </c>
      <c r="I322">
        <f t="shared" si="18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0.42890046296296697</v>
      </c>
      <c r="D323" s="4">
        <v>0.42906250000000401</v>
      </c>
      <c r="E323" s="2">
        <v>11.629999999999999</v>
      </c>
      <c r="F323" s="2">
        <v>11.7</v>
      </c>
      <c r="G323" s="1" t="s">
        <v>26</v>
      </c>
      <c r="H323" s="4">
        <f t="shared" si="13"/>
        <v>1.6203703703704386E-4</v>
      </c>
      <c r="I323">
        <f t="shared" si="18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0.42931712962963364</v>
      </c>
      <c r="D324" s="4">
        <v>0.42945601851852255</v>
      </c>
      <c r="E324" s="2">
        <v>11.629999999999999</v>
      </c>
      <c r="F324" s="2">
        <v>11.78</v>
      </c>
      <c r="G324" s="1" t="s">
        <v>26</v>
      </c>
      <c r="H324" s="4">
        <f t="shared" si="13"/>
        <v>1.388888888889106E-4</v>
      </c>
      <c r="I324">
        <f t="shared" si="18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0.42969907407407809</v>
      </c>
      <c r="D325" s="4">
        <v>0.42986111111111514</v>
      </c>
      <c r="E325" s="2">
        <v>11.629999999999999</v>
      </c>
      <c r="F325" s="2">
        <v>11.7</v>
      </c>
      <c r="G325" s="1" t="s">
        <v>26</v>
      </c>
      <c r="H325" s="4">
        <f t="shared" si="13"/>
        <v>1.6203703703704386E-4</v>
      </c>
      <c r="I325">
        <f t="shared" si="18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0.43011574074074477</v>
      </c>
      <c r="D326" s="4">
        <v>0.43028935185185591</v>
      </c>
      <c r="E326" s="2">
        <v>11.629999999999999</v>
      </c>
      <c r="F326" s="2">
        <v>11.639999999999999</v>
      </c>
      <c r="G326" s="1" t="s">
        <v>26</v>
      </c>
      <c r="H326" s="4">
        <f t="shared" si="13"/>
        <v>1.7361111111113825E-4</v>
      </c>
      <c r="I326">
        <f t="shared" si="18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0.43056712962963367</v>
      </c>
      <c r="D327" s="4">
        <v>0.43070601851852258</v>
      </c>
      <c r="E327" s="2">
        <v>11.629999999999999</v>
      </c>
      <c r="F327" s="2">
        <v>11.69</v>
      </c>
      <c r="G327" s="1" t="s">
        <v>26</v>
      </c>
      <c r="H327" s="4">
        <f t="shared" si="13"/>
        <v>1.388888888889106E-4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0.43094907407407812</v>
      </c>
      <c r="D328" s="4">
        <v>0.43112268518518926</v>
      </c>
      <c r="E328" s="2">
        <v>11.629999999999999</v>
      </c>
      <c r="F328" s="2">
        <v>11.729999999999999</v>
      </c>
      <c r="G328" s="1" t="s">
        <v>26</v>
      </c>
      <c r="H328" s="4">
        <f t="shared" si="13"/>
        <v>1.7361111111113825E-4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0.43138888888889299</v>
      </c>
      <c r="D329" s="4">
        <v>0.4315277777777819</v>
      </c>
      <c r="E329" s="2">
        <v>11.629999999999999</v>
      </c>
      <c r="F329" s="2">
        <v>11.68</v>
      </c>
      <c r="G329" s="1" t="s">
        <v>26</v>
      </c>
      <c r="H329" s="4">
        <f t="shared" si="13"/>
        <v>1.388888888889106E-4</v>
      </c>
      <c r="I329">
        <f t="shared" ref="I329:I337" si="19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0.43179398148148562</v>
      </c>
      <c r="D330" s="4">
        <v>0.43193287037037453</v>
      </c>
      <c r="E330" s="2">
        <v>11.629999999999999</v>
      </c>
      <c r="F330" s="2">
        <v>11.76</v>
      </c>
      <c r="G330" s="1" t="s">
        <v>26</v>
      </c>
      <c r="H330" s="4">
        <f t="shared" si="13"/>
        <v>1.388888888889106E-4</v>
      </c>
      <c r="I330">
        <f t="shared" si="19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0.4322106481481523</v>
      </c>
      <c r="D331" s="4">
        <v>0.43238425925926344</v>
      </c>
      <c r="E331" s="2">
        <v>11.629999999999999</v>
      </c>
      <c r="F331" s="2">
        <v>11.709999999999999</v>
      </c>
      <c r="G331" s="1" t="s">
        <v>26</v>
      </c>
      <c r="H331" s="4">
        <f t="shared" si="13"/>
        <v>1.7361111111113825E-4</v>
      </c>
      <c r="I331">
        <f t="shared" si="19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509" si="20">A331+1</f>
        <v>323</v>
      </c>
      <c r="B332" s="1" t="str">
        <f>"(6,"&amp;I332&amp;")"</f>
        <v>(6,30)</v>
      </c>
      <c r="C332" s="4">
        <v>0.43265046296296716</v>
      </c>
      <c r="D332" s="4">
        <v>0.4328240740740783</v>
      </c>
      <c r="E332" s="2">
        <v>11.629999999999999</v>
      </c>
      <c r="F332" s="2">
        <v>11.639999999999999</v>
      </c>
      <c r="G332" s="1" t="s">
        <v>26</v>
      </c>
      <c r="H332" s="4">
        <f t="shared" ref="H332:H395" si="21">D332-C332</f>
        <v>1.7361111111113825E-4</v>
      </c>
      <c r="I332">
        <f t="shared" si="19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0.4330555555555598</v>
      </c>
      <c r="D333" s="4">
        <v>0.43319444444444871</v>
      </c>
      <c r="E333" s="2">
        <v>11.629999999999999</v>
      </c>
      <c r="F333" s="2">
        <v>11.7</v>
      </c>
      <c r="G333" s="1" t="s">
        <v>26</v>
      </c>
      <c r="H333" s="4">
        <f t="shared" si="21"/>
        <v>1.388888888889106E-4</v>
      </c>
      <c r="I333">
        <f t="shared" si="19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0.43348379629630057</v>
      </c>
      <c r="D334" s="4">
        <v>0.43364583333333762</v>
      </c>
      <c r="E334" s="2">
        <v>11.629999999999999</v>
      </c>
      <c r="F334" s="2">
        <v>11.719999999999999</v>
      </c>
      <c r="G334" s="1" t="s">
        <v>26</v>
      </c>
      <c r="H334" s="4">
        <f t="shared" si="21"/>
        <v>1.6203703703704386E-4</v>
      </c>
      <c r="I334">
        <f t="shared" si="19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0.43388888888889315</v>
      </c>
      <c r="D335" s="4">
        <v>0.4340509259259302</v>
      </c>
      <c r="E335" s="2">
        <v>11.629999999999999</v>
      </c>
      <c r="F335" s="2">
        <v>11.639999999999999</v>
      </c>
      <c r="G335" s="1" t="s">
        <v>26</v>
      </c>
      <c r="H335" s="4">
        <f t="shared" si="21"/>
        <v>1.6203703703704386E-4</v>
      </c>
      <c r="I335">
        <f t="shared" si="19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0.43429398148148574</v>
      </c>
      <c r="D336" s="4">
        <v>0.43443287037037465</v>
      </c>
      <c r="E336" s="2">
        <v>11.629999999999999</v>
      </c>
      <c r="F336" s="2">
        <v>11.76</v>
      </c>
      <c r="G336" s="1" t="s">
        <v>26</v>
      </c>
      <c r="H336" s="4">
        <f t="shared" si="21"/>
        <v>1.388888888889106E-4</v>
      </c>
      <c r="I336">
        <f t="shared" si="19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0.43468750000000428</v>
      </c>
      <c r="D337" s="4">
        <v>0.43482638888889319</v>
      </c>
      <c r="E337" s="2">
        <v>11.629999999999999</v>
      </c>
      <c r="F337" s="2">
        <v>11.639999999999999</v>
      </c>
      <c r="G337" s="1" t="s">
        <v>26</v>
      </c>
      <c r="H337" s="4">
        <f t="shared" si="21"/>
        <v>1.388888888889106E-4</v>
      </c>
      <c r="I337">
        <f t="shared" si="19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0.43505787037037469</v>
      </c>
      <c r="D338" s="4">
        <v>0.4351967592592636</v>
      </c>
      <c r="E338" s="2">
        <v>11.629999999999999</v>
      </c>
      <c r="F338" s="2">
        <v>11.76</v>
      </c>
      <c r="G338" s="1" t="s">
        <v>26</v>
      </c>
      <c r="H338" s="4">
        <f t="shared" si="21"/>
        <v>1.388888888889106E-4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0.43546296296296733</v>
      </c>
      <c r="D339" s="4">
        <v>0.43561342592593028</v>
      </c>
      <c r="E339" s="2">
        <v>11.629999999999999</v>
      </c>
      <c r="F339" s="2">
        <v>11.709999999999999</v>
      </c>
      <c r="G339" s="1" t="s">
        <v>26</v>
      </c>
      <c r="H339" s="4">
        <f t="shared" si="21"/>
        <v>1.5046296296294948E-4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0.43589120370370804</v>
      </c>
      <c r="D340" s="4">
        <v>0.43605324074074509</v>
      </c>
      <c r="E340" s="2">
        <v>11.629999999999999</v>
      </c>
      <c r="F340" s="2">
        <v>11.7</v>
      </c>
      <c r="G340" s="1" t="s">
        <v>26</v>
      </c>
      <c r="H340" s="4">
        <f t="shared" si="21"/>
        <v>1.6203703703704386E-4</v>
      </c>
      <c r="I340">
        <f t="shared" ref="I340:I348" si="22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0.43629629629630062</v>
      </c>
      <c r="D341" s="4">
        <v>0.43644675925926357</v>
      </c>
      <c r="E341" s="2">
        <v>11.629999999999999</v>
      </c>
      <c r="F341" s="2">
        <v>11.659999999999998</v>
      </c>
      <c r="G341" s="1" t="s">
        <v>26</v>
      </c>
      <c r="H341" s="4">
        <f t="shared" si="21"/>
        <v>1.5046296296294948E-4</v>
      </c>
      <c r="I341">
        <f t="shared" si="22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0.43673611111111543</v>
      </c>
      <c r="D342" s="4">
        <v>0.43688657407407838</v>
      </c>
      <c r="E342" s="2">
        <v>11.629999999999999</v>
      </c>
      <c r="F342" s="2">
        <v>11.719999999999999</v>
      </c>
      <c r="G342" s="1" t="s">
        <v>26</v>
      </c>
      <c r="H342" s="4">
        <f t="shared" si="21"/>
        <v>1.5046296296294948E-4</v>
      </c>
      <c r="I342">
        <f t="shared" si="22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0.43711805555555988</v>
      </c>
      <c r="D343" s="4">
        <v>0.43726851851852283</v>
      </c>
      <c r="E343" s="2">
        <v>11.629999999999999</v>
      </c>
      <c r="F343" s="2">
        <v>11.729999999999999</v>
      </c>
      <c r="G343" s="1" t="s">
        <v>26</v>
      </c>
      <c r="H343" s="4">
        <f t="shared" si="21"/>
        <v>1.5046296296294948E-4</v>
      </c>
      <c r="I343">
        <f t="shared" si="22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0.43750000000000433</v>
      </c>
      <c r="D344" s="4">
        <v>0.43766203703704137</v>
      </c>
      <c r="E344" s="2">
        <v>11.629999999999999</v>
      </c>
      <c r="F344" s="2">
        <v>11.77</v>
      </c>
      <c r="G344" s="1" t="s">
        <v>26</v>
      </c>
      <c r="H344" s="4">
        <f t="shared" si="21"/>
        <v>1.6203703703704386E-4</v>
      </c>
      <c r="I344">
        <f t="shared" si="22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0.43795138888889323</v>
      </c>
      <c r="D345" s="4">
        <v>0.43810185185185618</v>
      </c>
      <c r="E345" s="2">
        <v>11.629999999999999</v>
      </c>
      <c r="F345" s="2">
        <v>11.7</v>
      </c>
      <c r="G345" s="1" t="s">
        <v>26</v>
      </c>
      <c r="H345" s="4">
        <f t="shared" si="21"/>
        <v>1.5046296296294948E-4</v>
      </c>
      <c r="I345">
        <f t="shared" si="22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0.43833333333333768</v>
      </c>
      <c r="D346" s="4">
        <v>0.43847222222222659</v>
      </c>
      <c r="E346" s="2">
        <v>11.629999999999999</v>
      </c>
      <c r="F346" s="2">
        <v>11.649999999999999</v>
      </c>
      <c r="G346" s="1" t="s">
        <v>26</v>
      </c>
      <c r="H346" s="4">
        <f t="shared" si="21"/>
        <v>1.388888888889106E-4</v>
      </c>
      <c r="I346">
        <f t="shared" si="22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0.43870370370370809</v>
      </c>
      <c r="D347" s="4">
        <v>0.438842592592597</v>
      </c>
      <c r="E347" s="2">
        <v>11.629999999999999</v>
      </c>
      <c r="F347" s="2">
        <v>11.719999999999999</v>
      </c>
      <c r="G347" s="1" t="s">
        <v>26</v>
      </c>
      <c r="H347" s="4">
        <f t="shared" si="21"/>
        <v>1.388888888889106E-4</v>
      </c>
      <c r="I347">
        <f t="shared" si="22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0.43912037037037477</v>
      </c>
      <c r="D348" s="4">
        <v>0.43925925925926368</v>
      </c>
      <c r="E348" s="2">
        <v>11.629999999999999</v>
      </c>
      <c r="F348" s="2">
        <v>11.7</v>
      </c>
      <c r="G348" s="1" t="s">
        <v>26</v>
      </c>
      <c r="H348" s="4">
        <f t="shared" si="21"/>
        <v>1.388888888889106E-4</v>
      </c>
      <c r="I348">
        <f t="shared" si="22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0.43949074074074518</v>
      </c>
      <c r="D349" s="4">
        <v>0.43965277777778222</v>
      </c>
      <c r="E349" s="2">
        <v>11.629999999999999</v>
      </c>
      <c r="F349" s="2">
        <v>11.77</v>
      </c>
      <c r="G349" s="1" t="s">
        <v>26</v>
      </c>
      <c r="H349" s="4">
        <f t="shared" si="21"/>
        <v>1.6203703703704386E-4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0.43991898148148595</v>
      </c>
      <c r="D350" s="4">
        <v>0.44009259259259709</v>
      </c>
      <c r="E350" s="2">
        <v>11.629999999999999</v>
      </c>
      <c r="F350" s="2">
        <v>11.669999999999998</v>
      </c>
      <c r="G350" s="1" t="s">
        <v>26</v>
      </c>
      <c r="H350" s="4">
        <f t="shared" si="21"/>
        <v>1.7361111111113825E-4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0.44037037037037485</v>
      </c>
      <c r="D351" s="4">
        <v>0.4405324074074119</v>
      </c>
      <c r="E351" s="2">
        <v>11.629999999999999</v>
      </c>
      <c r="F351" s="2">
        <v>11.78</v>
      </c>
      <c r="G351" s="1" t="s">
        <v>26</v>
      </c>
      <c r="H351" s="4">
        <f t="shared" si="21"/>
        <v>1.6203703703704386E-4</v>
      </c>
      <c r="I351">
        <f t="shared" ref="I351:I359" si="23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0.44081018518518966</v>
      </c>
      <c r="D352" s="4">
        <v>0.44094907407407857</v>
      </c>
      <c r="E352" s="2">
        <v>11.629999999999999</v>
      </c>
      <c r="F352" s="2">
        <v>11.78</v>
      </c>
      <c r="G352" s="1" t="s">
        <v>26</v>
      </c>
      <c r="H352" s="4">
        <f t="shared" si="21"/>
        <v>1.388888888889106E-4</v>
      </c>
      <c r="I352">
        <f t="shared" si="23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0.44120370370370821</v>
      </c>
      <c r="D353" s="4">
        <v>0.44134259259259712</v>
      </c>
      <c r="E353" s="2">
        <v>11.629999999999999</v>
      </c>
      <c r="F353" s="2">
        <v>11.669999999999998</v>
      </c>
      <c r="G353" s="1" t="s">
        <v>26</v>
      </c>
      <c r="H353" s="4">
        <f t="shared" si="21"/>
        <v>1.388888888889106E-4</v>
      </c>
      <c r="I353">
        <f t="shared" si="23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0.44158564814815265</v>
      </c>
      <c r="D354" s="4">
        <v>0.44175925925926379</v>
      </c>
      <c r="E354" s="2">
        <v>11.629999999999999</v>
      </c>
      <c r="F354" s="2">
        <v>11.7</v>
      </c>
      <c r="G354" s="1" t="s">
        <v>26</v>
      </c>
      <c r="H354" s="4">
        <f t="shared" si="21"/>
        <v>1.7361111111113825E-4</v>
      </c>
      <c r="I354">
        <f t="shared" si="23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0.44201388888889342</v>
      </c>
      <c r="D355" s="4">
        <v>0.44216435185185637</v>
      </c>
      <c r="E355" s="2">
        <v>11.629999999999999</v>
      </c>
      <c r="F355" s="2">
        <v>11.78</v>
      </c>
      <c r="G355" s="1" t="s">
        <v>26</v>
      </c>
      <c r="H355" s="4">
        <f t="shared" si="21"/>
        <v>1.5046296296294948E-4</v>
      </c>
      <c r="I355">
        <f t="shared" si="23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0.4424305555555601</v>
      </c>
      <c r="D356" s="4">
        <v>0.44259259259259714</v>
      </c>
      <c r="E356" s="2">
        <v>11.629999999999999</v>
      </c>
      <c r="F356" s="2">
        <v>11.729999999999999</v>
      </c>
      <c r="G356" s="1" t="s">
        <v>26</v>
      </c>
      <c r="H356" s="4">
        <f t="shared" si="21"/>
        <v>1.6203703703704386E-4</v>
      </c>
      <c r="I356">
        <f t="shared" si="23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0.442881944444449</v>
      </c>
      <c r="D357" s="4">
        <v>0.44303240740741195</v>
      </c>
      <c r="E357" s="2">
        <v>11.629999999999999</v>
      </c>
      <c r="F357" s="2">
        <v>11.68</v>
      </c>
      <c r="G357" s="1" t="s">
        <v>26</v>
      </c>
      <c r="H357" s="4">
        <f t="shared" si="21"/>
        <v>1.5046296296294948E-4</v>
      </c>
      <c r="I357">
        <f t="shared" si="23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0.44329861111111568</v>
      </c>
      <c r="D358" s="4">
        <v>0.44344907407407863</v>
      </c>
      <c r="E358" s="2">
        <v>11.629999999999999</v>
      </c>
      <c r="F358" s="2">
        <v>11.78</v>
      </c>
      <c r="G358" s="1" t="s">
        <v>26</v>
      </c>
      <c r="H358" s="4">
        <f t="shared" si="21"/>
        <v>1.5046296296294948E-4</v>
      </c>
      <c r="I358">
        <f t="shared" si="23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0.44369212962963417</v>
      </c>
      <c r="D359" s="4">
        <v>0.44383101851852308</v>
      </c>
      <c r="E359" s="2">
        <v>11.629999999999999</v>
      </c>
      <c r="F359" s="2">
        <v>11.739999999999998</v>
      </c>
      <c r="G359" s="1" t="s">
        <v>26</v>
      </c>
      <c r="H359" s="4">
        <f t="shared" si="21"/>
        <v>1.388888888889106E-4</v>
      </c>
      <c r="I359">
        <f t="shared" si="23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0.44412037037037494</v>
      </c>
      <c r="D360" s="4">
        <v>0.44427083333333789</v>
      </c>
      <c r="E360" s="2">
        <v>11.629999999999999</v>
      </c>
      <c r="F360" s="2">
        <v>11.729999999999999</v>
      </c>
      <c r="G360" s="1" t="s">
        <v>26</v>
      </c>
      <c r="H360" s="4">
        <f t="shared" si="21"/>
        <v>1.5046296296294948E-4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0.44452546296296752</v>
      </c>
      <c r="D361" s="4">
        <v>0.44468750000000457</v>
      </c>
      <c r="E361" s="2">
        <v>11.629999999999999</v>
      </c>
      <c r="F361" s="2">
        <v>11.69</v>
      </c>
      <c r="G361" s="1" t="s">
        <v>26</v>
      </c>
      <c r="H361" s="4">
        <f t="shared" si="21"/>
        <v>1.6203703703704386E-4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0.44496527777778233</v>
      </c>
      <c r="D362" s="4">
        <v>0.44511574074074528</v>
      </c>
      <c r="E362" s="2">
        <v>11.629999999999999</v>
      </c>
      <c r="F362" s="2">
        <v>11.709999999999999</v>
      </c>
      <c r="G362" s="1" t="s">
        <v>26</v>
      </c>
      <c r="H362" s="4">
        <f t="shared" si="21"/>
        <v>1.5046296296294948E-4</v>
      </c>
      <c r="I362">
        <f t="shared" ref="I362:I370" si="24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0.44535879629630082</v>
      </c>
      <c r="D363" s="4">
        <v>0.44550925925926377</v>
      </c>
      <c r="E363" s="2">
        <v>11.629999999999999</v>
      </c>
      <c r="F363" s="2">
        <v>11.749999999999998</v>
      </c>
      <c r="G363" s="1" t="s">
        <v>26</v>
      </c>
      <c r="H363" s="4">
        <f t="shared" si="21"/>
        <v>1.5046296296294948E-4</v>
      </c>
      <c r="I363">
        <f t="shared" si="24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0.44579861111111563</v>
      </c>
      <c r="D364" s="4">
        <v>0.44594907407407858</v>
      </c>
      <c r="E364" s="2">
        <v>11.629999999999999</v>
      </c>
      <c r="F364" s="2">
        <v>11.709999999999999</v>
      </c>
      <c r="G364" s="1" t="s">
        <v>26</v>
      </c>
      <c r="H364" s="4">
        <f t="shared" si="21"/>
        <v>1.5046296296294948E-4</v>
      </c>
      <c r="I364">
        <f t="shared" si="24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0.4462152777777823</v>
      </c>
      <c r="D365" s="4">
        <v>0.44638888888889344</v>
      </c>
      <c r="E365" s="2">
        <v>11.629999999999999</v>
      </c>
      <c r="F365" s="2">
        <v>11.78</v>
      </c>
      <c r="G365" s="1" t="s">
        <v>26</v>
      </c>
      <c r="H365" s="4">
        <f t="shared" si="21"/>
        <v>1.7361111111113825E-4</v>
      </c>
      <c r="I365">
        <f t="shared" si="24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0.44666666666667121</v>
      </c>
      <c r="D366" s="4">
        <v>0.44682870370370825</v>
      </c>
      <c r="E366" s="2">
        <v>11.629999999999999</v>
      </c>
      <c r="F366" s="2">
        <v>11.639999999999999</v>
      </c>
      <c r="G366" s="1" t="s">
        <v>26</v>
      </c>
      <c r="H366" s="4">
        <f t="shared" si="21"/>
        <v>1.6203703703704386E-4</v>
      </c>
      <c r="I366">
        <f t="shared" si="24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0.44706018518518975</v>
      </c>
      <c r="D367" s="4">
        <v>0.4472222222222268</v>
      </c>
      <c r="E367" s="2">
        <v>11.629999999999999</v>
      </c>
      <c r="F367" s="2">
        <v>11.78</v>
      </c>
      <c r="G367" s="1" t="s">
        <v>26</v>
      </c>
      <c r="H367" s="4">
        <f t="shared" si="21"/>
        <v>1.6203703703704386E-4</v>
      </c>
      <c r="I367">
        <f t="shared" si="24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0.44751157407407866</v>
      </c>
      <c r="D368" s="4">
        <v>0.44768518518518979</v>
      </c>
      <c r="E368" s="2">
        <v>11.629999999999999</v>
      </c>
      <c r="F368" s="2">
        <v>11.78</v>
      </c>
      <c r="G368" s="1" t="s">
        <v>26</v>
      </c>
      <c r="H368" s="4">
        <f t="shared" si="21"/>
        <v>1.7361111111113825E-4</v>
      </c>
      <c r="I368">
        <f t="shared" si="24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0.44796296296296756</v>
      </c>
      <c r="D369" s="4">
        <v>0.44811342592593051</v>
      </c>
      <c r="E369" s="2">
        <v>11.629999999999999</v>
      </c>
      <c r="F369" s="2">
        <v>11.649999999999999</v>
      </c>
      <c r="G369" s="1" t="s">
        <v>26</v>
      </c>
      <c r="H369" s="4">
        <f t="shared" si="21"/>
        <v>1.5046296296294948E-4</v>
      </c>
      <c r="I369">
        <f t="shared" si="24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0.44837962962963424</v>
      </c>
      <c r="D370" s="4">
        <v>0.44854166666667128</v>
      </c>
      <c r="E370" s="2">
        <v>11.629999999999999</v>
      </c>
      <c r="F370" s="2">
        <v>11.76</v>
      </c>
      <c r="G370" s="1" t="s">
        <v>26</v>
      </c>
      <c r="H370" s="4">
        <f t="shared" si="21"/>
        <v>1.6203703703704386E-4</v>
      </c>
      <c r="I370">
        <f t="shared" si="24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0.44883101851852314</v>
      </c>
      <c r="D371" s="4">
        <v>0.44900462962963428</v>
      </c>
      <c r="E371" s="2">
        <v>11.629999999999999</v>
      </c>
      <c r="F371" s="2">
        <v>11.78</v>
      </c>
      <c r="G371" s="1" t="s">
        <v>26</v>
      </c>
      <c r="H371" s="4">
        <f t="shared" si="21"/>
        <v>1.7361111111113825E-4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0.44925925925926391</v>
      </c>
      <c r="D372" s="4">
        <v>0.44939814814815282</v>
      </c>
      <c r="E372" s="2">
        <v>11.629999999999999</v>
      </c>
      <c r="F372" s="2">
        <v>11.649999999999999</v>
      </c>
      <c r="G372" s="1" t="s">
        <v>26</v>
      </c>
      <c r="H372" s="4">
        <f t="shared" si="21"/>
        <v>1.388888888889106E-4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0.44965277777778245</v>
      </c>
      <c r="D373" s="4">
        <v>0.4498148148148195</v>
      </c>
      <c r="E373" s="2">
        <v>11.629999999999999</v>
      </c>
      <c r="F373" s="2">
        <v>11.7</v>
      </c>
      <c r="G373" s="1" t="s">
        <v>26</v>
      </c>
      <c r="H373" s="4">
        <f t="shared" si="21"/>
        <v>1.6203703703704386E-4</v>
      </c>
      <c r="I373">
        <f t="shared" ref="I373:I381" si="25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0.45010416666667136</v>
      </c>
      <c r="D374" s="4">
        <v>0.4502662037037084</v>
      </c>
      <c r="E374" s="2">
        <v>11.629999999999999</v>
      </c>
      <c r="F374" s="2">
        <v>11.709999999999999</v>
      </c>
      <c r="G374" s="1" t="s">
        <v>26</v>
      </c>
      <c r="H374" s="4">
        <f t="shared" si="21"/>
        <v>1.6203703703704386E-4</v>
      </c>
      <c r="I374">
        <f t="shared" si="25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0.4504976851851899</v>
      </c>
      <c r="D375" s="4">
        <v>0.45065972222222694</v>
      </c>
      <c r="E375" s="2">
        <v>11.629999999999999</v>
      </c>
      <c r="F375" s="2">
        <v>11.77</v>
      </c>
      <c r="G375" s="1" t="s">
        <v>26</v>
      </c>
      <c r="H375" s="4">
        <f t="shared" si="21"/>
        <v>1.6203703703704386E-4</v>
      </c>
      <c r="I375">
        <f t="shared" si="25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0.45089120370370844</v>
      </c>
      <c r="D376" s="4">
        <v>0.45104166666667139</v>
      </c>
      <c r="E376" s="2">
        <v>11.629999999999999</v>
      </c>
      <c r="F376" s="2">
        <v>11.749999999999998</v>
      </c>
      <c r="G376" s="1" t="s">
        <v>26</v>
      </c>
      <c r="H376" s="4">
        <f t="shared" si="21"/>
        <v>1.5046296296294948E-4</v>
      </c>
      <c r="I376">
        <f t="shared" si="25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0.45133101851852325</v>
      </c>
      <c r="D377" s="4">
        <v>0.4514814814814862</v>
      </c>
      <c r="E377" s="2">
        <v>11.629999999999999</v>
      </c>
      <c r="F377" s="2">
        <v>11.69</v>
      </c>
      <c r="G377" s="1" t="s">
        <v>26</v>
      </c>
      <c r="H377" s="4">
        <f t="shared" si="21"/>
        <v>1.5046296296294948E-4</v>
      </c>
      <c r="I377">
        <f t="shared" si="25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0.45172453703704174</v>
      </c>
      <c r="D378" s="4">
        <v>0.45189814814815288</v>
      </c>
      <c r="E378" s="2">
        <v>11.629999999999999</v>
      </c>
      <c r="F378" s="2">
        <v>11.68</v>
      </c>
      <c r="G378" s="1" t="s">
        <v>26</v>
      </c>
      <c r="H378" s="4">
        <f t="shared" si="21"/>
        <v>1.7361111111113825E-4</v>
      </c>
      <c r="I378">
        <f t="shared" si="25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0.45216435185185661</v>
      </c>
      <c r="D379" s="4">
        <v>0.45230324074074552</v>
      </c>
      <c r="E379" s="2">
        <v>11.629999999999999</v>
      </c>
      <c r="F379" s="2">
        <v>11.749999999999998</v>
      </c>
      <c r="G379" s="1" t="s">
        <v>26</v>
      </c>
      <c r="H379" s="4">
        <f t="shared" si="21"/>
        <v>1.388888888889106E-4</v>
      </c>
      <c r="I379">
        <f t="shared" si="25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0.45256944444444924</v>
      </c>
      <c r="D380" s="4">
        <v>0.45270833333333815</v>
      </c>
      <c r="E380" s="2">
        <v>11.629999999999999</v>
      </c>
      <c r="F380" s="2">
        <v>11.77</v>
      </c>
      <c r="G380" s="1" t="s">
        <v>26</v>
      </c>
      <c r="H380" s="4">
        <f t="shared" si="21"/>
        <v>1.388888888889106E-4</v>
      </c>
      <c r="I380">
        <f t="shared" si="25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0.45295138888889369</v>
      </c>
      <c r="D381" s="4">
        <v>0.45310185185185664</v>
      </c>
      <c r="E381" s="2">
        <v>11.629999999999999</v>
      </c>
      <c r="F381" s="2">
        <v>11.77</v>
      </c>
      <c r="G381" s="1" t="s">
        <v>26</v>
      </c>
      <c r="H381" s="4">
        <f t="shared" si="21"/>
        <v>1.5046296296294948E-4</v>
      </c>
      <c r="I381">
        <f t="shared" si="25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0.45334490740741218</v>
      </c>
      <c r="D382" s="4">
        <v>0.45350694444444922</v>
      </c>
      <c r="E382" s="2">
        <v>11.629999999999999</v>
      </c>
      <c r="F382" s="2">
        <v>11.649999999999999</v>
      </c>
      <c r="G382" s="1" t="s">
        <v>26</v>
      </c>
      <c r="H382" s="4">
        <f t="shared" si="21"/>
        <v>1.6203703703704386E-4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0.45379629629630108</v>
      </c>
      <c r="D383" s="4">
        <v>0.45396990740741222</v>
      </c>
      <c r="E383" s="2">
        <v>11.629999999999999</v>
      </c>
      <c r="F383" s="2">
        <v>11.649999999999999</v>
      </c>
      <c r="G383" s="1" t="s">
        <v>26</v>
      </c>
      <c r="H383" s="4">
        <f t="shared" si="21"/>
        <v>1.7361111111113825E-4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0.45423611111111595</v>
      </c>
      <c r="D384" s="4">
        <v>0.4543865740740789</v>
      </c>
      <c r="E384" s="2">
        <v>11.629999999999999</v>
      </c>
      <c r="F384" s="2">
        <v>11.669999999999998</v>
      </c>
      <c r="G384" s="1" t="s">
        <v>26</v>
      </c>
      <c r="H384" s="4">
        <f t="shared" si="21"/>
        <v>1.5046296296294948E-4</v>
      </c>
      <c r="I384">
        <f t="shared" ref="I384:I392" si="26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0.4546180555555604</v>
      </c>
      <c r="D385" s="4">
        <v>0.45475694444444931</v>
      </c>
      <c r="E385" s="2">
        <v>11.629999999999999</v>
      </c>
      <c r="F385" s="2">
        <v>11.669999999999998</v>
      </c>
      <c r="G385" s="1" t="s">
        <v>26</v>
      </c>
      <c r="H385" s="4">
        <f t="shared" si="21"/>
        <v>1.388888888889106E-4</v>
      </c>
      <c r="I385">
        <f t="shared" si="26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0.45498842592593081</v>
      </c>
      <c r="D386" s="4">
        <v>0.45515046296296785</v>
      </c>
      <c r="E386" s="2">
        <v>11.629999999999999</v>
      </c>
      <c r="F386" s="2">
        <v>11.719999999999999</v>
      </c>
      <c r="G386" s="1" t="s">
        <v>26</v>
      </c>
      <c r="H386" s="4">
        <f t="shared" si="21"/>
        <v>1.6203703703704386E-4</v>
      </c>
      <c r="I386">
        <f t="shared" si="26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0.45538194444444935</v>
      </c>
      <c r="D387" s="4">
        <v>0.45554398148148639</v>
      </c>
      <c r="E387" s="2">
        <v>11.629999999999999</v>
      </c>
      <c r="F387" s="2">
        <v>11.669999999999998</v>
      </c>
      <c r="G387" s="1" t="s">
        <v>26</v>
      </c>
      <c r="H387" s="4">
        <f t="shared" si="21"/>
        <v>1.6203703703704386E-4</v>
      </c>
      <c r="I387">
        <f t="shared" si="26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0.45577546296296789</v>
      </c>
      <c r="D388" s="4">
        <v>0.4559143518518568</v>
      </c>
      <c r="E388" s="2">
        <v>11.629999999999999</v>
      </c>
      <c r="F388" s="2">
        <v>11.77</v>
      </c>
      <c r="G388" s="1" t="s">
        <v>26</v>
      </c>
      <c r="H388" s="4">
        <f t="shared" si="21"/>
        <v>1.388888888889106E-4</v>
      </c>
      <c r="I388">
        <f t="shared" si="26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0.45619212962963457</v>
      </c>
      <c r="D389" s="4">
        <v>0.45634259259259752</v>
      </c>
      <c r="E389" s="2">
        <v>11.629999999999999</v>
      </c>
      <c r="F389" s="2">
        <v>11.669999999999998</v>
      </c>
      <c r="G389" s="1" t="s">
        <v>26</v>
      </c>
      <c r="H389" s="4">
        <f t="shared" si="21"/>
        <v>1.5046296296294948E-4</v>
      </c>
      <c r="I389">
        <f t="shared" si="26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0.45660879629630124</v>
      </c>
      <c r="D390" s="4">
        <v>0.45675925925926419</v>
      </c>
      <c r="E390" s="2">
        <v>11.629999999999999</v>
      </c>
      <c r="F390" s="2">
        <v>11.649999999999999</v>
      </c>
      <c r="G390" s="1" t="s">
        <v>26</v>
      </c>
      <c r="H390" s="4">
        <f t="shared" si="21"/>
        <v>1.5046296296294948E-4</v>
      </c>
      <c r="I390">
        <f t="shared" si="26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0.45699074074074569</v>
      </c>
      <c r="D391" s="4">
        <v>0.45714120370370864</v>
      </c>
      <c r="E391" s="2">
        <v>11.629999999999999</v>
      </c>
      <c r="F391" s="2">
        <v>11.68</v>
      </c>
      <c r="G391" s="1" t="s">
        <v>26</v>
      </c>
      <c r="H391" s="4">
        <f t="shared" si="21"/>
        <v>1.5046296296294948E-4</v>
      </c>
      <c r="I391">
        <f t="shared" si="26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0.4574305555555605</v>
      </c>
      <c r="D392" s="4">
        <v>0.45759259259259755</v>
      </c>
      <c r="E392" s="2">
        <v>11.629999999999999</v>
      </c>
      <c r="F392" s="2">
        <v>11.77</v>
      </c>
      <c r="G392" s="1" t="s">
        <v>26</v>
      </c>
      <c r="H392" s="4">
        <f t="shared" si="21"/>
        <v>1.6203703703704386E-4</v>
      </c>
      <c r="I392">
        <f t="shared" si="26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0.45788194444444941</v>
      </c>
      <c r="D393" s="4">
        <v>0.45803240740741236</v>
      </c>
      <c r="E393" s="2">
        <v>11.629999999999999</v>
      </c>
      <c r="F393" s="2">
        <v>11.76</v>
      </c>
      <c r="G393" s="1" t="s">
        <v>26</v>
      </c>
      <c r="H393" s="4">
        <f t="shared" si="21"/>
        <v>1.5046296296294948E-4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0.45826388888889386</v>
      </c>
      <c r="D394" s="4">
        <v>0.45843750000000499</v>
      </c>
      <c r="E394" s="2">
        <v>11.629999999999999</v>
      </c>
      <c r="F394" s="2">
        <v>11.76</v>
      </c>
      <c r="G394" s="1" t="s">
        <v>26</v>
      </c>
      <c r="H394" s="4">
        <f t="shared" si="21"/>
        <v>1.7361111111113825E-4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0.45872685185185685</v>
      </c>
      <c r="D395" s="4">
        <v>0.4588773148148198</v>
      </c>
      <c r="E395" s="2">
        <v>11.629999999999999</v>
      </c>
      <c r="F395" s="2">
        <v>11.669999999999998</v>
      </c>
      <c r="G395" s="1" t="s">
        <v>26</v>
      </c>
      <c r="H395" s="4">
        <f t="shared" si="21"/>
        <v>1.5046296296294948E-4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si="20"/>
        <v>387</v>
      </c>
      <c r="B396" s="1" t="str">
        <f>"(8,"&amp;I396&amp;")"</f>
        <v>(8,36)</v>
      </c>
      <c r="C396" s="4">
        <v>0.45912037037037534</v>
      </c>
      <c r="D396" s="4">
        <v>0.45927083333333829</v>
      </c>
      <c r="E396" s="2">
        <v>11.629999999999999</v>
      </c>
      <c r="F396" s="2">
        <v>11.719999999999999</v>
      </c>
      <c r="G396" s="1" t="s">
        <v>26</v>
      </c>
      <c r="H396" s="4">
        <f t="shared" ref="H396:H459" si="28">D396-C396</f>
        <v>1.5046296296294948E-4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0"/>
        <v>388</v>
      </c>
      <c r="B397" s="1" t="str">
        <f>"(7,"&amp;I397&amp;")"</f>
        <v>(7,36)</v>
      </c>
      <c r="C397" s="4">
        <v>0.45953703703704202</v>
      </c>
      <c r="D397" s="4">
        <v>0.45969907407407906</v>
      </c>
      <c r="E397" s="2">
        <v>11.629999999999999</v>
      </c>
      <c r="F397" s="2">
        <v>11.749999999999998</v>
      </c>
      <c r="G397" s="1" t="s">
        <v>26</v>
      </c>
      <c r="H397" s="4">
        <f t="shared" si="28"/>
        <v>1.6203703703704386E-4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0"/>
        <v>389</v>
      </c>
      <c r="B398" s="1" t="str">
        <f>"(6,"&amp;I398&amp;")"</f>
        <v>(6,36)</v>
      </c>
      <c r="C398" s="4">
        <v>0.45998842592593092</v>
      </c>
      <c r="D398" s="4">
        <v>0.46013888888889387</v>
      </c>
      <c r="E398" s="2">
        <v>11.629999999999999</v>
      </c>
      <c r="F398" s="2">
        <v>11.649999999999999</v>
      </c>
      <c r="G398" s="1" t="s">
        <v>26</v>
      </c>
      <c r="H398" s="4">
        <f t="shared" si="28"/>
        <v>1.5046296296294948E-4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0"/>
        <v>390</v>
      </c>
      <c r="B399" s="1" t="str">
        <f>"(5,"&amp;I399&amp;")"</f>
        <v>(5,36)</v>
      </c>
      <c r="C399" s="4">
        <v>0.46041666666667164</v>
      </c>
      <c r="D399" s="4">
        <v>0.46059027777778278</v>
      </c>
      <c r="E399" s="2">
        <v>11.629999999999999</v>
      </c>
      <c r="F399" s="2">
        <v>11.749999999999998</v>
      </c>
      <c r="G399" s="1" t="s">
        <v>26</v>
      </c>
      <c r="H399" s="4">
        <f t="shared" si="28"/>
        <v>1.7361111111113825E-4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0"/>
        <v>391</v>
      </c>
      <c r="B400" s="1" t="str">
        <f>"(4,"&amp;I400&amp;")"</f>
        <v>(4,36)</v>
      </c>
      <c r="C400" s="4">
        <v>0.46084490740741241</v>
      </c>
      <c r="D400" s="4">
        <v>0.46098379629630132</v>
      </c>
      <c r="E400" s="2">
        <v>11.629999999999999</v>
      </c>
      <c r="F400" s="2">
        <v>11.7</v>
      </c>
      <c r="G400" s="1" t="s">
        <v>26</v>
      </c>
      <c r="H400" s="4">
        <f t="shared" si="28"/>
        <v>1.388888888889106E-4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0"/>
        <v>392</v>
      </c>
      <c r="B401" s="1" t="str">
        <f>"(3,"&amp;I401&amp;")"</f>
        <v>(3,36)</v>
      </c>
      <c r="C401" s="4">
        <v>0.46123842592593095</v>
      </c>
      <c r="D401" s="4">
        <v>0.46140046296296799</v>
      </c>
      <c r="E401" s="2">
        <v>11.629999999999999</v>
      </c>
      <c r="F401" s="2">
        <v>11.739999999999998</v>
      </c>
      <c r="G401" s="1" t="s">
        <v>26</v>
      </c>
      <c r="H401" s="4">
        <f t="shared" si="28"/>
        <v>1.6203703703704386E-4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0"/>
        <v>393</v>
      </c>
      <c r="B402" s="1" t="str">
        <f>"(2,"&amp;I402&amp;")"</f>
        <v>(2,36)</v>
      </c>
      <c r="C402" s="4">
        <v>0.46163194444444949</v>
      </c>
      <c r="D402" s="4">
        <v>0.4617708333333384</v>
      </c>
      <c r="E402" s="2">
        <v>11.629999999999999</v>
      </c>
      <c r="F402" s="2">
        <v>11.659999999999998</v>
      </c>
      <c r="G402" s="1" t="s">
        <v>26</v>
      </c>
      <c r="H402" s="4">
        <f t="shared" si="28"/>
        <v>1.388888888889106E-4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0"/>
        <v>394</v>
      </c>
      <c r="B403" s="1" t="str">
        <f>"(1,"&amp;I403&amp;")"</f>
        <v>(1,36)</v>
      </c>
      <c r="C403" s="4">
        <v>0.46206018518519026</v>
      </c>
      <c r="D403" s="4">
        <v>0.46219907407407917</v>
      </c>
      <c r="E403" s="2">
        <v>11.629999999999999</v>
      </c>
      <c r="F403" s="2">
        <v>11.659999999999998</v>
      </c>
      <c r="G403" s="1" t="s">
        <v>26</v>
      </c>
      <c r="H403" s="4">
        <f t="shared" si="28"/>
        <v>1.388888888889106E-4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0"/>
        <v>395</v>
      </c>
      <c r="B404" s="1" t="str">
        <f>"(1,"&amp;I404&amp;")"</f>
        <v>(1,37)</v>
      </c>
      <c r="C404" s="4">
        <v>0.46247685185185694</v>
      </c>
      <c r="D404" s="4">
        <v>0.46263888888889398</v>
      </c>
      <c r="E404" s="2">
        <v>11.629999999999999</v>
      </c>
      <c r="F404" s="2">
        <v>11.69</v>
      </c>
      <c r="G404" s="1" t="s">
        <v>26</v>
      </c>
      <c r="H404" s="4">
        <f t="shared" si="28"/>
        <v>1.6203703703704386E-4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0"/>
        <v>396</v>
      </c>
      <c r="B405" s="1" t="str">
        <f>"(2,"&amp;I405&amp;")"</f>
        <v>(2,37)</v>
      </c>
      <c r="C405" s="4">
        <v>0.46288194444444952</v>
      </c>
      <c r="D405" s="4">
        <v>0.46303240740741247</v>
      </c>
      <c r="E405" s="2">
        <v>11.629999999999999</v>
      </c>
      <c r="F405" s="2">
        <v>11.649999999999999</v>
      </c>
      <c r="G405" s="1" t="s">
        <v>26</v>
      </c>
      <c r="H405" s="4">
        <f t="shared" si="28"/>
        <v>1.5046296296294948E-4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0"/>
        <v>397</v>
      </c>
      <c r="B406" s="1" t="str">
        <f>"(3,"&amp;I406&amp;")"</f>
        <v>(3,37)</v>
      </c>
      <c r="C406" s="4">
        <v>0.4632986111111162</v>
      </c>
      <c r="D406" s="4">
        <v>0.46344907407407915</v>
      </c>
      <c r="E406" s="2">
        <v>11.629999999999999</v>
      </c>
      <c r="F406" s="2">
        <v>11.77</v>
      </c>
      <c r="G406" s="1" t="s">
        <v>26</v>
      </c>
      <c r="H406" s="4">
        <f t="shared" si="28"/>
        <v>1.5046296296294948E-4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0"/>
        <v>398</v>
      </c>
      <c r="B407" s="1" t="str">
        <f>"(4,"&amp;I407&amp;")"</f>
        <v>(4,37)</v>
      </c>
      <c r="C407" s="4">
        <v>0.46372685185185691</v>
      </c>
      <c r="D407" s="4">
        <v>0.46386574074074582</v>
      </c>
      <c r="E407" s="2">
        <v>11.629999999999999</v>
      </c>
      <c r="F407" s="2">
        <v>11.719999999999999</v>
      </c>
      <c r="G407" s="1" t="s">
        <v>26</v>
      </c>
      <c r="H407" s="4">
        <f t="shared" si="28"/>
        <v>1.388888888889106E-4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0"/>
        <v>399</v>
      </c>
      <c r="B408" s="1" t="str">
        <f>"(5,"&amp;I408&amp;")"</f>
        <v>(5,37)</v>
      </c>
      <c r="C408" s="4">
        <v>0.46414351851852359</v>
      </c>
      <c r="D408" s="4">
        <v>0.4642824074074125</v>
      </c>
      <c r="E408" s="2">
        <v>11.629999999999999</v>
      </c>
      <c r="F408" s="2">
        <v>11.78</v>
      </c>
      <c r="G408" s="1" t="s">
        <v>26</v>
      </c>
      <c r="H408" s="4">
        <f t="shared" si="28"/>
        <v>1.388888888889106E-4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0"/>
        <v>400</v>
      </c>
      <c r="B409" s="1" t="str">
        <f>"(6,"&amp;I409&amp;")"</f>
        <v>(6,37)</v>
      </c>
      <c r="C409" s="4">
        <v>0.46454861111111623</v>
      </c>
      <c r="D409" s="4">
        <v>0.46469907407407918</v>
      </c>
      <c r="E409" s="2">
        <v>11.629999999999999</v>
      </c>
      <c r="F409" s="2">
        <v>11.659999999999998</v>
      </c>
      <c r="G409" s="1" t="s">
        <v>26</v>
      </c>
      <c r="H409" s="4">
        <f t="shared" si="28"/>
        <v>1.5046296296294948E-4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0"/>
        <v>401</v>
      </c>
      <c r="B410" s="1" t="str">
        <f>"(7,"&amp;I410&amp;")"</f>
        <v>(7,37)</v>
      </c>
      <c r="C410" s="4">
        <v>0.46494212962963472</v>
      </c>
      <c r="D410" s="4">
        <v>0.46508101851852363</v>
      </c>
      <c r="E410" s="2">
        <v>11.629999999999999</v>
      </c>
      <c r="F410" s="2">
        <v>11.649999999999999</v>
      </c>
      <c r="G410" s="1" t="s">
        <v>26</v>
      </c>
      <c r="H410" s="4">
        <f t="shared" si="28"/>
        <v>1.388888888889106E-4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0"/>
        <v>402</v>
      </c>
      <c r="B411" s="1" t="str">
        <f>"(8,"&amp;I411&amp;")"</f>
        <v>(8,37)</v>
      </c>
      <c r="C411" s="4">
        <v>0.46532407407407916</v>
      </c>
      <c r="D411" s="4">
        <v>0.46546296296296807</v>
      </c>
      <c r="E411" s="2">
        <v>11.629999999999999</v>
      </c>
      <c r="F411" s="2">
        <v>11.709999999999999</v>
      </c>
      <c r="G411" s="1" t="s">
        <v>26</v>
      </c>
      <c r="H411" s="4">
        <f t="shared" si="28"/>
        <v>1.388888888889106E-4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0"/>
        <v>403</v>
      </c>
      <c r="B412" s="1" t="str">
        <f>"(9,"&amp;I412&amp;")"</f>
        <v>(9,37)</v>
      </c>
      <c r="C412" s="4">
        <v>0.46574074074074584</v>
      </c>
      <c r="D412" s="4">
        <v>0.46589120370370879</v>
      </c>
      <c r="E412" s="2">
        <v>11.629999999999999</v>
      </c>
      <c r="F412" s="2">
        <v>11.729999999999999</v>
      </c>
      <c r="G412" s="1" t="s">
        <v>26</v>
      </c>
      <c r="H412" s="4">
        <f t="shared" si="28"/>
        <v>1.5046296296294948E-4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0"/>
        <v>404</v>
      </c>
      <c r="B413" s="1" t="str">
        <f>"(10,"&amp;I413&amp;")"</f>
        <v>(10,37)</v>
      </c>
      <c r="C413" s="4">
        <v>0.46613425925926433</v>
      </c>
      <c r="D413" s="4">
        <v>0.46627314814815324</v>
      </c>
      <c r="E413" s="2">
        <v>11.629999999999999</v>
      </c>
      <c r="F413" s="2">
        <v>11.729999999999999</v>
      </c>
      <c r="G413" s="1" t="s">
        <v>26</v>
      </c>
      <c r="H413" s="4">
        <f t="shared" si="28"/>
        <v>1.388888888889106E-4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0"/>
        <v>405</v>
      </c>
      <c r="B414" s="1" t="str">
        <f>"(11,"&amp;I414&amp;")"</f>
        <v>(11,37)</v>
      </c>
      <c r="C414" s="4">
        <v>0.46651620370370878</v>
      </c>
      <c r="D414" s="4">
        <v>0.46666666666667173</v>
      </c>
      <c r="E414" s="2">
        <v>11.629999999999999</v>
      </c>
      <c r="F414" s="2">
        <v>11.739999999999998</v>
      </c>
      <c r="G414" s="1" t="s">
        <v>26</v>
      </c>
      <c r="H414" s="4">
        <f t="shared" si="28"/>
        <v>1.5046296296294948E-4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0"/>
        <v>406</v>
      </c>
      <c r="B415" s="1" t="str">
        <f>"(11,"&amp;I415&amp;")"</f>
        <v>(11,38)</v>
      </c>
      <c r="C415" s="4">
        <v>0.46692129629630136</v>
      </c>
      <c r="D415" s="4">
        <v>0.4670949074074125</v>
      </c>
      <c r="E415" s="2">
        <v>11.629999999999999</v>
      </c>
      <c r="F415" s="2">
        <v>11.719999999999999</v>
      </c>
      <c r="G415" s="1" t="s">
        <v>26</v>
      </c>
      <c r="H415" s="4">
        <f t="shared" si="28"/>
        <v>1.7361111111113825E-4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0"/>
        <v>407</v>
      </c>
      <c r="B416" s="1" t="str">
        <f>"(10,"&amp;I416&amp;")"</f>
        <v>(10,38)</v>
      </c>
      <c r="C416" s="4">
        <v>0.46737268518519026</v>
      </c>
      <c r="D416" s="4">
        <v>0.46752314814815321</v>
      </c>
      <c r="E416" s="2">
        <v>11.629999999999999</v>
      </c>
      <c r="F416" s="2">
        <v>11.719999999999999</v>
      </c>
      <c r="G416" s="1" t="s">
        <v>26</v>
      </c>
      <c r="H416" s="4">
        <f t="shared" si="28"/>
        <v>1.5046296296294948E-4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0"/>
        <v>408</v>
      </c>
      <c r="B417" s="1" t="str">
        <f>"(9,"&amp;I417&amp;")"</f>
        <v>(9,38)</v>
      </c>
      <c r="C417" s="4">
        <v>0.46778935185185694</v>
      </c>
      <c r="D417" s="4">
        <v>0.46796296296296808</v>
      </c>
      <c r="E417" s="2">
        <v>11.629999999999999</v>
      </c>
      <c r="F417" s="2">
        <v>11.76</v>
      </c>
      <c r="G417" s="1" t="s">
        <v>26</v>
      </c>
      <c r="H417" s="4">
        <f t="shared" si="28"/>
        <v>1.7361111111113825E-4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0"/>
        <v>409</v>
      </c>
      <c r="B418" s="1" t="str">
        <f>"(8,"&amp;I418&amp;")"</f>
        <v>(8,38)</v>
      </c>
      <c r="C418" s="4">
        <v>0.46821759259259771</v>
      </c>
      <c r="D418" s="4">
        <v>0.46839120370370885</v>
      </c>
      <c r="E418" s="2">
        <v>11.629999999999999</v>
      </c>
      <c r="F418" s="2">
        <v>11.7</v>
      </c>
      <c r="G418" s="1" t="s">
        <v>26</v>
      </c>
      <c r="H418" s="4">
        <f t="shared" si="28"/>
        <v>1.7361111111113825E-4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0"/>
        <v>410</v>
      </c>
      <c r="B419" s="1" t="str">
        <f>"(7,"&amp;I419&amp;")"</f>
        <v>(7,38)</v>
      </c>
      <c r="C419" s="4">
        <v>0.46862268518519035</v>
      </c>
      <c r="D419" s="4">
        <v>0.4687731481481533</v>
      </c>
      <c r="E419" s="2">
        <v>11.629999999999999</v>
      </c>
      <c r="F419" s="2">
        <v>11.739999999999998</v>
      </c>
      <c r="G419" s="1" t="s">
        <v>26</v>
      </c>
      <c r="H419" s="4">
        <f t="shared" si="28"/>
        <v>1.5046296296294948E-4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0"/>
        <v>411</v>
      </c>
      <c r="B420" s="1" t="str">
        <f>"(6,"&amp;I420&amp;")"</f>
        <v>(6,38)</v>
      </c>
      <c r="C420" s="4">
        <v>0.46902777777778293</v>
      </c>
      <c r="D420" s="4">
        <v>0.46920138888889407</v>
      </c>
      <c r="E420" s="2">
        <v>11.629999999999999</v>
      </c>
      <c r="F420" s="2">
        <v>11.76</v>
      </c>
      <c r="G420" s="1" t="s">
        <v>26</v>
      </c>
      <c r="H420" s="4">
        <f t="shared" si="28"/>
        <v>1.7361111111113825E-4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0"/>
        <v>412</v>
      </c>
      <c r="B421" s="1" t="str">
        <f>"(5,"&amp;I421&amp;")"</f>
        <v>(5,38)</v>
      </c>
      <c r="C421" s="4">
        <v>0.46943287037037557</v>
      </c>
      <c r="D421" s="4">
        <v>0.4696064814814867</v>
      </c>
      <c r="E421" s="2">
        <v>11.629999999999999</v>
      </c>
      <c r="F421" s="2">
        <v>11.77</v>
      </c>
      <c r="G421" s="1" t="s">
        <v>26</v>
      </c>
      <c r="H421" s="4">
        <f t="shared" si="28"/>
        <v>1.7361111111113825E-4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0"/>
        <v>413</v>
      </c>
      <c r="B422" s="1" t="str">
        <f>"(4,"&amp;I422&amp;")"</f>
        <v>(4,38)</v>
      </c>
      <c r="C422" s="4">
        <v>0.46984953703704224</v>
      </c>
      <c r="D422" s="4">
        <v>0.47001157407407929</v>
      </c>
      <c r="E422" s="2">
        <v>11.629999999999999</v>
      </c>
      <c r="F422" s="2">
        <v>11.69</v>
      </c>
      <c r="G422" s="1" t="s">
        <v>26</v>
      </c>
      <c r="H422" s="4">
        <f t="shared" si="28"/>
        <v>1.6203703703704386E-4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0"/>
        <v>414</v>
      </c>
      <c r="B423" s="1" t="str">
        <f>"(3,"&amp;I423&amp;")"</f>
        <v>(3,38)</v>
      </c>
      <c r="C423" s="4">
        <v>0.47027777777778301</v>
      </c>
      <c r="D423" s="4">
        <v>0.47042824074074596</v>
      </c>
      <c r="E423" s="2">
        <v>11.629999999999999</v>
      </c>
      <c r="F423" s="2">
        <v>11.729999999999999</v>
      </c>
      <c r="G423" s="1" t="s">
        <v>26</v>
      </c>
      <c r="H423" s="4">
        <f t="shared" si="28"/>
        <v>1.5046296296294948E-4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0"/>
        <v>415</v>
      </c>
      <c r="B424" s="1" t="str">
        <f>"(2,"&amp;I424&amp;")"</f>
        <v>(2,38)</v>
      </c>
      <c r="C424" s="4">
        <v>0.47070601851852373</v>
      </c>
      <c r="D424" s="4">
        <v>0.47086805555556077</v>
      </c>
      <c r="E424" s="2">
        <v>11.629999999999999</v>
      </c>
      <c r="F424" s="2">
        <v>11.76</v>
      </c>
      <c r="G424" s="1" t="s">
        <v>26</v>
      </c>
      <c r="H424" s="4">
        <f t="shared" si="28"/>
        <v>1.6203703703704386E-4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0"/>
        <v>416</v>
      </c>
      <c r="B425" s="1" t="str">
        <f>"(1,"&amp;I425&amp;")"</f>
        <v>(1,38)</v>
      </c>
      <c r="C425" s="4">
        <v>0.4711342592592645</v>
      </c>
      <c r="D425" s="4">
        <v>0.47130787037037564</v>
      </c>
      <c r="E425" s="2">
        <v>11.629999999999999</v>
      </c>
      <c r="F425" s="2">
        <v>11.669999999999998</v>
      </c>
      <c r="G425" s="1" t="s">
        <v>26</v>
      </c>
      <c r="H425" s="4">
        <f t="shared" si="28"/>
        <v>1.7361111111113825E-4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0"/>
        <v>417</v>
      </c>
      <c r="B426" s="1" t="str">
        <f>"(1,"&amp;I426&amp;")"</f>
        <v>(1,39)</v>
      </c>
      <c r="C426" s="4">
        <v>0.47153935185185714</v>
      </c>
      <c r="D426" s="4">
        <v>0.47167824074074605</v>
      </c>
      <c r="E426" s="2">
        <v>11.629999999999999</v>
      </c>
      <c r="F426" s="2">
        <v>11.69</v>
      </c>
      <c r="G426" s="1" t="s">
        <v>26</v>
      </c>
      <c r="H426" s="4">
        <f t="shared" si="28"/>
        <v>1.388888888889106E-4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0"/>
        <v>418</v>
      </c>
      <c r="B427" s="1" t="str">
        <f>"(2,"&amp;I427&amp;")"</f>
        <v>(2,39)</v>
      </c>
      <c r="C427" s="4">
        <v>0.47192129629630158</v>
      </c>
      <c r="D427" s="4">
        <v>0.4720601851851905</v>
      </c>
      <c r="E427" s="2">
        <v>11.629999999999999</v>
      </c>
      <c r="F427" s="2">
        <v>11.76</v>
      </c>
      <c r="G427" s="1" t="s">
        <v>26</v>
      </c>
      <c r="H427" s="4">
        <f t="shared" si="28"/>
        <v>1.388888888889106E-4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0"/>
        <v>419</v>
      </c>
      <c r="B428" s="1" t="str">
        <f>"(3,"&amp;I428&amp;")"</f>
        <v>(3,39)</v>
      </c>
      <c r="C428" s="4">
        <v>0.47229166666667199</v>
      </c>
      <c r="D428" s="4">
        <v>0.4724305555555609</v>
      </c>
      <c r="E428" s="2">
        <v>11.629999999999999</v>
      </c>
      <c r="F428" s="2">
        <v>11.78</v>
      </c>
      <c r="G428" s="1" t="s">
        <v>26</v>
      </c>
      <c r="H428" s="4">
        <f t="shared" si="28"/>
        <v>1.388888888889106E-4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0"/>
        <v>420</v>
      </c>
      <c r="B429" s="1" t="str">
        <f>"(4,"&amp;I429&amp;")"</f>
        <v>(4,39)</v>
      </c>
      <c r="C429" s="4">
        <v>0.47270833333333867</v>
      </c>
      <c r="D429" s="4">
        <v>0.47288194444444981</v>
      </c>
      <c r="E429" s="2">
        <v>11.629999999999999</v>
      </c>
      <c r="F429" s="2">
        <v>11.68</v>
      </c>
      <c r="G429" s="1" t="s">
        <v>26</v>
      </c>
      <c r="H429" s="4">
        <f t="shared" si="28"/>
        <v>1.7361111111113825E-4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0"/>
        <v>421</v>
      </c>
      <c r="B430" s="1" t="str">
        <f>"(5,"&amp;I430&amp;")"</f>
        <v>(5,39)</v>
      </c>
      <c r="C430" s="4">
        <v>0.47311342592593131</v>
      </c>
      <c r="D430" s="4">
        <v>0.47326388888889426</v>
      </c>
      <c r="E430" s="2">
        <v>11.629999999999999</v>
      </c>
      <c r="F430" s="2">
        <v>11.76</v>
      </c>
      <c r="G430" s="1" t="s">
        <v>26</v>
      </c>
      <c r="H430" s="4">
        <f t="shared" si="28"/>
        <v>1.5046296296294948E-4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0"/>
        <v>422</v>
      </c>
      <c r="B431" s="1" t="str">
        <f>"(6,"&amp;I431&amp;")"</f>
        <v>(6,39)</v>
      </c>
      <c r="C431" s="4">
        <v>0.4735069444444498</v>
      </c>
      <c r="D431" s="4">
        <v>0.47368055555556093</v>
      </c>
      <c r="E431" s="2">
        <v>11.629999999999999</v>
      </c>
      <c r="F431" s="2">
        <v>11.749999999999998</v>
      </c>
      <c r="G431" s="1" t="s">
        <v>26</v>
      </c>
      <c r="H431" s="4">
        <f t="shared" si="28"/>
        <v>1.7361111111113825E-4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0"/>
        <v>423</v>
      </c>
      <c r="B432" s="1" t="str">
        <f>"(7,"&amp;I432&amp;")"</f>
        <v>(7,39)</v>
      </c>
      <c r="C432" s="4">
        <v>0.47396990740741279</v>
      </c>
      <c r="D432" s="4">
        <v>0.47413194444444984</v>
      </c>
      <c r="E432" s="2">
        <v>11.629999999999999</v>
      </c>
      <c r="F432" s="2">
        <v>11.7</v>
      </c>
      <c r="G432" s="1" t="s">
        <v>26</v>
      </c>
      <c r="H432" s="4">
        <f t="shared" si="28"/>
        <v>1.6203703703704386E-4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0"/>
        <v>424</v>
      </c>
      <c r="B433" s="1" t="str">
        <f>"(8,"&amp;I433&amp;")"</f>
        <v>(8,39)</v>
      </c>
      <c r="C433" s="4">
        <v>0.47438657407407947</v>
      </c>
      <c r="D433" s="4">
        <v>0.47456018518519061</v>
      </c>
      <c r="E433" s="2">
        <v>11.629999999999999</v>
      </c>
      <c r="F433" s="2">
        <v>11.739999999999998</v>
      </c>
      <c r="G433" s="1" t="s">
        <v>26</v>
      </c>
      <c r="H433" s="4">
        <f t="shared" si="28"/>
        <v>1.7361111111113825E-4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0"/>
        <v>425</v>
      </c>
      <c r="B434" s="1" t="str">
        <f>"(9,"&amp;I434&amp;")"</f>
        <v>(9,39)</v>
      </c>
      <c r="C434" s="4">
        <v>0.47480324074074615</v>
      </c>
      <c r="D434" s="4">
        <v>0.47496527777778319</v>
      </c>
      <c r="E434" s="2">
        <v>11.629999999999999</v>
      </c>
      <c r="F434" s="2">
        <v>11.78</v>
      </c>
      <c r="G434" s="1" t="s">
        <v>26</v>
      </c>
      <c r="H434" s="4">
        <f t="shared" si="28"/>
        <v>1.6203703703704386E-4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0"/>
        <v>426</v>
      </c>
      <c r="B435" s="1" t="str">
        <f>"(10,"&amp;I435&amp;")"</f>
        <v>(10,39)</v>
      </c>
      <c r="C435" s="4">
        <v>0.47525462962963505</v>
      </c>
      <c r="D435" s="4">
        <v>0.475405092592598</v>
      </c>
      <c r="E435" s="2">
        <v>11.629999999999999</v>
      </c>
      <c r="F435" s="2">
        <v>11.649999999999999</v>
      </c>
      <c r="G435" s="1" t="s">
        <v>26</v>
      </c>
      <c r="H435" s="4">
        <f t="shared" si="28"/>
        <v>1.5046296296294948E-4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0"/>
        <v>427</v>
      </c>
      <c r="B436" s="1" t="str">
        <f>"(11,"&amp;I436&amp;")"</f>
        <v>(11,39)</v>
      </c>
      <c r="C436" s="4">
        <v>0.47569444444444986</v>
      </c>
      <c r="D436" s="4">
        <v>0.47584490740741281</v>
      </c>
      <c r="E436" s="2">
        <v>11.629999999999999</v>
      </c>
      <c r="F436" s="2">
        <v>11.749999999999998</v>
      </c>
      <c r="G436" s="1" t="s">
        <v>26</v>
      </c>
      <c r="H436" s="4">
        <f t="shared" si="28"/>
        <v>1.5046296296294948E-4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0"/>
        <v>428</v>
      </c>
      <c r="B437" s="1" t="str">
        <f>"(11,"&amp;I437&amp;")"</f>
        <v>(11,40)</v>
      </c>
      <c r="C437" s="4">
        <v>0.47608796296296835</v>
      </c>
      <c r="D437" s="4">
        <v>0.47625000000000539</v>
      </c>
      <c r="E437" s="2">
        <v>11.629999999999999</v>
      </c>
      <c r="F437" s="2">
        <v>11.77</v>
      </c>
      <c r="G437" s="1" t="s">
        <v>26</v>
      </c>
      <c r="H437" s="4">
        <f t="shared" si="28"/>
        <v>1.6203703703704386E-4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0"/>
        <v>429</v>
      </c>
      <c r="B438" s="1" t="str">
        <f>"(10,"&amp;I438&amp;")"</f>
        <v>(10,40)</v>
      </c>
      <c r="C438" s="4">
        <v>0.47650462962963502</v>
      </c>
      <c r="D438" s="4">
        <v>0.47667824074074616</v>
      </c>
      <c r="E438" s="2">
        <v>11.629999999999999</v>
      </c>
      <c r="F438" s="2">
        <v>11.649999999999999</v>
      </c>
      <c r="G438" s="1" t="s">
        <v>26</v>
      </c>
      <c r="H438" s="4">
        <f t="shared" si="28"/>
        <v>1.7361111111113825E-4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0"/>
        <v>430</v>
      </c>
      <c r="B439" s="1" t="str">
        <f>"(9,"&amp;I439&amp;")"</f>
        <v>(9,40)</v>
      </c>
      <c r="C439" s="4">
        <v>0.47690972222222766</v>
      </c>
      <c r="D439" s="4">
        <v>0.4770717592592647</v>
      </c>
      <c r="E439" s="2">
        <v>11.629999999999999</v>
      </c>
      <c r="F439" s="2">
        <v>11.68</v>
      </c>
      <c r="G439" s="1" t="s">
        <v>26</v>
      </c>
      <c r="H439" s="4">
        <f t="shared" si="28"/>
        <v>1.6203703703704386E-4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0"/>
        <v>431</v>
      </c>
      <c r="B440" s="1" t="str">
        <f>"(8,"&amp;I440&amp;")"</f>
        <v>(8,40)</v>
      </c>
      <c r="C440" s="4">
        <v>0.47731481481482024</v>
      </c>
      <c r="D440" s="4">
        <v>0.47748842592593138</v>
      </c>
      <c r="E440" s="2">
        <v>11.629999999999999</v>
      </c>
      <c r="F440" s="2">
        <v>11.709999999999999</v>
      </c>
      <c r="G440" s="1" t="s">
        <v>26</v>
      </c>
      <c r="H440" s="4">
        <f t="shared" si="28"/>
        <v>1.7361111111113825E-4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0"/>
        <v>432</v>
      </c>
      <c r="B441" s="1" t="str">
        <f>"(7,"&amp;I441&amp;")"</f>
        <v>(7,40)</v>
      </c>
      <c r="C441" s="4">
        <v>0.47771990740741288</v>
      </c>
      <c r="D441" s="4">
        <v>0.47789351851852402</v>
      </c>
      <c r="E441" s="2">
        <v>11.629999999999999</v>
      </c>
      <c r="F441" s="2">
        <v>11.78</v>
      </c>
      <c r="G441" s="1" t="s">
        <v>26</v>
      </c>
      <c r="H441" s="4">
        <f t="shared" si="28"/>
        <v>1.7361111111113825E-4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0"/>
        <v>433</v>
      </c>
      <c r="B442" s="1" t="str">
        <f>"(6,"&amp;I442&amp;")"</f>
        <v>(6,40)</v>
      </c>
      <c r="C442" s="4">
        <v>0.47812500000000552</v>
      </c>
      <c r="D442" s="4">
        <v>0.47827546296296847</v>
      </c>
      <c r="E442" s="2">
        <v>11.629999999999999</v>
      </c>
      <c r="F442" s="2">
        <v>11.7</v>
      </c>
      <c r="G442" s="1" t="s">
        <v>26</v>
      </c>
      <c r="H442" s="4">
        <f t="shared" si="28"/>
        <v>1.5046296296294948E-4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0"/>
        <v>434</v>
      </c>
      <c r="B443" s="1" t="str">
        <f>"(5,"&amp;I443&amp;")"</f>
        <v>(5,40)</v>
      </c>
      <c r="C443" s="4">
        <v>0.47851851851852401</v>
      </c>
      <c r="D443" s="4">
        <v>0.47868055555556105</v>
      </c>
      <c r="E443" s="2">
        <v>11.629999999999999</v>
      </c>
      <c r="F443" s="2">
        <v>11.77</v>
      </c>
      <c r="G443" s="1" t="s">
        <v>26</v>
      </c>
      <c r="H443" s="4">
        <f t="shared" si="28"/>
        <v>1.6203703703704386E-4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0"/>
        <v>435</v>
      </c>
      <c r="B444" s="1" t="str">
        <f>"(4,"&amp;I444&amp;")"</f>
        <v>(4,40)</v>
      </c>
      <c r="C444" s="4">
        <v>0.47893518518519068</v>
      </c>
      <c r="D444" s="4">
        <v>0.47910879629630182</v>
      </c>
      <c r="E444" s="2">
        <v>11.629999999999999</v>
      </c>
      <c r="F444" s="2">
        <v>11.749999999999998</v>
      </c>
      <c r="G444" s="1" t="s">
        <v>26</v>
      </c>
      <c r="H444" s="4">
        <f t="shared" si="28"/>
        <v>1.7361111111113825E-4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0"/>
        <v>436</v>
      </c>
      <c r="B445" s="1" t="str">
        <f>"(3,"&amp;I445&amp;")"</f>
        <v>(3,40)</v>
      </c>
      <c r="C445" s="4">
        <v>0.47939814814815368</v>
      </c>
      <c r="D445" s="4">
        <v>0.47957175925926482</v>
      </c>
      <c r="E445" s="2">
        <v>11.629999999999999</v>
      </c>
      <c r="F445" s="2">
        <v>11.68</v>
      </c>
      <c r="G445" s="1" t="s">
        <v>26</v>
      </c>
      <c r="H445" s="4">
        <f t="shared" si="28"/>
        <v>1.7361111111113825E-4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0"/>
        <v>437</v>
      </c>
      <c r="B446" s="1" t="str">
        <f>"(2,"&amp;I446&amp;")"</f>
        <v>(2,40)</v>
      </c>
      <c r="C446" s="4">
        <v>0.47981481481482036</v>
      </c>
      <c r="D446" s="4">
        <v>0.47998842592593149</v>
      </c>
      <c r="E446" s="2">
        <v>11.629999999999999</v>
      </c>
      <c r="F446" s="2">
        <v>11.649999999999999</v>
      </c>
      <c r="G446" s="1" t="s">
        <v>26</v>
      </c>
      <c r="H446" s="4">
        <f t="shared" si="28"/>
        <v>1.7361111111113825E-4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0"/>
        <v>438</v>
      </c>
      <c r="B447" s="1" t="str">
        <f>"(1,"&amp;I447&amp;")"</f>
        <v>(1,40)</v>
      </c>
      <c r="C447" s="4">
        <v>0.48024305555556113</v>
      </c>
      <c r="D447" s="4">
        <v>0.48039351851852408</v>
      </c>
      <c r="E447" s="2">
        <v>11.629999999999999</v>
      </c>
      <c r="F447" s="2">
        <v>11.76</v>
      </c>
      <c r="G447" s="1" t="s">
        <v>26</v>
      </c>
      <c r="H447" s="4">
        <f t="shared" si="28"/>
        <v>1.5046296296294948E-4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0"/>
        <v>439</v>
      </c>
      <c r="B448" s="1" t="str">
        <f>"(1,"&amp;I448&amp;")"</f>
        <v>(1,41)</v>
      </c>
      <c r="C448" s="4">
        <v>0.48063657407407961</v>
      </c>
      <c r="D448" s="4">
        <v>0.48079861111111666</v>
      </c>
      <c r="E448" s="2">
        <v>11.629999999999999</v>
      </c>
      <c r="F448" s="2">
        <v>11.729999999999999</v>
      </c>
      <c r="G448" s="1" t="s">
        <v>26</v>
      </c>
      <c r="H448" s="4">
        <f t="shared" si="28"/>
        <v>1.6203703703704386E-4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0"/>
        <v>440</v>
      </c>
      <c r="B449" s="1" t="str">
        <f>"(2,"&amp;I449&amp;")"</f>
        <v>(2,41)</v>
      </c>
      <c r="C449" s="4">
        <v>0.48108796296296852</v>
      </c>
      <c r="D449" s="4">
        <v>0.48122685185185743</v>
      </c>
      <c r="E449" s="2">
        <v>11.629999999999999</v>
      </c>
      <c r="F449" s="2">
        <v>11.78</v>
      </c>
      <c r="G449" s="1" t="s">
        <v>26</v>
      </c>
      <c r="H449" s="4">
        <f t="shared" si="28"/>
        <v>1.388888888889106E-4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0"/>
        <v>441</v>
      </c>
      <c r="B450" s="1" t="str">
        <f>"(3,"&amp;I450&amp;")"</f>
        <v>(3,41)</v>
      </c>
      <c r="C450" s="4">
        <v>0.48146990740741297</v>
      </c>
      <c r="D450" s="4">
        <v>0.48160879629630188</v>
      </c>
      <c r="E450" s="2">
        <v>11.629999999999999</v>
      </c>
      <c r="F450" s="2">
        <v>11.68</v>
      </c>
      <c r="G450" s="1" t="s">
        <v>26</v>
      </c>
      <c r="H450" s="4">
        <f t="shared" si="28"/>
        <v>1.388888888889106E-4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0"/>
        <v>442</v>
      </c>
      <c r="B451" s="1" t="str">
        <f>"(4,"&amp;I451&amp;")"</f>
        <v>(4,41)</v>
      </c>
      <c r="C451" s="4">
        <v>0.48186342592593151</v>
      </c>
      <c r="D451" s="4">
        <v>0.48200231481482042</v>
      </c>
      <c r="E451" s="2">
        <v>11.629999999999999</v>
      </c>
      <c r="F451" s="2">
        <v>11.749999999999998</v>
      </c>
      <c r="G451" s="1" t="s">
        <v>26</v>
      </c>
      <c r="H451" s="4">
        <f t="shared" si="28"/>
        <v>1.388888888889106E-4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0"/>
        <v>443</v>
      </c>
      <c r="B452" s="1" t="str">
        <f>"(5,"&amp;I452&amp;")"</f>
        <v>(5,41)</v>
      </c>
      <c r="C452" s="4">
        <v>0.48228009259259819</v>
      </c>
      <c r="D452" s="4">
        <v>0.48244212962963523</v>
      </c>
      <c r="E452" s="2">
        <v>11.629999999999999</v>
      </c>
      <c r="F452" s="2">
        <v>11.76</v>
      </c>
      <c r="G452" s="1" t="s">
        <v>26</v>
      </c>
      <c r="H452" s="4">
        <f t="shared" si="28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0"/>
        <v>444</v>
      </c>
      <c r="B453" s="1" t="str">
        <f>"(6,"&amp;I453&amp;")"</f>
        <v>(6,41)</v>
      </c>
      <c r="C453" s="4">
        <v>0.482719907407413</v>
      </c>
      <c r="D453" s="4">
        <v>0.48288194444445004</v>
      </c>
      <c r="E453" s="2">
        <v>11.629999999999999</v>
      </c>
      <c r="F453" s="2">
        <v>11.77</v>
      </c>
      <c r="G453" s="1" t="s">
        <v>26</v>
      </c>
      <c r="H453" s="4">
        <f t="shared" si="28"/>
        <v>1.6203703703704386E-4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0"/>
        <v>445</v>
      </c>
      <c r="B454" s="1" t="str">
        <f>"(7,"&amp;I454&amp;")"</f>
        <v>(7,41)</v>
      </c>
      <c r="C454" s="4">
        <v>0.48312500000000558</v>
      </c>
      <c r="D454" s="4">
        <v>0.48329861111111672</v>
      </c>
      <c r="E454" s="2">
        <v>11.629999999999999</v>
      </c>
      <c r="F454" s="2">
        <v>11.719999999999999</v>
      </c>
      <c r="G454" s="1" t="s">
        <v>26</v>
      </c>
      <c r="H454" s="4">
        <f t="shared" si="28"/>
        <v>1.7361111111113825E-4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0"/>
        <v>446</v>
      </c>
      <c r="B455" s="1" t="str">
        <f>"(8,"&amp;I455&amp;")"</f>
        <v>(8,41)</v>
      </c>
      <c r="C455" s="4">
        <v>0.48357638888889448</v>
      </c>
      <c r="D455" s="4">
        <v>0.48375000000000562</v>
      </c>
      <c r="E455" s="2">
        <v>11.629999999999999</v>
      </c>
      <c r="F455" s="2">
        <v>11.78</v>
      </c>
      <c r="G455" s="1" t="s">
        <v>26</v>
      </c>
      <c r="H455" s="4">
        <f t="shared" si="28"/>
        <v>1.7361111111113825E-4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0"/>
        <v>447</v>
      </c>
      <c r="B456" s="1" t="str">
        <f>"(9,"&amp;I456&amp;")"</f>
        <v>(9,41)</v>
      </c>
      <c r="C456" s="4">
        <v>0.48398148148148712</v>
      </c>
      <c r="D456" s="4">
        <v>0.48415509259259826</v>
      </c>
      <c r="E456" s="2">
        <v>11.629999999999999</v>
      </c>
      <c r="F456" s="2">
        <v>11.749999999999998</v>
      </c>
      <c r="G456" s="1" t="s">
        <v>26</v>
      </c>
      <c r="H456" s="4">
        <f t="shared" si="28"/>
        <v>1.7361111111113825E-4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0"/>
        <v>448</v>
      </c>
      <c r="B457" s="1" t="str">
        <f>"(10,"&amp;I457&amp;")"</f>
        <v>(10,41)</v>
      </c>
      <c r="C457" s="4">
        <v>0.54516203703703703</v>
      </c>
      <c r="D457" s="4">
        <v>0.54533564814814817</v>
      </c>
      <c r="E457" s="2">
        <v>11.629999999999999</v>
      </c>
      <c r="F457" s="2">
        <v>11.68</v>
      </c>
      <c r="G457" s="1" t="s">
        <v>26</v>
      </c>
      <c r="H457" s="4">
        <f t="shared" si="28"/>
        <v>1.7361111111113825E-4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0"/>
        <v>449</v>
      </c>
      <c r="B458" s="1" t="str">
        <f>"(11,"&amp;I458&amp;")"</f>
        <v>(11,41)</v>
      </c>
      <c r="C458" s="4">
        <v>0.54560185185185184</v>
      </c>
      <c r="D458" s="4">
        <v>0.54576388888888883</v>
      </c>
      <c r="E458" s="2">
        <v>11.629999999999999</v>
      </c>
      <c r="F458" s="2">
        <v>11.76</v>
      </c>
      <c r="G458" s="1" t="s">
        <v>26</v>
      </c>
      <c r="H458" s="4">
        <f t="shared" si="28"/>
        <v>1.6203703703698835E-4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0"/>
        <v>450</v>
      </c>
      <c r="B459" s="1" t="str">
        <f>"(11,"&amp;I459&amp;")"</f>
        <v>(11,42)</v>
      </c>
      <c r="C459" s="4">
        <v>0.54604166666666665</v>
      </c>
      <c r="D459" s="4">
        <v>0.54621527777777779</v>
      </c>
      <c r="E459" s="2">
        <v>11.629999999999999</v>
      </c>
      <c r="F459" s="2">
        <v>11.639999999999999</v>
      </c>
      <c r="G459" s="1" t="s">
        <v>26</v>
      </c>
      <c r="H459" s="4">
        <f t="shared" si="28"/>
        <v>1.7361111111113825E-4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si="20"/>
        <v>451</v>
      </c>
      <c r="B460" s="1" t="str">
        <f>"(10,"&amp;I460&amp;")"</f>
        <v>(10,42)</v>
      </c>
      <c r="C460" s="4">
        <v>0.54645833333333338</v>
      </c>
      <c r="D460" s="4">
        <v>0.54659722222222229</v>
      </c>
      <c r="E460" s="2">
        <v>11.629999999999999</v>
      </c>
      <c r="F460" s="2">
        <v>11.719999999999999</v>
      </c>
      <c r="G460" s="1" t="s">
        <v>26</v>
      </c>
      <c r="H460" s="4">
        <f t="shared" ref="H460:H523" si="34">D460-C460</f>
        <v>1.388888888889106E-4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20"/>
        <v>452</v>
      </c>
      <c r="B461" s="1" t="str">
        <f>"(9,"&amp;I461&amp;")"</f>
        <v>(9,42)</v>
      </c>
      <c r="C461" s="4">
        <v>0.54688657407407415</v>
      </c>
      <c r="D461" s="4">
        <v>0.5470370370370371</v>
      </c>
      <c r="E461" s="2">
        <v>11.629999999999999</v>
      </c>
      <c r="F461" s="2">
        <v>11.729999999999999</v>
      </c>
      <c r="G461" s="1" t="s">
        <v>26</v>
      </c>
      <c r="H461" s="4">
        <f t="shared" si="34"/>
        <v>1.5046296296294948E-4</v>
      </c>
      <c r="I461">
        <f t="shared" ref="I461:I469" si="35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20"/>
        <v>453</v>
      </c>
      <c r="B462" s="1" t="str">
        <f>"(8,"&amp;I462&amp;")"</f>
        <v>(8,42)</v>
      </c>
      <c r="C462" s="4">
        <v>0.54726851851851854</v>
      </c>
      <c r="D462" s="4">
        <v>0.54744212962962968</v>
      </c>
      <c r="E462" s="2">
        <v>11.629999999999999</v>
      </c>
      <c r="F462" s="2">
        <v>11.639999999999999</v>
      </c>
      <c r="G462" s="1" t="s">
        <v>26</v>
      </c>
      <c r="H462" s="4">
        <f t="shared" si="34"/>
        <v>1.7361111111113825E-4</v>
      </c>
      <c r="I462">
        <f t="shared" si="35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20"/>
        <v>454</v>
      </c>
      <c r="B463" s="1" t="str">
        <f>"(7,"&amp;I463&amp;")"</f>
        <v>(7,42)</v>
      </c>
      <c r="C463" s="4">
        <v>0.54768518518518527</v>
      </c>
      <c r="D463" s="4">
        <v>0.54783564814814822</v>
      </c>
      <c r="E463" s="2">
        <v>11.629999999999999</v>
      </c>
      <c r="F463" s="2">
        <v>11.77</v>
      </c>
      <c r="G463" s="1" t="s">
        <v>26</v>
      </c>
      <c r="H463" s="4">
        <f t="shared" si="34"/>
        <v>1.5046296296294948E-4</v>
      </c>
      <c r="I463">
        <f t="shared" si="35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20"/>
        <v>455</v>
      </c>
      <c r="B464" s="1" t="str">
        <f>"(6,"&amp;I464&amp;")"</f>
        <v>(6,42)</v>
      </c>
      <c r="C464" s="4">
        <v>0.54806712962962967</v>
      </c>
      <c r="D464" s="4">
        <v>0.54820601851851858</v>
      </c>
      <c r="E464" s="2">
        <v>11.629999999999999</v>
      </c>
      <c r="F464" s="2">
        <v>11.76</v>
      </c>
      <c r="G464" s="1" t="s">
        <v>26</v>
      </c>
      <c r="H464" s="4">
        <f t="shared" si="34"/>
        <v>1.388888888889106E-4</v>
      </c>
      <c r="I464">
        <f t="shared" si="35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20"/>
        <v>456</v>
      </c>
      <c r="B465" s="1" t="str">
        <f>"(5,"&amp;I465&amp;")"</f>
        <v>(5,42)</v>
      </c>
      <c r="C465" s="4">
        <v>0.54846064814814821</v>
      </c>
      <c r="D465" s="4">
        <v>0.54861111111111116</v>
      </c>
      <c r="E465" s="2">
        <v>11.629999999999999</v>
      </c>
      <c r="F465" s="2">
        <v>11.669999999999998</v>
      </c>
      <c r="G465" s="1" t="s">
        <v>26</v>
      </c>
      <c r="H465" s="4">
        <f t="shared" si="34"/>
        <v>1.5046296296294948E-4</v>
      </c>
      <c r="I465">
        <f t="shared" si="35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20"/>
        <v>457</v>
      </c>
      <c r="B466" s="1" t="str">
        <f>"(4,"&amp;I466&amp;")"</f>
        <v>(4,42)</v>
      </c>
      <c r="C466" s="4">
        <v>0.54885416666666675</v>
      </c>
      <c r="D466" s="4">
        <v>0.54902777777777789</v>
      </c>
      <c r="E466" s="2">
        <v>11.629999999999999</v>
      </c>
      <c r="F466" s="2">
        <v>11.68</v>
      </c>
      <c r="G466" s="1" t="s">
        <v>26</v>
      </c>
      <c r="H466" s="4">
        <f t="shared" si="34"/>
        <v>1.7361111111113825E-4</v>
      </c>
      <c r="I466">
        <f t="shared" si="35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20"/>
        <v>458</v>
      </c>
      <c r="B467" s="1" t="str">
        <f>"(3,"&amp;I467&amp;")"</f>
        <v>(3,42)</v>
      </c>
      <c r="C467" s="4">
        <v>0.54931712962962975</v>
      </c>
      <c r="D467" s="4">
        <v>0.5494675925925927</v>
      </c>
      <c r="E467" s="2">
        <v>11.629999999999999</v>
      </c>
      <c r="F467" s="2">
        <v>11.7</v>
      </c>
      <c r="G467" s="1" t="s">
        <v>26</v>
      </c>
      <c r="H467" s="4">
        <f t="shared" si="34"/>
        <v>1.5046296296294948E-4</v>
      </c>
      <c r="I467">
        <f t="shared" si="35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20"/>
        <v>459</v>
      </c>
      <c r="B468" s="1" t="str">
        <f>"(2,"&amp;I468&amp;")"</f>
        <v>(2,42)</v>
      </c>
      <c r="C468" s="4">
        <v>0.54973379629629637</v>
      </c>
      <c r="D468" s="4">
        <v>0.54989583333333336</v>
      </c>
      <c r="E468" s="2">
        <v>11.629999999999999</v>
      </c>
      <c r="F468" s="2">
        <v>11.749999999999998</v>
      </c>
      <c r="G468" s="1" t="s">
        <v>26</v>
      </c>
      <c r="H468" s="4">
        <f t="shared" si="34"/>
        <v>1.6203703703698835E-4</v>
      </c>
      <c r="I468">
        <f t="shared" si="35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20"/>
        <v>460</v>
      </c>
      <c r="B469" s="1" t="str">
        <f>"(1,"&amp;I469&amp;")"</f>
        <v>(1,42)</v>
      </c>
      <c r="C469" s="4">
        <v>0.55013888888888896</v>
      </c>
      <c r="D469" s="4">
        <v>0.5502893518518519</v>
      </c>
      <c r="E469" s="2">
        <v>11.629999999999999</v>
      </c>
      <c r="F469" s="2">
        <v>11.7</v>
      </c>
      <c r="G469" s="1" t="s">
        <v>26</v>
      </c>
      <c r="H469" s="4">
        <f t="shared" si="34"/>
        <v>1.5046296296294948E-4</v>
      </c>
      <c r="I469">
        <f t="shared" si="35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20"/>
        <v>461</v>
      </c>
      <c r="B470" s="1" t="str">
        <f>"(1,"&amp;I470&amp;")"</f>
        <v>(1,43)</v>
      </c>
      <c r="C470" s="4">
        <v>0.55052083333333335</v>
      </c>
      <c r="D470" s="4">
        <v>0.55065972222222226</v>
      </c>
      <c r="E470" s="2">
        <v>11.629999999999999</v>
      </c>
      <c r="F470" s="2">
        <v>11.709999999999999</v>
      </c>
      <c r="G470" s="1" t="s">
        <v>26</v>
      </c>
      <c r="H470" s="4">
        <f t="shared" si="34"/>
        <v>1.388888888889106E-4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20"/>
        <v>462</v>
      </c>
      <c r="B471" s="1" t="str">
        <f>"(2,"&amp;I471&amp;")"</f>
        <v>(2,43)</v>
      </c>
      <c r="C471" s="4">
        <v>0.55091435185185189</v>
      </c>
      <c r="D471" s="4">
        <v>0.55108796296296303</v>
      </c>
      <c r="E471" s="2">
        <v>11.629999999999999</v>
      </c>
      <c r="F471" s="2">
        <v>11.739999999999998</v>
      </c>
      <c r="G471" s="1" t="s">
        <v>26</v>
      </c>
      <c r="H471" s="4">
        <f t="shared" si="34"/>
        <v>1.7361111111113825E-4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20"/>
        <v>463</v>
      </c>
      <c r="B472" s="1" t="str">
        <f>"(3,"&amp;I472&amp;")"</f>
        <v>(3,43)</v>
      </c>
      <c r="C472" s="4">
        <v>0.55134259259259266</v>
      </c>
      <c r="D472" s="4">
        <v>0.5515162037037038</v>
      </c>
      <c r="E472" s="2">
        <v>11.629999999999999</v>
      </c>
      <c r="F472" s="2">
        <v>11.77</v>
      </c>
      <c r="G472" s="1" t="s">
        <v>26</v>
      </c>
      <c r="H472" s="4">
        <f t="shared" si="34"/>
        <v>1.7361111111113825E-4</v>
      </c>
      <c r="I472">
        <f t="shared" ref="I472:I480" si="36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20"/>
        <v>464</v>
      </c>
      <c r="B473" s="1" t="str">
        <f>"(4,"&amp;I473&amp;")"</f>
        <v>(4,43)</v>
      </c>
      <c r="C473" s="4">
        <v>0.55175925925925939</v>
      </c>
      <c r="D473" s="4">
        <v>0.5518981481481483</v>
      </c>
      <c r="E473" s="2">
        <v>11.629999999999999</v>
      </c>
      <c r="F473" s="2">
        <v>11.77</v>
      </c>
      <c r="G473" s="1" t="s">
        <v>26</v>
      </c>
      <c r="H473" s="4">
        <f t="shared" si="34"/>
        <v>1.388888888889106E-4</v>
      </c>
      <c r="I473">
        <f t="shared" si="36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20"/>
        <v>465</v>
      </c>
      <c r="B474" s="1" t="str">
        <f>"(5,"&amp;I474&amp;")"</f>
        <v>(5,43)</v>
      </c>
      <c r="C474" s="4">
        <v>0.55216435185185198</v>
      </c>
      <c r="D474" s="4">
        <v>0.55233796296296311</v>
      </c>
      <c r="E474" s="2">
        <v>11.629999999999999</v>
      </c>
      <c r="F474" s="2">
        <v>11.719999999999999</v>
      </c>
      <c r="G474" s="1" t="s">
        <v>26</v>
      </c>
      <c r="H474" s="4">
        <f t="shared" si="34"/>
        <v>1.7361111111113825E-4</v>
      </c>
      <c r="I474">
        <f t="shared" si="36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20"/>
        <v>466</v>
      </c>
      <c r="B475" s="1" t="str">
        <f>"(6,"&amp;I475&amp;")"</f>
        <v>(6,43)</v>
      </c>
      <c r="C475" s="4">
        <v>0.55258101851851871</v>
      </c>
      <c r="D475" s="4">
        <v>0.5527430555555557</v>
      </c>
      <c r="E475" s="2">
        <v>11.629999999999999</v>
      </c>
      <c r="F475" s="2">
        <v>11.709999999999999</v>
      </c>
      <c r="G475" s="1" t="s">
        <v>26</v>
      </c>
      <c r="H475" s="4">
        <f t="shared" si="34"/>
        <v>1.6203703703698835E-4</v>
      </c>
      <c r="I475">
        <f t="shared" si="36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20"/>
        <v>467</v>
      </c>
      <c r="B476" s="1" t="str">
        <f>"(7,"&amp;I476&amp;")"</f>
        <v>(7,43)</v>
      </c>
      <c r="C476" s="4">
        <v>0.55299768518518533</v>
      </c>
      <c r="D476" s="4">
        <v>0.55314814814814828</v>
      </c>
      <c r="E476" s="2">
        <v>11.629999999999999</v>
      </c>
      <c r="F476" s="2">
        <v>11.749999999999998</v>
      </c>
      <c r="G476" s="1" t="s">
        <v>26</v>
      </c>
      <c r="H476" s="4">
        <f t="shared" si="34"/>
        <v>1.5046296296294948E-4</v>
      </c>
      <c r="I476">
        <f t="shared" si="36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20"/>
        <v>468</v>
      </c>
      <c r="B477" s="1" t="str">
        <f>"(8,"&amp;I477&amp;")"</f>
        <v>(8,43)</v>
      </c>
      <c r="C477" s="4">
        <v>0.55339120370370387</v>
      </c>
      <c r="D477" s="4">
        <v>0.55354166666666682</v>
      </c>
      <c r="E477" s="2">
        <v>11.629999999999999</v>
      </c>
      <c r="F477" s="2">
        <v>11.639999999999999</v>
      </c>
      <c r="G477" s="1" t="s">
        <v>26</v>
      </c>
      <c r="H477" s="4">
        <f t="shared" si="34"/>
        <v>1.5046296296294948E-4</v>
      </c>
      <c r="I477">
        <f t="shared" si="36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20"/>
        <v>469</v>
      </c>
      <c r="B478" s="1" t="str">
        <f>"(9,"&amp;I478&amp;")"</f>
        <v>(9,43)</v>
      </c>
      <c r="C478" s="4">
        <v>0.55378472222222241</v>
      </c>
      <c r="D478" s="4">
        <v>0.55395833333333355</v>
      </c>
      <c r="E478" s="2">
        <v>11.629999999999999</v>
      </c>
      <c r="F478" s="2">
        <v>11.77</v>
      </c>
      <c r="G478" s="1" t="s">
        <v>26</v>
      </c>
      <c r="H478" s="4">
        <f t="shared" si="34"/>
        <v>1.7361111111113825E-4</v>
      </c>
      <c r="I478">
        <f t="shared" si="36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20"/>
        <v>470</v>
      </c>
      <c r="B479" s="1" t="str">
        <f>"(10,"&amp;I479&amp;")"</f>
        <v>(10,43)</v>
      </c>
      <c r="C479" s="4">
        <v>0.55421296296296318</v>
      </c>
      <c r="D479" s="4">
        <v>0.55438657407407432</v>
      </c>
      <c r="E479" s="2">
        <v>11.629999999999999</v>
      </c>
      <c r="F479" s="2">
        <v>11.729999999999999</v>
      </c>
      <c r="G479" s="1" t="s">
        <v>26</v>
      </c>
      <c r="H479" s="4">
        <f t="shared" si="34"/>
        <v>1.7361111111113825E-4</v>
      </c>
      <c r="I479">
        <f t="shared" si="36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20"/>
        <v>471</v>
      </c>
      <c r="B480" s="1" t="str">
        <f>"(11,"&amp;I480&amp;")"</f>
        <v>(11,43)</v>
      </c>
      <c r="C480" s="4">
        <v>0.55461805555555577</v>
      </c>
      <c r="D480" s="4">
        <v>0.55476851851851872</v>
      </c>
      <c r="E480" s="2">
        <v>11.629999999999999</v>
      </c>
      <c r="F480" s="2">
        <v>11.639999999999999</v>
      </c>
      <c r="G480" s="1" t="s">
        <v>26</v>
      </c>
      <c r="H480" s="4">
        <f t="shared" si="34"/>
        <v>1.5046296296294948E-4</v>
      </c>
      <c r="I480">
        <f t="shared" si="36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20"/>
        <v>472</v>
      </c>
      <c r="B481" s="1" t="str">
        <f>"(11,"&amp;I481&amp;")"</f>
        <v>(11,44)</v>
      </c>
      <c r="C481" s="4">
        <v>0.55502314814814835</v>
      </c>
      <c r="D481" s="4">
        <v>0.5551736111111113</v>
      </c>
      <c r="E481" s="2">
        <v>11.629999999999999</v>
      </c>
      <c r="F481" s="2">
        <v>11.78</v>
      </c>
      <c r="G481" s="1" t="s">
        <v>26</v>
      </c>
      <c r="H481" s="4">
        <f t="shared" si="34"/>
        <v>1.5046296296294948E-4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20"/>
        <v>473</v>
      </c>
      <c r="B482" s="1" t="str">
        <f>"(10,"&amp;I482&amp;")"</f>
        <v>(10,44)</v>
      </c>
      <c r="C482" s="4">
        <v>0.55543981481481497</v>
      </c>
      <c r="D482" s="4">
        <v>0.55559027777777792</v>
      </c>
      <c r="E482" s="2">
        <v>11.629999999999999</v>
      </c>
      <c r="F482" s="2">
        <v>11.77</v>
      </c>
      <c r="G482" s="1" t="s">
        <v>26</v>
      </c>
      <c r="H482" s="4">
        <f t="shared" si="34"/>
        <v>1.5046296296294948E-4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20"/>
        <v>474</v>
      </c>
      <c r="B483" s="1" t="str">
        <f>"(9,"&amp;I483&amp;")"</f>
        <v>(9,44)</v>
      </c>
      <c r="C483" s="4">
        <v>0.55587962962962978</v>
      </c>
      <c r="D483" s="4">
        <v>0.55603009259259273</v>
      </c>
      <c r="E483" s="2">
        <v>11.629999999999999</v>
      </c>
      <c r="F483" s="2">
        <v>11.76</v>
      </c>
      <c r="G483" s="1" t="s">
        <v>26</v>
      </c>
      <c r="H483" s="4">
        <f t="shared" si="34"/>
        <v>1.5046296296294948E-4</v>
      </c>
      <c r="I483">
        <f t="shared" ref="I483:I491" si="37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20"/>
        <v>475</v>
      </c>
      <c r="B484" s="1" t="str">
        <f>"(8,"&amp;I484&amp;")"</f>
        <v>(8,44)</v>
      </c>
      <c r="C484" s="4">
        <v>0.55627314814814832</v>
      </c>
      <c r="D484" s="4">
        <v>0.55642361111111127</v>
      </c>
      <c r="E484" s="2">
        <v>11.629999999999999</v>
      </c>
      <c r="F484" s="2">
        <v>11.76</v>
      </c>
      <c r="G484" s="1" t="s">
        <v>26</v>
      </c>
      <c r="H484" s="4">
        <f t="shared" si="34"/>
        <v>1.5046296296294948E-4</v>
      </c>
      <c r="I484">
        <f t="shared" si="37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20"/>
        <v>476</v>
      </c>
      <c r="B485" s="1" t="str">
        <f>"(7,"&amp;I485&amp;")"</f>
        <v>(7,44)</v>
      </c>
      <c r="C485" s="4">
        <v>0.55665509259259272</v>
      </c>
      <c r="D485" s="4">
        <v>0.55682870370370385</v>
      </c>
      <c r="E485" s="2">
        <v>11.629999999999999</v>
      </c>
      <c r="F485" s="2">
        <v>11.7</v>
      </c>
      <c r="G485" s="1" t="s">
        <v>26</v>
      </c>
      <c r="H485" s="4">
        <f t="shared" si="34"/>
        <v>1.7361111111113825E-4</v>
      </c>
      <c r="I485">
        <f t="shared" si="37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20"/>
        <v>477</v>
      </c>
      <c r="B486" s="1" t="str">
        <f>"(6,"&amp;I486&amp;")"</f>
        <v>(6,44)</v>
      </c>
      <c r="C486" s="4">
        <v>0.55709490740740752</v>
      </c>
      <c r="D486" s="4">
        <v>0.55723379629629644</v>
      </c>
      <c r="E486" s="2">
        <v>11.629999999999999</v>
      </c>
      <c r="F486" s="2">
        <v>11.69</v>
      </c>
      <c r="G486" s="1" t="s">
        <v>26</v>
      </c>
      <c r="H486" s="4">
        <f t="shared" si="34"/>
        <v>1.388888888889106E-4</v>
      </c>
      <c r="I486">
        <f t="shared" si="37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20"/>
        <v>478</v>
      </c>
      <c r="B487" s="1" t="str">
        <f>"(5,"&amp;I487&amp;")"</f>
        <v>(5,44)</v>
      </c>
      <c r="C487" s="4">
        <v>0.55751157407407426</v>
      </c>
      <c r="D487" s="4">
        <v>0.55768518518518539</v>
      </c>
      <c r="E487" s="2">
        <v>11.629999999999999</v>
      </c>
      <c r="F487" s="2">
        <v>11.729999999999999</v>
      </c>
      <c r="G487" s="1" t="s">
        <v>26</v>
      </c>
      <c r="H487" s="4">
        <f t="shared" si="34"/>
        <v>1.7361111111113825E-4</v>
      </c>
      <c r="I487">
        <f t="shared" si="37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20"/>
        <v>479</v>
      </c>
      <c r="B488" s="1" t="str">
        <f>"(4,"&amp;I488&amp;")"</f>
        <v>(4,44)</v>
      </c>
      <c r="C488" s="4">
        <v>0.55797453703703725</v>
      </c>
      <c r="D488" s="4">
        <v>0.5581250000000002</v>
      </c>
      <c r="E488" s="2">
        <v>11.629999999999999</v>
      </c>
      <c r="F488" s="2">
        <v>11.739999999999998</v>
      </c>
      <c r="G488" s="1" t="s">
        <v>26</v>
      </c>
      <c r="H488" s="4">
        <f t="shared" si="34"/>
        <v>1.5046296296294948E-4</v>
      </c>
      <c r="I488">
        <f t="shared" si="37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20"/>
        <v>480</v>
      </c>
      <c r="B489" s="1" t="str">
        <f>"(3,"&amp;I489&amp;")"</f>
        <v>(3,44)</v>
      </c>
      <c r="C489" s="4">
        <v>0.55839120370370388</v>
      </c>
      <c r="D489" s="4">
        <v>0.55855324074074086</v>
      </c>
      <c r="E489" s="2">
        <v>11.629999999999999</v>
      </c>
      <c r="F489" s="2">
        <v>11.69</v>
      </c>
      <c r="G489" s="1" t="s">
        <v>26</v>
      </c>
      <c r="H489" s="4">
        <f t="shared" si="34"/>
        <v>1.6203703703698835E-4</v>
      </c>
      <c r="I489">
        <f t="shared" si="37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20"/>
        <v>481</v>
      </c>
      <c r="B490" s="1" t="str">
        <f>"(2,"&amp;I490&amp;")"</f>
        <v>(2,44)</v>
      </c>
      <c r="C490" s="4">
        <v>0.55884259259259272</v>
      </c>
      <c r="D490" s="4">
        <v>0.55898148148148163</v>
      </c>
      <c r="E490" s="2">
        <v>11.629999999999999</v>
      </c>
      <c r="F490" s="2">
        <v>11.639999999999999</v>
      </c>
      <c r="G490" s="1" t="s">
        <v>26</v>
      </c>
      <c r="H490" s="4">
        <f t="shared" si="34"/>
        <v>1.388888888889106E-4</v>
      </c>
      <c r="I490">
        <f t="shared" si="37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20"/>
        <v>482</v>
      </c>
      <c r="B491" s="1" t="str">
        <f>"(1,"&amp;I491&amp;")"</f>
        <v>(1,44)</v>
      </c>
      <c r="C491" s="4">
        <v>0.55921296296296308</v>
      </c>
      <c r="D491" s="4">
        <v>0.55935185185185199</v>
      </c>
      <c r="E491" s="2">
        <v>11.629999999999999</v>
      </c>
      <c r="F491" s="2">
        <v>11.649999999999999</v>
      </c>
      <c r="G491" s="1" t="s">
        <v>26</v>
      </c>
      <c r="H491" s="4">
        <f t="shared" si="34"/>
        <v>1.388888888889106E-4</v>
      </c>
      <c r="I491">
        <f t="shared" si="37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20"/>
        <v>483</v>
      </c>
      <c r="B492" s="1" t="str">
        <f>"(1,"&amp;I492&amp;")"</f>
        <v>(1,45)</v>
      </c>
      <c r="C492" s="4">
        <v>0.55960648148148162</v>
      </c>
      <c r="D492" s="4">
        <v>0.55974537037037053</v>
      </c>
      <c r="E492" s="2">
        <v>11.629999999999999</v>
      </c>
      <c r="F492" s="2">
        <v>11.7</v>
      </c>
      <c r="G492" s="1" t="s">
        <v>26</v>
      </c>
      <c r="H492" s="4">
        <f t="shared" si="34"/>
        <v>1.388888888889106E-4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20"/>
        <v>484</v>
      </c>
      <c r="B493" s="1" t="str">
        <f>"(2,"&amp;I493&amp;")"</f>
        <v>(2,45)</v>
      </c>
      <c r="C493" s="4">
        <v>0.56003472222222239</v>
      </c>
      <c r="D493" s="4">
        <v>0.56018518518518534</v>
      </c>
      <c r="E493" s="2">
        <v>11.629999999999999</v>
      </c>
      <c r="F493" s="2">
        <v>11.709999999999999</v>
      </c>
      <c r="G493" s="1" t="s">
        <v>26</v>
      </c>
      <c r="H493" s="4">
        <f t="shared" si="34"/>
        <v>1.5046296296294948E-4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20"/>
        <v>485</v>
      </c>
      <c r="B494" s="1" t="str">
        <f>"(3,"&amp;I494&amp;")"</f>
        <v>(3,45)</v>
      </c>
      <c r="C494" s="4">
        <v>0.56042824074074093</v>
      </c>
      <c r="D494" s="4">
        <v>0.56060185185185207</v>
      </c>
      <c r="E494" s="2">
        <v>11.629999999999999</v>
      </c>
      <c r="F494" s="2">
        <v>11.659999999999998</v>
      </c>
      <c r="G494" s="1" t="s">
        <v>26</v>
      </c>
      <c r="H494" s="4">
        <f t="shared" si="34"/>
        <v>1.7361111111113825E-4</v>
      </c>
      <c r="I494">
        <f t="shared" ref="I494:I502" si="38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20"/>
        <v>486</v>
      </c>
      <c r="B495" s="1" t="str">
        <f>"(4,"&amp;I495&amp;")"</f>
        <v>(4,45)</v>
      </c>
      <c r="C495" s="4">
        <v>0.56089120370370393</v>
      </c>
      <c r="D495" s="4">
        <v>0.56106481481481507</v>
      </c>
      <c r="E495" s="2">
        <v>11.629999999999999</v>
      </c>
      <c r="F495" s="2">
        <v>11.68</v>
      </c>
      <c r="G495" s="1" t="s">
        <v>26</v>
      </c>
      <c r="H495" s="4">
        <f t="shared" si="34"/>
        <v>1.7361111111113825E-4</v>
      </c>
      <c r="I495">
        <f t="shared" si="38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20"/>
        <v>487</v>
      </c>
      <c r="B496" s="1" t="str">
        <f>"(5,"&amp;I496&amp;")"</f>
        <v>(5,45)</v>
      </c>
      <c r="C496" s="4">
        <v>0.56133101851851874</v>
      </c>
      <c r="D496" s="4">
        <v>0.56148148148148169</v>
      </c>
      <c r="E496" s="2">
        <v>11.629999999999999</v>
      </c>
      <c r="F496" s="2">
        <v>11.68</v>
      </c>
      <c r="G496" s="1" t="s">
        <v>26</v>
      </c>
      <c r="H496" s="4">
        <f t="shared" si="34"/>
        <v>1.5046296296294948E-4</v>
      </c>
      <c r="I496">
        <f t="shared" si="38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20"/>
        <v>488</v>
      </c>
      <c r="B497" s="1" t="str">
        <f>"(6,"&amp;I497&amp;")"</f>
        <v>(6,45)</v>
      </c>
      <c r="C497" s="4">
        <v>0.56174768518518536</v>
      </c>
      <c r="D497" s="4">
        <v>0.56189814814814831</v>
      </c>
      <c r="E497" s="2">
        <v>11.629999999999999</v>
      </c>
      <c r="F497" s="2">
        <v>11.659999999999998</v>
      </c>
      <c r="G497" s="1" t="s">
        <v>26</v>
      </c>
      <c r="H497" s="4">
        <f t="shared" si="34"/>
        <v>1.5046296296294948E-4</v>
      </c>
      <c r="I497">
        <f t="shared" si="38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20"/>
        <v>489</v>
      </c>
      <c r="B498" s="1" t="str">
        <f>"(7,"&amp;I498&amp;")"</f>
        <v>(7,45)</v>
      </c>
      <c r="C498" s="4">
        <v>0.56214120370370391</v>
      </c>
      <c r="D498" s="4">
        <v>0.56231481481481504</v>
      </c>
      <c r="E498" s="2">
        <v>11.629999999999999</v>
      </c>
      <c r="F498" s="2">
        <v>11.709999999999999</v>
      </c>
      <c r="G498" s="1" t="s">
        <v>26</v>
      </c>
      <c r="H498" s="4">
        <f t="shared" si="34"/>
        <v>1.7361111111113825E-4</v>
      </c>
      <c r="I498">
        <f t="shared" si="38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20"/>
        <v>490</v>
      </c>
      <c r="B499" s="1" t="str">
        <f>"(8,"&amp;I499&amp;")"</f>
        <v>(8,45)</v>
      </c>
      <c r="C499" s="4">
        <v>0.56259259259259287</v>
      </c>
      <c r="D499" s="4">
        <v>0.56275462962962985</v>
      </c>
      <c r="E499" s="2">
        <v>11.629999999999999</v>
      </c>
      <c r="F499" s="2">
        <v>11.7</v>
      </c>
      <c r="G499" s="1" t="s">
        <v>26</v>
      </c>
      <c r="H499" s="4">
        <f t="shared" si="34"/>
        <v>1.6203703703698835E-4</v>
      </c>
      <c r="I499">
        <f t="shared" si="38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20"/>
        <v>491</v>
      </c>
      <c r="B500" s="1" t="str">
        <f>"(9,"&amp;I500&amp;")"</f>
        <v>(9,45)</v>
      </c>
      <c r="C500" s="4">
        <v>0.56299768518518545</v>
      </c>
      <c r="D500" s="4">
        <v>0.56313657407407436</v>
      </c>
      <c r="E500" s="2">
        <v>11.629999999999999</v>
      </c>
      <c r="F500" s="2">
        <v>11.749999999999998</v>
      </c>
      <c r="G500" s="1" t="s">
        <v>26</v>
      </c>
      <c r="H500" s="4">
        <f t="shared" si="34"/>
        <v>1.388888888889106E-4</v>
      </c>
      <c r="I500">
        <f t="shared" si="38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20"/>
        <v>492</v>
      </c>
      <c r="B501" s="1" t="str">
        <f>"(10,"&amp;I501&amp;")"</f>
        <v>(10,45)</v>
      </c>
      <c r="C501" s="4">
        <v>0.5633680555555558</v>
      </c>
      <c r="D501" s="4">
        <v>0.56350694444444471</v>
      </c>
      <c r="E501" s="2">
        <v>11.629999999999999</v>
      </c>
      <c r="F501" s="2">
        <v>11.739999999999998</v>
      </c>
      <c r="G501" s="1" t="s">
        <v>26</v>
      </c>
      <c r="H501" s="4">
        <f t="shared" si="34"/>
        <v>1.388888888889106E-4</v>
      </c>
      <c r="I501">
        <f t="shared" si="38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20"/>
        <v>493</v>
      </c>
      <c r="B502" s="1" t="str">
        <f>"(11,"&amp;I502&amp;")"</f>
        <v>(11,45)</v>
      </c>
      <c r="C502" s="4">
        <v>0.56373842592592616</v>
      </c>
      <c r="D502" s="4">
        <v>0.56390046296296314</v>
      </c>
      <c r="E502" s="2">
        <v>11.629999999999999</v>
      </c>
      <c r="F502" s="2">
        <v>11.68</v>
      </c>
      <c r="G502" s="1" t="s">
        <v>26</v>
      </c>
      <c r="H502" s="4">
        <f t="shared" si="34"/>
        <v>1.6203703703698835E-4</v>
      </c>
      <c r="I502">
        <f t="shared" si="38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20"/>
        <v>494</v>
      </c>
      <c r="B503" s="1" t="str">
        <f>"(11,"&amp;I503&amp;")"</f>
        <v>(11,46)</v>
      </c>
      <c r="C503" s="4">
        <v>0.564189814814815</v>
      </c>
      <c r="D503" s="4">
        <v>0.56436342592592614</v>
      </c>
      <c r="E503" s="2">
        <v>11.629999999999999</v>
      </c>
      <c r="F503" s="2">
        <v>11.749999999999998</v>
      </c>
      <c r="G503" s="1" t="s">
        <v>26</v>
      </c>
      <c r="H503" s="4">
        <f t="shared" si="34"/>
        <v>1.7361111111113825E-4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20"/>
        <v>495</v>
      </c>
      <c r="B504" s="1" t="str">
        <f>"(10,"&amp;I504&amp;")"</f>
        <v>(10,46)</v>
      </c>
      <c r="C504" s="4">
        <v>0.56461805555555578</v>
      </c>
      <c r="D504" s="4">
        <v>0.56475694444444469</v>
      </c>
      <c r="E504" s="2">
        <v>11.629999999999999</v>
      </c>
      <c r="F504" s="2">
        <v>11.639999999999999</v>
      </c>
      <c r="G504" s="1" t="s">
        <v>26</v>
      </c>
      <c r="H504" s="4">
        <f t="shared" si="34"/>
        <v>1.388888888889106E-4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20"/>
        <v>496</v>
      </c>
      <c r="B505" s="1" t="str">
        <f>"(9,"&amp;I505&amp;")"</f>
        <v>(9,46)</v>
      </c>
      <c r="C505" s="4">
        <v>0.56498842592592613</v>
      </c>
      <c r="D505" s="4">
        <v>0.56516203703703727</v>
      </c>
      <c r="E505" s="2">
        <v>11.629999999999999</v>
      </c>
      <c r="F505" s="2">
        <v>11.77</v>
      </c>
      <c r="G505" s="1" t="s">
        <v>26</v>
      </c>
      <c r="H505" s="4">
        <f t="shared" si="34"/>
        <v>1.7361111111113825E-4</v>
      </c>
      <c r="I505">
        <f t="shared" ref="I505:I513" si="39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20"/>
        <v>497</v>
      </c>
      <c r="B506" s="1" t="str">
        <f>"(8,"&amp;I506&amp;")"</f>
        <v>(8,46)</v>
      </c>
      <c r="C506" s="4">
        <v>0.56542824074074094</v>
      </c>
      <c r="D506" s="4">
        <v>0.56559027777777793</v>
      </c>
      <c r="E506" s="2">
        <v>11.629999999999999</v>
      </c>
      <c r="F506" s="2">
        <v>11.69</v>
      </c>
      <c r="G506" s="1" t="s">
        <v>26</v>
      </c>
      <c r="H506" s="4">
        <f t="shared" si="34"/>
        <v>1.6203703703698835E-4</v>
      </c>
      <c r="I506">
        <f t="shared" si="39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20"/>
        <v>498</v>
      </c>
      <c r="B507" s="1" t="str">
        <f>"(7,"&amp;I507&amp;")"</f>
        <v>(7,46)</v>
      </c>
      <c r="C507" s="4">
        <v>0.56583333333333352</v>
      </c>
      <c r="D507" s="4">
        <v>0.56597222222222243</v>
      </c>
      <c r="E507" s="2">
        <v>11.629999999999999</v>
      </c>
      <c r="F507" s="2">
        <v>11.77</v>
      </c>
      <c r="G507" s="1" t="s">
        <v>26</v>
      </c>
      <c r="H507" s="4">
        <f t="shared" si="34"/>
        <v>1.388888888889106E-4</v>
      </c>
      <c r="I507">
        <f t="shared" si="39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20"/>
        <v>499</v>
      </c>
      <c r="B508" s="1" t="str">
        <f>"(6,"&amp;I508&amp;")"</f>
        <v>(6,46)</v>
      </c>
      <c r="C508" s="4">
        <v>0.56620370370370388</v>
      </c>
      <c r="D508" s="4">
        <v>0.56634259259259279</v>
      </c>
      <c r="E508" s="2">
        <v>11.629999999999999</v>
      </c>
      <c r="F508" s="2">
        <v>11.709999999999999</v>
      </c>
      <c r="G508" s="1" t="s">
        <v>26</v>
      </c>
      <c r="H508" s="4">
        <f t="shared" si="34"/>
        <v>1.388888888889106E-4</v>
      </c>
      <c r="I508">
        <f t="shared" si="39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20"/>
        <v>500</v>
      </c>
      <c r="B509" s="1" t="str">
        <f>"(5,"&amp;I509&amp;")"</f>
        <v>(5,46)</v>
      </c>
      <c r="C509" s="4">
        <v>0.56657407407407423</v>
      </c>
      <c r="D509" s="4">
        <v>0.56672453703703718</v>
      </c>
      <c r="E509" s="2">
        <v>11.629999999999999</v>
      </c>
      <c r="F509" s="2">
        <v>11.669999999999998</v>
      </c>
      <c r="G509" s="1" t="s">
        <v>26</v>
      </c>
      <c r="H509" s="4">
        <f t="shared" si="34"/>
        <v>1.5046296296294948E-4</v>
      </c>
      <c r="I509">
        <f t="shared" si="39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ref="A510:A709" si="40">A509+1</f>
        <v>501</v>
      </c>
      <c r="B510" s="1" t="str">
        <f>"(4,"&amp;I510&amp;")"</f>
        <v>(4,46)</v>
      </c>
      <c r="C510" s="4">
        <v>0.56699074074074085</v>
      </c>
      <c r="D510" s="4">
        <v>0.56715277777777784</v>
      </c>
      <c r="E510" s="2">
        <v>11.629999999999999</v>
      </c>
      <c r="F510" s="2">
        <v>11.739999999999998</v>
      </c>
      <c r="G510" s="1" t="s">
        <v>26</v>
      </c>
      <c r="H510" s="4">
        <f t="shared" si="34"/>
        <v>1.6203703703698835E-4</v>
      </c>
      <c r="I510">
        <f t="shared" si="39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40"/>
        <v>502</v>
      </c>
      <c r="B511" s="1" t="str">
        <f>"(3,"&amp;I511&amp;")"</f>
        <v>(3,46)</v>
      </c>
      <c r="C511" s="4">
        <v>0.5674421296296297</v>
      </c>
      <c r="D511" s="4">
        <v>0.56759259259259265</v>
      </c>
      <c r="E511" s="2">
        <v>11.629999999999999</v>
      </c>
      <c r="F511" s="2">
        <v>11.649999999999999</v>
      </c>
      <c r="G511" s="1" t="s">
        <v>26</v>
      </c>
      <c r="H511" s="4">
        <f t="shared" si="34"/>
        <v>1.5046296296294948E-4</v>
      </c>
      <c r="I511">
        <f t="shared" si="39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40"/>
        <v>503</v>
      </c>
      <c r="B512" s="1" t="str">
        <f>"(2,"&amp;I512&amp;")"</f>
        <v>(2,46)</v>
      </c>
      <c r="C512" s="4">
        <v>0.56788194444444451</v>
      </c>
      <c r="D512" s="4">
        <v>0.5680439814814815</v>
      </c>
      <c r="E512" s="2">
        <v>11.629999999999999</v>
      </c>
      <c r="F512" s="2">
        <v>11.649999999999999</v>
      </c>
      <c r="G512" s="1" t="s">
        <v>26</v>
      </c>
      <c r="H512" s="4">
        <f t="shared" si="34"/>
        <v>1.6203703703698835E-4</v>
      </c>
      <c r="I512">
        <f t="shared" si="39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40"/>
        <v>504</v>
      </c>
      <c r="B513" s="1" t="str">
        <f>"(1,"&amp;I513&amp;")"</f>
        <v>(1,46)</v>
      </c>
      <c r="C513" s="4">
        <v>0.56831018518518517</v>
      </c>
      <c r="D513" s="4">
        <v>0.56846064814814812</v>
      </c>
      <c r="E513" s="2">
        <v>11.629999999999999</v>
      </c>
      <c r="F513" s="2">
        <v>11.709999999999999</v>
      </c>
      <c r="G513" s="1" t="s">
        <v>26</v>
      </c>
      <c r="H513" s="4">
        <f t="shared" si="34"/>
        <v>1.5046296296294948E-4</v>
      </c>
      <c r="I513">
        <f t="shared" si="39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40"/>
        <v>505</v>
      </c>
      <c r="B514" s="1" t="str">
        <f>"(1,"&amp;I514&amp;")"</f>
        <v>(1,47)</v>
      </c>
      <c r="C514" s="4">
        <v>0.56872685185185179</v>
      </c>
      <c r="D514" s="4">
        <v>0.56887731481481474</v>
      </c>
      <c r="E514" s="2">
        <v>11.629999999999999</v>
      </c>
      <c r="F514" s="2">
        <v>11.639999999999999</v>
      </c>
      <c r="G514" s="1" t="s">
        <v>26</v>
      </c>
      <c r="H514" s="4">
        <f t="shared" si="34"/>
        <v>1.5046296296294948E-4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40"/>
        <v>506</v>
      </c>
      <c r="B515" s="1" t="str">
        <f>"(2,"&amp;I515&amp;")"</f>
        <v>(2,47)</v>
      </c>
      <c r="C515" s="4">
        <v>0.56915509259259256</v>
      </c>
      <c r="D515" s="4">
        <v>0.5693287037037037</v>
      </c>
      <c r="E515" s="2">
        <v>11.629999999999999</v>
      </c>
      <c r="F515" s="2">
        <v>11.639999999999999</v>
      </c>
      <c r="G515" s="1" t="s">
        <v>26</v>
      </c>
      <c r="H515" s="4">
        <f t="shared" si="34"/>
        <v>1.7361111111113825E-4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40"/>
        <v>507</v>
      </c>
      <c r="B516" s="1" t="str">
        <f>"(3,"&amp;I516&amp;")"</f>
        <v>(3,47)</v>
      </c>
      <c r="C516" s="4">
        <v>0.56961805555555556</v>
      </c>
      <c r="D516" s="4">
        <v>0.56976851851851851</v>
      </c>
      <c r="E516" s="2">
        <v>11.629999999999999</v>
      </c>
      <c r="F516" s="2">
        <v>11.709999999999999</v>
      </c>
      <c r="G516" s="1" t="s">
        <v>26</v>
      </c>
      <c r="H516" s="4">
        <f t="shared" si="34"/>
        <v>1.5046296296294948E-4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40"/>
        <v>508</v>
      </c>
      <c r="B517" s="1" t="str">
        <f>"(4,"&amp;I517&amp;")"</f>
        <v>(4,47)</v>
      </c>
      <c r="C517" s="4">
        <v>0.5700115740740741</v>
      </c>
      <c r="D517" s="4">
        <v>0.57016203703703705</v>
      </c>
      <c r="E517" s="2">
        <v>11.629999999999999</v>
      </c>
      <c r="F517" s="2">
        <v>11.78</v>
      </c>
      <c r="G517" s="1" t="s">
        <v>26</v>
      </c>
      <c r="H517" s="4">
        <f t="shared" si="34"/>
        <v>1.5046296296294948E-4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40"/>
        <v>509</v>
      </c>
      <c r="B518" s="1" t="str">
        <f>"(5,"&amp;I518&amp;")"</f>
        <v>(5,47)</v>
      </c>
      <c r="C518" s="4">
        <v>0.57039351851851849</v>
      </c>
      <c r="D518" s="4">
        <v>0.57054398148148144</v>
      </c>
      <c r="E518" s="2">
        <v>11.629999999999999</v>
      </c>
      <c r="F518" s="2">
        <v>11.709999999999999</v>
      </c>
      <c r="G518" s="1" t="s">
        <v>26</v>
      </c>
      <c r="H518" s="4">
        <f t="shared" si="34"/>
        <v>1.5046296296294948E-4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40"/>
        <v>510</v>
      </c>
      <c r="B519" s="1" t="str">
        <f>"(6,"&amp;I519&amp;")"</f>
        <v>(6,47)</v>
      </c>
      <c r="C519" s="4">
        <v>0.57082175925925926</v>
      </c>
      <c r="D519" s="4">
        <v>0.57096064814814818</v>
      </c>
      <c r="E519" s="2">
        <v>11.629999999999999</v>
      </c>
      <c r="F519" s="2">
        <v>11.68</v>
      </c>
      <c r="G519" s="1" t="s">
        <v>26</v>
      </c>
      <c r="H519" s="4">
        <f t="shared" si="34"/>
        <v>1.388888888889106E-4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40"/>
        <v>511</v>
      </c>
      <c r="B520" s="1" t="str">
        <f>"(7,"&amp;I520&amp;")"</f>
        <v>(7,47)</v>
      </c>
      <c r="C520" s="4">
        <v>0.57119212962962962</v>
      </c>
      <c r="D520" s="4">
        <v>0.57134259259259257</v>
      </c>
      <c r="E520" s="2">
        <v>11.629999999999999</v>
      </c>
      <c r="F520" s="2">
        <v>11.749999999999998</v>
      </c>
      <c r="G520" s="1" t="s">
        <v>26</v>
      </c>
      <c r="H520" s="4">
        <f t="shared" si="34"/>
        <v>1.5046296296294948E-4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40"/>
        <v>512</v>
      </c>
      <c r="B521" s="1" t="str">
        <f>"(8,"&amp;I521&amp;")"</f>
        <v>(8,47)</v>
      </c>
      <c r="C521" s="4">
        <v>0.57158564814814816</v>
      </c>
      <c r="D521" s="4">
        <v>0.57174768518518515</v>
      </c>
      <c r="E521" s="2">
        <v>11.629999999999999</v>
      </c>
      <c r="F521" s="2">
        <v>11.639999999999999</v>
      </c>
      <c r="G521" s="1" t="s">
        <v>26</v>
      </c>
      <c r="H521" s="4">
        <f t="shared" si="34"/>
        <v>1.6203703703698835E-4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40"/>
        <v>513</v>
      </c>
      <c r="B522" s="1" t="str">
        <f>"(9,"&amp;I522&amp;")"</f>
        <v>(9,47)</v>
      </c>
      <c r="C522" s="4">
        <v>0.57197916666666659</v>
      </c>
      <c r="D522" s="4">
        <v>0.57215277777777773</v>
      </c>
      <c r="E522" s="2">
        <v>11.629999999999999</v>
      </c>
      <c r="F522" s="2">
        <v>11.76</v>
      </c>
      <c r="G522" s="1" t="s">
        <v>26</v>
      </c>
      <c r="H522" s="4">
        <f t="shared" si="34"/>
        <v>1.7361111111113825E-4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40"/>
        <v>514</v>
      </c>
      <c r="B523" s="1" t="str">
        <f>"(10,"&amp;I523&amp;")"</f>
        <v>(10,47)</v>
      </c>
      <c r="C523" s="4">
        <v>0.57239583333333333</v>
      </c>
      <c r="D523" s="4">
        <v>0.57255787037037031</v>
      </c>
      <c r="E523" s="2">
        <v>11.629999999999999</v>
      </c>
      <c r="F523" s="2">
        <v>11.68</v>
      </c>
      <c r="G523" s="1" t="s">
        <v>26</v>
      </c>
      <c r="H523" s="4">
        <f t="shared" si="34"/>
        <v>1.6203703703698835E-4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si="40"/>
        <v>515</v>
      </c>
      <c r="B524" s="1" t="str">
        <f>"(11,"&amp;I524&amp;")"</f>
        <v>(11,47)</v>
      </c>
      <c r="C524" s="4">
        <v>0.57282407407407399</v>
      </c>
      <c r="D524" s="4">
        <v>0.57297453703703694</v>
      </c>
      <c r="E524" s="2">
        <v>11.629999999999999</v>
      </c>
      <c r="F524" s="2">
        <v>11.77</v>
      </c>
      <c r="G524" s="1" t="s">
        <v>26</v>
      </c>
      <c r="H524" s="4">
        <f t="shared" ref="H524:H587" si="42">D524-C524</f>
        <v>1.5046296296294948E-4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0"/>
        <v>516</v>
      </c>
      <c r="B525" s="1" t="str">
        <f>"(11,"&amp;I525&amp;")"</f>
        <v>(11,48)</v>
      </c>
      <c r="C525" s="4">
        <v>0.5732638888888888</v>
      </c>
      <c r="D525" s="4">
        <v>0.57341435185185174</v>
      </c>
      <c r="E525" s="2">
        <v>11.629999999999999</v>
      </c>
      <c r="F525" s="2">
        <v>11.68</v>
      </c>
      <c r="G525" s="1" t="s">
        <v>26</v>
      </c>
      <c r="H525" s="4">
        <f t="shared" si="42"/>
        <v>1.5046296296294948E-4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0"/>
        <v>517</v>
      </c>
      <c r="B526" s="1" t="str">
        <f>"(10,"&amp;I526&amp;")"</f>
        <v>(10,48)</v>
      </c>
      <c r="C526" s="4">
        <v>0.57369212962962957</v>
      </c>
      <c r="D526" s="4">
        <v>0.57383101851851848</v>
      </c>
      <c r="E526" s="2">
        <v>11.629999999999999</v>
      </c>
      <c r="F526" s="2">
        <v>11.78</v>
      </c>
      <c r="G526" s="1" t="s">
        <v>26</v>
      </c>
      <c r="H526" s="4">
        <f t="shared" si="42"/>
        <v>1.388888888889106E-4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0"/>
        <v>518</v>
      </c>
      <c r="B527" s="1" t="str">
        <f>"(9,"&amp;I527&amp;")"</f>
        <v>(9,48)</v>
      </c>
      <c r="C527" s="4">
        <v>0.57412037037037034</v>
      </c>
      <c r="D527" s="4">
        <v>0.57427083333333329</v>
      </c>
      <c r="E527" s="2">
        <v>11.629999999999999</v>
      </c>
      <c r="F527" s="2">
        <v>11.7</v>
      </c>
      <c r="G527" s="1" t="s">
        <v>26</v>
      </c>
      <c r="H527" s="4">
        <f t="shared" si="42"/>
        <v>1.5046296296294948E-4</v>
      </c>
      <c r="I527">
        <f t="shared" ref="I527:I535" si="43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0"/>
        <v>519</v>
      </c>
      <c r="B528" s="1" t="str">
        <f>"(8,"&amp;I528&amp;")"</f>
        <v>(8,48)</v>
      </c>
      <c r="C528" s="4">
        <v>0.57454861111111111</v>
      </c>
      <c r="D528" s="4">
        <v>0.5747106481481481</v>
      </c>
      <c r="E528" s="2">
        <v>11.629999999999999</v>
      </c>
      <c r="F528" s="2">
        <v>11.76</v>
      </c>
      <c r="G528" s="1" t="s">
        <v>26</v>
      </c>
      <c r="H528" s="4">
        <f t="shared" si="42"/>
        <v>1.6203703703698835E-4</v>
      </c>
      <c r="I528">
        <f t="shared" si="43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0"/>
        <v>520</v>
      </c>
      <c r="B529" s="1" t="str">
        <f>"(7,"&amp;I529&amp;")"</f>
        <v>(7,48)</v>
      </c>
      <c r="C529" s="4">
        <v>0.57498842592592592</v>
      </c>
      <c r="D529" s="4">
        <v>0.57513888888888887</v>
      </c>
      <c r="E529" s="2">
        <v>11.629999999999999</v>
      </c>
      <c r="F529" s="2">
        <v>11.76</v>
      </c>
      <c r="G529" s="1" t="s">
        <v>26</v>
      </c>
      <c r="H529" s="4">
        <f t="shared" si="42"/>
        <v>1.5046296296294948E-4</v>
      </c>
      <c r="I529">
        <f t="shared" si="43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0"/>
        <v>521</v>
      </c>
      <c r="B530" s="1" t="str">
        <f>"(6,"&amp;I530&amp;")"</f>
        <v>(6,48)</v>
      </c>
      <c r="C530" s="4">
        <v>0.57537037037037031</v>
      </c>
      <c r="D530" s="4">
        <v>0.57554398148148145</v>
      </c>
      <c r="E530" s="2">
        <v>11.629999999999999</v>
      </c>
      <c r="F530" s="2">
        <v>11.68</v>
      </c>
      <c r="G530" s="1" t="s">
        <v>26</v>
      </c>
      <c r="H530" s="4">
        <f t="shared" si="42"/>
        <v>1.7361111111113825E-4</v>
      </c>
      <c r="I530">
        <f t="shared" si="43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0"/>
        <v>522</v>
      </c>
      <c r="B531" s="1" t="str">
        <f>"(5,"&amp;I531&amp;")"</f>
        <v>(5,48)</v>
      </c>
      <c r="C531" s="4">
        <v>0.57583333333333331</v>
      </c>
      <c r="D531" s="4">
        <v>0.57598379629629626</v>
      </c>
      <c r="E531" s="2">
        <v>11.629999999999999</v>
      </c>
      <c r="F531" s="2">
        <v>11.669999999999998</v>
      </c>
      <c r="G531" s="1" t="s">
        <v>26</v>
      </c>
      <c r="H531" s="4">
        <f t="shared" si="42"/>
        <v>1.5046296296294948E-4</v>
      </c>
      <c r="I531">
        <f t="shared" si="43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0"/>
        <v>523</v>
      </c>
      <c r="B532" s="1" t="str">
        <f>"(4,"&amp;I532&amp;")"</f>
        <v>(4,48)</v>
      </c>
      <c r="C532" s="4">
        <v>0.5762152777777777</v>
      </c>
      <c r="D532" s="4">
        <v>0.57636574074074065</v>
      </c>
      <c r="E532" s="2">
        <v>11.629999999999999</v>
      </c>
      <c r="F532" s="2">
        <v>11.719999999999999</v>
      </c>
      <c r="G532" s="1" t="s">
        <v>26</v>
      </c>
      <c r="H532" s="4">
        <f t="shared" si="42"/>
        <v>1.5046296296294948E-4</v>
      </c>
      <c r="I532">
        <f t="shared" si="43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0"/>
        <v>524</v>
      </c>
      <c r="B533" s="1" t="str">
        <f>"(3,"&amp;I533&amp;")"</f>
        <v>(3,48)</v>
      </c>
      <c r="C533" s="4">
        <v>0.57662037037037028</v>
      </c>
      <c r="D533" s="4">
        <v>0.57677083333333323</v>
      </c>
      <c r="E533" s="2">
        <v>11.629999999999999</v>
      </c>
      <c r="F533" s="2">
        <v>11.78</v>
      </c>
      <c r="G533" s="1" t="s">
        <v>26</v>
      </c>
      <c r="H533" s="4">
        <f t="shared" si="42"/>
        <v>1.5046296296294948E-4</v>
      </c>
      <c r="I533">
        <f t="shared" si="43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0"/>
        <v>525</v>
      </c>
      <c r="B534" s="1" t="str">
        <f>"(2,"&amp;I534&amp;")"</f>
        <v>(2,48)</v>
      </c>
      <c r="C534" s="4">
        <v>0.57706018518518509</v>
      </c>
      <c r="D534" s="4">
        <v>0.57723379629629623</v>
      </c>
      <c r="E534" s="2">
        <v>11.629999999999999</v>
      </c>
      <c r="F534" s="2">
        <v>11.669999999999998</v>
      </c>
      <c r="G534" s="1" t="s">
        <v>26</v>
      </c>
      <c r="H534" s="4">
        <f t="shared" si="42"/>
        <v>1.7361111111113825E-4</v>
      </c>
      <c r="I534">
        <f t="shared" si="43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0"/>
        <v>526</v>
      </c>
      <c r="B535" s="1" t="str">
        <f>"(1,"&amp;I535&amp;")"</f>
        <v>(1,48)</v>
      </c>
      <c r="C535" s="4">
        <v>0.57748842592592586</v>
      </c>
      <c r="D535" s="4">
        <v>0.57765046296296285</v>
      </c>
      <c r="E535" s="2">
        <v>11.629999999999999</v>
      </c>
      <c r="F535" s="2">
        <v>11.719999999999999</v>
      </c>
      <c r="G535" s="1" t="s">
        <v>26</v>
      </c>
      <c r="H535" s="4">
        <f t="shared" si="42"/>
        <v>1.6203703703698835E-4</v>
      </c>
      <c r="I535">
        <f t="shared" si="43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0"/>
        <v>527</v>
      </c>
      <c r="B536" s="1" t="str">
        <f>"(1,"&amp;I536&amp;")"</f>
        <v>(1,49)</v>
      </c>
      <c r="C536" s="4">
        <v>0.57789351851851845</v>
      </c>
      <c r="D536" s="4">
        <v>0.57805555555555543</v>
      </c>
      <c r="E536" s="2">
        <v>11.629999999999999</v>
      </c>
      <c r="F536" s="2">
        <v>11.739999999999998</v>
      </c>
      <c r="G536" s="1" t="s">
        <v>26</v>
      </c>
      <c r="H536" s="4">
        <f t="shared" si="42"/>
        <v>1.6203703703698835E-4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0"/>
        <v>528</v>
      </c>
      <c r="B537" s="1" t="str">
        <f>"(2,"&amp;I537&amp;")"</f>
        <v>(2,49)</v>
      </c>
      <c r="C537" s="4">
        <v>0.57829861111111103</v>
      </c>
      <c r="D537" s="4">
        <v>0.57846064814814802</v>
      </c>
      <c r="E537" s="2">
        <v>11.629999999999999</v>
      </c>
      <c r="F537" s="2">
        <v>11.659999999999998</v>
      </c>
      <c r="G537" s="1" t="s">
        <v>26</v>
      </c>
      <c r="H537" s="4">
        <f t="shared" si="42"/>
        <v>1.6203703703698835E-4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0"/>
        <v>529</v>
      </c>
      <c r="B538" s="1" t="str">
        <f>"(3,"&amp;I538&amp;")"</f>
        <v>(3,49)</v>
      </c>
      <c r="C538" s="4">
        <v>0.57870370370370361</v>
      </c>
      <c r="D538" s="4">
        <v>0.57885416666666656</v>
      </c>
      <c r="E538" s="2">
        <v>11.629999999999999</v>
      </c>
      <c r="F538" s="2">
        <v>11.729999999999999</v>
      </c>
      <c r="G538" s="1" t="s">
        <v>26</v>
      </c>
      <c r="H538" s="4">
        <f t="shared" si="42"/>
        <v>1.5046296296294948E-4</v>
      </c>
      <c r="I538">
        <f t="shared" ref="I538:I546" si="44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0"/>
        <v>530</v>
      </c>
      <c r="B539" s="1" t="str">
        <f>"(4,"&amp;I539&amp;")"</f>
        <v>(4,49)</v>
      </c>
      <c r="C539" s="4">
        <v>0.57913194444444438</v>
      </c>
      <c r="D539" s="4">
        <v>0.57927083333333329</v>
      </c>
      <c r="E539" s="2">
        <v>11.629999999999999</v>
      </c>
      <c r="F539" s="2">
        <v>11.649999999999999</v>
      </c>
      <c r="G539" s="1" t="s">
        <v>26</v>
      </c>
      <c r="H539" s="4">
        <f t="shared" si="42"/>
        <v>1.388888888889106E-4</v>
      </c>
      <c r="I539">
        <f t="shared" si="44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0"/>
        <v>531</v>
      </c>
      <c r="B540" s="1" t="str">
        <f>"(5,"&amp;I540&amp;")"</f>
        <v>(5,49)</v>
      </c>
      <c r="C540" s="4">
        <v>0.57954861111111111</v>
      </c>
      <c r="D540" s="4">
        <v>0.57968750000000002</v>
      </c>
      <c r="E540" s="2">
        <v>11.629999999999999</v>
      </c>
      <c r="F540" s="2">
        <v>11.639999999999999</v>
      </c>
      <c r="G540" s="1" t="s">
        <v>26</v>
      </c>
      <c r="H540" s="4">
        <f t="shared" si="42"/>
        <v>1.388888888889106E-4</v>
      </c>
      <c r="I540">
        <f t="shared" si="44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0"/>
        <v>532</v>
      </c>
      <c r="B541" s="1" t="str">
        <f>"(6,"&amp;I541&amp;")"</f>
        <v>(6,49)</v>
      </c>
      <c r="C541" s="4">
        <v>0.57995370370370369</v>
      </c>
      <c r="D541" s="4">
        <v>0.5800925925925926</v>
      </c>
      <c r="E541" s="2">
        <v>11.629999999999999</v>
      </c>
      <c r="F541" s="2">
        <v>11.709999999999999</v>
      </c>
      <c r="G541" s="1" t="s">
        <v>26</v>
      </c>
      <c r="H541" s="4">
        <f t="shared" si="42"/>
        <v>1.388888888889106E-4</v>
      </c>
      <c r="I541">
        <f t="shared" si="44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0"/>
        <v>533</v>
      </c>
      <c r="B542" s="1" t="str">
        <f>"(7,"&amp;I542&amp;")"</f>
        <v>(7,49)</v>
      </c>
      <c r="C542" s="4">
        <v>0.5803356481481482</v>
      </c>
      <c r="D542" s="4">
        <v>0.58049768518518519</v>
      </c>
      <c r="E542" s="2">
        <v>11.629999999999999</v>
      </c>
      <c r="F542" s="2">
        <v>11.649999999999999</v>
      </c>
      <c r="G542" s="1" t="s">
        <v>26</v>
      </c>
      <c r="H542" s="4">
        <f t="shared" si="42"/>
        <v>1.6203703703698835E-4</v>
      </c>
      <c r="I542">
        <f t="shared" si="44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0"/>
        <v>534</v>
      </c>
      <c r="B543" s="1" t="str">
        <f>"(8,"&amp;I543&amp;")"</f>
        <v>(8,49)</v>
      </c>
      <c r="C543" s="4">
        <v>0.58072916666666663</v>
      </c>
      <c r="D543" s="4">
        <v>0.58086805555555554</v>
      </c>
      <c r="E543" s="2">
        <v>11.629999999999999</v>
      </c>
      <c r="F543" s="2">
        <v>11.739999999999998</v>
      </c>
      <c r="G543" s="1" t="s">
        <v>26</v>
      </c>
      <c r="H543" s="4">
        <f t="shared" si="42"/>
        <v>1.388888888889106E-4</v>
      </c>
      <c r="I543">
        <f t="shared" si="44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0"/>
        <v>535</v>
      </c>
      <c r="B544" s="1" t="str">
        <f>"(9,"&amp;I544&amp;")"</f>
        <v>(9,49)</v>
      </c>
      <c r="C544" s="4">
        <v>0.58113425925925921</v>
      </c>
      <c r="D544" s="4">
        <v>0.58130787037037035</v>
      </c>
      <c r="E544" s="2">
        <v>11.629999999999999</v>
      </c>
      <c r="F544" s="2">
        <v>11.649999999999999</v>
      </c>
      <c r="G544" s="1" t="s">
        <v>26</v>
      </c>
      <c r="H544" s="4">
        <f t="shared" si="42"/>
        <v>1.7361111111113825E-4</v>
      </c>
      <c r="I544">
        <f t="shared" si="44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0"/>
        <v>536</v>
      </c>
      <c r="B545" s="1" t="str">
        <f>"(10,"&amp;I545&amp;")"</f>
        <v>(10,49)</v>
      </c>
      <c r="C545" s="4">
        <v>0.58155092592592594</v>
      </c>
      <c r="D545" s="4">
        <v>0.58168981481481485</v>
      </c>
      <c r="E545" s="2">
        <v>11.629999999999999</v>
      </c>
      <c r="F545" s="2">
        <v>11.709999999999999</v>
      </c>
      <c r="G545" s="1" t="s">
        <v>26</v>
      </c>
      <c r="H545" s="4">
        <f t="shared" si="42"/>
        <v>1.388888888889106E-4</v>
      </c>
      <c r="I545">
        <f t="shared" si="44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0"/>
        <v>537</v>
      </c>
      <c r="B546" s="1" t="str">
        <f>"(11,"&amp;I546&amp;")"</f>
        <v>(11,49)</v>
      </c>
      <c r="C546" s="4">
        <v>0.58194444444444449</v>
      </c>
      <c r="D546" s="4">
        <v>0.58211805555555562</v>
      </c>
      <c r="E546" s="2">
        <v>11.629999999999999</v>
      </c>
      <c r="F546" s="2">
        <v>11.7</v>
      </c>
      <c r="G546" s="1" t="s">
        <v>26</v>
      </c>
      <c r="H546" s="4">
        <f t="shared" si="42"/>
        <v>1.7361111111113825E-4</v>
      </c>
      <c r="I546">
        <f t="shared" si="44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0"/>
        <v>538</v>
      </c>
      <c r="B547" s="1" t="str">
        <f>"(11,"&amp;I547&amp;")"</f>
        <v>(11,50)</v>
      </c>
      <c r="C547" s="4">
        <v>0.5823842592592593</v>
      </c>
      <c r="D547" s="4">
        <v>0.58254629629629628</v>
      </c>
      <c r="E547" s="2">
        <v>11.629999999999999</v>
      </c>
      <c r="F547" s="2">
        <v>11.729999999999999</v>
      </c>
      <c r="G547" s="1" t="s">
        <v>26</v>
      </c>
      <c r="H547" s="4">
        <f t="shared" si="42"/>
        <v>1.6203703703698835E-4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0"/>
        <v>539</v>
      </c>
      <c r="B548" s="1" t="str">
        <f>"(10,"&amp;I548&amp;")"</f>
        <v>(10,50)</v>
      </c>
      <c r="C548" s="4">
        <v>0.58283564814814814</v>
      </c>
      <c r="D548" s="4">
        <v>0.58299768518518513</v>
      </c>
      <c r="E548" s="2">
        <v>11.629999999999999</v>
      </c>
      <c r="F548" s="2">
        <v>11.739999999999998</v>
      </c>
      <c r="G548" s="1" t="s">
        <v>26</v>
      </c>
      <c r="H548" s="4">
        <f t="shared" si="42"/>
        <v>1.6203703703698835E-4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0"/>
        <v>540</v>
      </c>
      <c r="B549" s="1" t="str">
        <f>"(9,"&amp;I549&amp;")"</f>
        <v>(9,50)</v>
      </c>
      <c r="C549" s="4">
        <v>0.58328703703703699</v>
      </c>
      <c r="D549" s="4">
        <v>0.58344907407407398</v>
      </c>
      <c r="E549" s="2">
        <v>11.629999999999999</v>
      </c>
      <c r="F549" s="2">
        <v>11.729999999999999</v>
      </c>
      <c r="G549" s="1" t="s">
        <v>26</v>
      </c>
      <c r="H549" s="4">
        <f t="shared" si="42"/>
        <v>1.6203703703698835E-4</v>
      </c>
      <c r="I549">
        <f t="shared" ref="I549:I557" si="45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0"/>
        <v>541</v>
      </c>
      <c r="B550" s="1" t="str">
        <f>"(8,"&amp;I550&amp;")"</f>
        <v>(8,50)</v>
      </c>
      <c r="C550" s="4">
        <v>0.58371527777777765</v>
      </c>
      <c r="D550" s="4">
        <v>0.5838657407407406</v>
      </c>
      <c r="E550" s="2">
        <v>11.629999999999999</v>
      </c>
      <c r="F550" s="2">
        <v>11.77</v>
      </c>
      <c r="G550" s="1" t="s">
        <v>26</v>
      </c>
      <c r="H550" s="4">
        <f t="shared" si="42"/>
        <v>1.5046296296294948E-4</v>
      </c>
      <c r="I550">
        <f t="shared" si="45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0"/>
        <v>542</v>
      </c>
      <c r="B551" s="1" t="str">
        <f>"(7,"&amp;I551&amp;")"</f>
        <v>(7,50)</v>
      </c>
      <c r="C551" s="4">
        <v>0.58414351851851842</v>
      </c>
      <c r="D551" s="4">
        <v>0.58430555555555541</v>
      </c>
      <c r="E551" s="2">
        <v>11.629999999999999</v>
      </c>
      <c r="F551" s="2">
        <v>11.659999999999998</v>
      </c>
      <c r="G551" s="1" t="s">
        <v>26</v>
      </c>
      <c r="H551" s="4">
        <f t="shared" si="42"/>
        <v>1.6203703703698835E-4</v>
      </c>
      <c r="I551">
        <f t="shared" si="45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0"/>
        <v>543</v>
      </c>
      <c r="B552" s="1" t="str">
        <f>"(6,"&amp;I552&amp;")"</f>
        <v>(6,50)</v>
      </c>
      <c r="C552" s="4">
        <v>0.58454861111111101</v>
      </c>
      <c r="D552" s="4">
        <v>0.58471064814814799</v>
      </c>
      <c r="E552" s="2">
        <v>11.629999999999999</v>
      </c>
      <c r="F552" s="2">
        <v>11.729999999999999</v>
      </c>
      <c r="G552" s="1" t="s">
        <v>26</v>
      </c>
      <c r="H552" s="4">
        <f t="shared" si="42"/>
        <v>1.6203703703698835E-4</v>
      </c>
      <c r="I552">
        <f t="shared" si="45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0"/>
        <v>544</v>
      </c>
      <c r="B553" s="1" t="str">
        <f>"(5,"&amp;I553&amp;")"</f>
        <v>(5,50)</v>
      </c>
      <c r="C553" s="4">
        <v>0.58494212962962944</v>
      </c>
      <c r="D553" s="4">
        <v>0.58511574074074058</v>
      </c>
      <c r="E553" s="2">
        <v>11.629999999999999</v>
      </c>
      <c r="F553" s="2">
        <v>11.709999999999999</v>
      </c>
      <c r="G553" s="1" t="s">
        <v>26</v>
      </c>
      <c r="H553" s="4">
        <f t="shared" si="42"/>
        <v>1.7361111111113825E-4</v>
      </c>
      <c r="I553">
        <f t="shared" si="45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0"/>
        <v>545</v>
      </c>
      <c r="B554" s="1" t="str">
        <f>"(4,"&amp;I554&amp;")"</f>
        <v>(4,50)</v>
      </c>
      <c r="C554" s="4">
        <v>0.58538194444444425</v>
      </c>
      <c r="D554" s="4">
        <v>0.5855324074074072</v>
      </c>
      <c r="E554" s="2">
        <v>11.629999999999999</v>
      </c>
      <c r="F554" s="2">
        <v>11.709999999999999</v>
      </c>
      <c r="G554" s="1" t="s">
        <v>26</v>
      </c>
      <c r="H554" s="4">
        <f t="shared" si="42"/>
        <v>1.5046296296294948E-4</v>
      </c>
      <c r="I554">
        <f t="shared" si="45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0"/>
        <v>546</v>
      </c>
      <c r="B555" s="1" t="str">
        <f>"(3,"&amp;I555&amp;")"</f>
        <v>(3,50)</v>
      </c>
      <c r="C555" s="4">
        <v>0.58576388888888864</v>
      </c>
      <c r="D555" s="4">
        <v>0.58591435185185159</v>
      </c>
      <c r="E555" s="2">
        <v>11.629999999999999</v>
      </c>
      <c r="F555" s="2">
        <v>11.729999999999999</v>
      </c>
      <c r="G555" s="1" t="s">
        <v>26</v>
      </c>
      <c r="H555" s="4">
        <f t="shared" si="42"/>
        <v>1.5046296296294948E-4</v>
      </c>
      <c r="I555">
        <f t="shared" si="45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0"/>
        <v>547</v>
      </c>
      <c r="B556" s="1" t="str">
        <f>"(2,"&amp;I556&amp;")"</f>
        <v>(2,50)</v>
      </c>
      <c r="C556" s="4">
        <v>0.58616898148148122</v>
      </c>
      <c r="D556" s="4">
        <v>0.58634259259259236</v>
      </c>
      <c r="E556" s="2">
        <v>11.629999999999999</v>
      </c>
      <c r="F556" s="2">
        <v>11.659999999999998</v>
      </c>
      <c r="G556" s="1" t="s">
        <v>26</v>
      </c>
      <c r="H556" s="4">
        <f t="shared" si="42"/>
        <v>1.7361111111113825E-4</v>
      </c>
      <c r="I556">
        <f t="shared" si="45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0"/>
        <v>548</v>
      </c>
      <c r="B557" s="1" t="str">
        <f>"(1,"&amp;I557&amp;")"</f>
        <v>(1,50)</v>
      </c>
      <c r="C557" s="4">
        <v>0.58660879629629603</v>
      </c>
      <c r="D557" s="4">
        <v>0.58675925925925898</v>
      </c>
      <c r="E557" s="2">
        <v>11.629999999999999</v>
      </c>
      <c r="F557" s="2">
        <v>11.709999999999999</v>
      </c>
      <c r="G557" s="1" t="s">
        <v>26</v>
      </c>
      <c r="H557" s="4">
        <f t="shared" si="42"/>
        <v>1.5046296296294948E-4</v>
      </c>
      <c r="I557">
        <f t="shared" si="45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0"/>
        <v>549</v>
      </c>
      <c r="B558" s="1" t="str">
        <f>"(1,"&amp;I558&amp;")"</f>
        <v>(1,51)</v>
      </c>
      <c r="C558" s="4">
        <v>0.58704861111111084</v>
      </c>
      <c r="D558" s="4">
        <v>0.58719907407407379</v>
      </c>
      <c r="E558" s="2">
        <v>11.629999999999999</v>
      </c>
      <c r="F558" s="2">
        <v>11.649999999999999</v>
      </c>
      <c r="G558" s="1" t="s">
        <v>26</v>
      </c>
      <c r="H558" s="4">
        <f t="shared" si="42"/>
        <v>1.5046296296294948E-4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0"/>
        <v>550</v>
      </c>
      <c r="B559" s="1" t="str">
        <f>"(2,"&amp;I559&amp;")"</f>
        <v>(2,51)</v>
      </c>
      <c r="C559" s="4">
        <v>0.58748842592592565</v>
      </c>
      <c r="D559" s="4">
        <v>0.5876388888888886</v>
      </c>
      <c r="E559" s="2">
        <v>11.629999999999999</v>
      </c>
      <c r="F559" s="2">
        <v>11.719999999999999</v>
      </c>
      <c r="G559" s="1" t="s">
        <v>26</v>
      </c>
      <c r="H559" s="4">
        <f t="shared" si="42"/>
        <v>1.5046296296294948E-4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0"/>
        <v>551</v>
      </c>
      <c r="B560" s="1" t="str">
        <f>"(3,"&amp;I560&amp;")"</f>
        <v>(3,51)</v>
      </c>
      <c r="C560" s="4">
        <v>0.58788194444444419</v>
      </c>
      <c r="D560" s="4">
        <v>0.5880208333333331</v>
      </c>
      <c r="E560" s="2">
        <v>11.629999999999999</v>
      </c>
      <c r="F560" s="2">
        <v>11.649999999999999</v>
      </c>
      <c r="G560" s="1" t="s">
        <v>26</v>
      </c>
      <c r="H560" s="4">
        <f t="shared" si="42"/>
        <v>1.388888888889106E-4</v>
      </c>
      <c r="I560">
        <f t="shared" ref="I560:I568" si="46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0"/>
        <v>552</v>
      </c>
      <c r="B561" s="1" t="str">
        <f>"(4,"&amp;I561&amp;")"</f>
        <v>(4,51)</v>
      </c>
      <c r="C561" s="4">
        <v>0.58831018518518496</v>
      </c>
      <c r="D561" s="4">
        <v>0.58847222222222195</v>
      </c>
      <c r="E561" s="2">
        <v>11.629999999999999</v>
      </c>
      <c r="F561" s="2">
        <v>11.709999999999999</v>
      </c>
      <c r="G561" s="1" t="s">
        <v>26</v>
      </c>
      <c r="H561" s="4">
        <f t="shared" si="42"/>
        <v>1.6203703703698835E-4</v>
      </c>
      <c r="I561">
        <f t="shared" si="46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0"/>
        <v>553</v>
      </c>
      <c r="B562" s="1" t="str">
        <f>"(5,"&amp;I562&amp;")"</f>
        <v>(5,51)</v>
      </c>
      <c r="C562" s="4">
        <v>0.58872685185185158</v>
      </c>
      <c r="D562" s="4">
        <v>0.58890046296296272</v>
      </c>
      <c r="E562" s="2">
        <v>11.629999999999999</v>
      </c>
      <c r="F562" s="2">
        <v>11.77</v>
      </c>
      <c r="G562" s="1" t="s">
        <v>26</v>
      </c>
      <c r="H562" s="4">
        <f t="shared" si="42"/>
        <v>1.7361111111113825E-4</v>
      </c>
      <c r="I562">
        <f t="shared" si="46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0"/>
        <v>554</v>
      </c>
      <c r="B563" s="1" t="str">
        <f>"(6,"&amp;I563&amp;")"</f>
        <v>(6,51)</v>
      </c>
      <c r="C563" s="4">
        <v>0.58918981481481458</v>
      </c>
      <c r="D563" s="4">
        <v>0.58936342592592572</v>
      </c>
      <c r="E563" s="2">
        <v>11.629999999999999</v>
      </c>
      <c r="F563" s="2">
        <v>11.739999999999998</v>
      </c>
      <c r="G563" s="1" t="s">
        <v>26</v>
      </c>
      <c r="H563" s="4">
        <f t="shared" si="42"/>
        <v>1.7361111111113825E-4</v>
      </c>
      <c r="I563">
        <f t="shared" si="46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0"/>
        <v>555</v>
      </c>
      <c r="B564" s="1" t="str">
        <f>"(7,"&amp;I564&amp;")"</f>
        <v>(7,51)</v>
      </c>
      <c r="C564" s="4">
        <v>0.58964120370370354</v>
      </c>
      <c r="D564" s="4">
        <v>0.58980324074074053</v>
      </c>
      <c r="E564" s="2">
        <v>11.629999999999999</v>
      </c>
      <c r="F564" s="2">
        <v>11.69</v>
      </c>
      <c r="G564" s="1" t="s">
        <v>26</v>
      </c>
      <c r="H564" s="4">
        <f t="shared" si="42"/>
        <v>1.6203703703698835E-4</v>
      </c>
      <c r="I564">
        <f t="shared" si="46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4.25" customHeight="1" x14ac:dyDescent="0.3">
      <c r="A565" s="1">
        <f t="shared" si="40"/>
        <v>556</v>
      </c>
      <c r="B565" s="1" t="str">
        <f>"(8,"&amp;I565&amp;")"</f>
        <v>(8,51)</v>
      </c>
      <c r="C565" s="4">
        <v>0.59004629629629612</v>
      </c>
      <c r="D565" s="4">
        <v>0.59020833333333311</v>
      </c>
      <c r="E565" s="2">
        <v>11.629999999999999</v>
      </c>
      <c r="F565" s="2">
        <v>11.69</v>
      </c>
      <c r="G565" s="1" t="s">
        <v>26</v>
      </c>
      <c r="H565" s="4">
        <f t="shared" si="42"/>
        <v>1.6203703703698835E-4</v>
      </c>
      <c r="I565">
        <f t="shared" si="46"/>
        <v>51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14.25" customHeight="1" x14ac:dyDescent="0.3">
      <c r="A566" s="1">
        <f t="shared" si="40"/>
        <v>557</v>
      </c>
      <c r="B566" s="1" t="str">
        <f>"(9,"&amp;I566&amp;")"</f>
        <v>(9,51)</v>
      </c>
      <c r="C566" s="4">
        <v>0.59049768518518497</v>
      </c>
      <c r="D566" s="4">
        <v>0.59064814814814792</v>
      </c>
      <c r="E566" s="2">
        <v>11.629999999999999</v>
      </c>
      <c r="F566" s="2">
        <v>11.78</v>
      </c>
      <c r="G566" s="1" t="s">
        <v>26</v>
      </c>
      <c r="H566" s="4">
        <f t="shared" si="42"/>
        <v>1.5046296296294948E-4</v>
      </c>
      <c r="I566">
        <f t="shared" si="46"/>
        <v>51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14.25" customHeight="1" x14ac:dyDescent="0.3">
      <c r="A567" s="1">
        <f t="shared" si="40"/>
        <v>558</v>
      </c>
      <c r="B567" s="1" t="str">
        <f>"(10,"&amp;I567&amp;")"</f>
        <v>(10,51)</v>
      </c>
      <c r="C567" s="4">
        <v>0.59092592592592574</v>
      </c>
      <c r="D567" s="4">
        <v>0.59109953703703688</v>
      </c>
      <c r="E567" s="2">
        <v>11.629999999999999</v>
      </c>
      <c r="F567" s="2">
        <v>11.7</v>
      </c>
      <c r="G567" s="1" t="s">
        <v>26</v>
      </c>
      <c r="H567" s="4">
        <f t="shared" si="42"/>
        <v>1.7361111111113825E-4</v>
      </c>
      <c r="I567">
        <f t="shared" si="46"/>
        <v>51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14.25" customHeight="1" x14ac:dyDescent="0.3">
      <c r="A568" s="1">
        <f t="shared" si="40"/>
        <v>559</v>
      </c>
      <c r="B568" s="1" t="str">
        <f>"(11,"&amp;I568&amp;")"</f>
        <v>(11,51)</v>
      </c>
      <c r="C568" s="4">
        <v>0.59135416666666651</v>
      </c>
      <c r="D568" s="4">
        <v>0.5915162037037035</v>
      </c>
      <c r="E568" s="2">
        <v>11.629999999999999</v>
      </c>
      <c r="F568" s="2">
        <v>11.76</v>
      </c>
      <c r="G568" s="1" t="s">
        <v>26</v>
      </c>
      <c r="H568" s="4">
        <f t="shared" si="42"/>
        <v>1.6203703703698835E-4</v>
      </c>
      <c r="I568">
        <f t="shared" si="46"/>
        <v>51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14.25" customHeight="1" x14ac:dyDescent="0.3">
      <c r="A569" s="1">
        <f t="shared" si="40"/>
        <v>560</v>
      </c>
      <c r="B569" s="1" t="str">
        <f>"(11,"&amp;I569&amp;")"</f>
        <v>(11,52)</v>
      </c>
      <c r="C569" s="4">
        <v>0.59177083333333313</v>
      </c>
      <c r="D569" s="4">
        <v>0.59193287037037012</v>
      </c>
      <c r="E569" s="2">
        <v>11.629999999999999</v>
      </c>
      <c r="F569" s="2">
        <v>11.78</v>
      </c>
      <c r="G569" s="1" t="s">
        <v>26</v>
      </c>
      <c r="H569" s="4">
        <f t="shared" si="42"/>
        <v>1.6203703703698835E-4</v>
      </c>
      <c r="I569">
        <f>I568+1</f>
        <v>52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14.25" customHeight="1" x14ac:dyDescent="0.3">
      <c r="A570" s="1">
        <f t="shared" si="40"/>
        <v>561</v>
      </c>
      <c r="B570" s="1" t="str">
        <f>"(10,"&amp;I570&amp;")"</f>
        <v>(10,52)</v>
      </c>
      <c r="C570" s="4">
        <v>0.59221064814814794</v>
      </c>
      <c r="D570" s="4">
        <v>0.59234953703703686</v>
      </c>
      <c r="E570" s="2">
        <v>11.629999999999999</v>
      </c>
      <c r="F570" s="2">
        <v>11.69</v>
      </c>
      <c r="G570" s="1" t="s">
        <v>26</v>
      </c>
      <c r="H570" s="4">
        <f t="shared" si="42"/>
        <v>1.388888888889106E-4</v>
      </c>
      <c r="I570">
        <f>I569</f>
        <v>52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14.25" customHeight="1" x14ac:dyDescent="0.3">
      <c r="A571" s="1">
        <f t="shared" si="40"/>
        <v>562</v>
      </c>
      <c r="B571" s="1" t="str">
        <f>"(9,"&amp;I571&amp;")"</f>
        <v>(9,52)</v>
      </c>
      <c r="C571" s="4">
        <v>0.59260416666666649</v>
      </c>
      <c r="D571" s="4">
        <v>0.5927430555555554</v>
      </c>
      <c r="E571" s="2">
        <v>11.629999999999999</v>
      </c>
      <c r="F571" s="2">
        <v>11.709999999999999</v>
      </c>
      <c r="G571" s="1" t="s">
        <v>26</v>
      </c>
      <c r="H571" s="4">
        <f t="shared" si="42"/>
        <v>1.388888888889106E-4</v>
      </c>
      <c r="I571">
        <f t="shared" ref="I571:I579" si="47">I570</f>
        <v>52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4.25" customHeight="1" x14ac:dyDescent="0.3">
      <c r="A572" s="1">
        <f t="shared" si="40"/>
        <v>563</v>
      </c>
      <c r="B572" s="1" t="str">
        <f>"(8,"&amp;I572&amp;")"</f>
        <v>(8,52)</v>
      </c>
      <c r="C572" s="4">
        <v>0.59300925925925907</v>
      </c>
      <c r="D572" s="4">
        <v>0.59317129629629606</v>
      </c>
      <c r="E572" s="2">
        <v>11.629999999999999</v>
      </c>
      <c r="F572" s="2">
        <v>11.649999999999999</v>
      </c>
      <c r="G572" s="1" t="s">
        <v>26</v>
      </c>
      <c r="H572" s="4">
        <f t="shared" si="42"/>
        <v>1.6203703703698835E-4</v>
      </c>
      <c r="I572">
        <f t="shared" si="47"/>
        <v>52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4.25" customHeight="1" x14ac:dyDescent="0.3">
      <c r="A573" s="1">
        <f t="shared" si="40"/>
        <v>564</v>
      </c>
      <c r="B573" s="1" t="str">
        <f>"(7,"&amp;I573&amp;")"</f>
        <v>(7,52)</v>
      </c>
      <c r="C573" s="4">
        <v>0.59342592592592569</v>
      </c>
      <c r="D573" s="4">
        <v>0.5935648148148146</v>
      </c>
      <c r="E573" s="2">
        <v>11.629999999999999</v>
      </c>
      <c r="F573" s="2">
        <v>11.729999999999999</v>
      </c>
      <c r="G573" s="1" t="s">
        <v>26</v>
      </c>
      <c r="H573" s="4">
        <f t="shared" si="42"/>
        <v>1.388888888889106E-4</v>
      </c>
      <c r="I573">
        <f t="shared" si="47"/>
        <v>52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4.25" customHeight="1" x14ac:dyDescent="0.3">
      <c r="A574" s="1">
        <f t="shared" si="40"/>
        <v>565</v>
      </c>
      <c r="B574" s="1" t="str">
        <f>"(6,"&amp;I574&amp;")"</f>
        <v>(6,52)</v>
      </c>
      <c r="C574" s="4">
        <v>0.59383101851851827</v>
      </c>
      <c r="D574" s="4">
        <v>0.59400462962962941</v>
      </c>
      <c r="E574" s="2">
        <v>11.629999999999999</v>
      </c>
      <c r="F574" s="2">
        <v>11.719999999999999</v>
      </c>
      <c r="G574" s="1" t="s">
        <v>26</v>
      </c>
      <c r="H574" s="4">
        <f t="shared" si="42"/>
        <v>1.7361111111113825E-4</v>
      </c>
      <c r="I574">
        <f t="shared" si="47"/>
        <v>52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4.25" customHeight="1" x14ac:dyDescent="0.3">
      <c r="A575" s="1">
        <f t="shared" si="40"/>
        <v>566</v>
      </c>
      <c r="B575" s="1" t="str">
        <f>"(5,"&amp;I575&amp;")"</f>
        <v>(5,52)</v>
      </c>
      <c r="C575" s="4">
        <v>0.594247685185185</v>
      </c>
      <c r="D575" s="4">
        <v>0.59438657407407391</v>
      </c>
      <c r="E575" s="2">
        <v>11.629999999999999</v>
      </c>
      <c r="F575" s="2">
        <v>11.669999999999998</v>
      </c>
      <c r="G575" s="1" t="s">
        <v>26</v>
      </c>
      <c r="H575" s="4">
        <f t="shared" si="42"/>
        <v>1.388888888889106E-4</v>
      </c>
      <c r="I575">
        <f t="shared" si="47"/>
        <v>52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4.25" customHeight="1" x14ac:dyDescent="0.3">
      <c r="A576" s="1">
        <f t="shared" si="40"/>
        <v>567</v>
      </c>
      <c r="B576" s="1" t="str">
        <f>"(4,"&amp;I576&amp;")"</f>
        <v>(4,52)</v>
      </c>
      <c r="C576" s="4">
        <v>0.59467592592592577</v>
      </c>
      <c r="D576" s="4">
        <v>0.59481481481481469</v>
      </c>
      <c r="E576" s="2">
        <v>11.629999999999999</v>
      </c>
      <c r="F576" s="2">
        <v>11.669999999999998</v>
      </c>
      <c r="G576" s="1" t="s">
        <v>26</v>
      </c>
      <c r="H576" s="4">
        <f t="shared" si="42"/>
        <v>1.388888888889106E-4</v>
      </c>
      <c r="I576">
        <f t="shared" si="47"/>
        <v>52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4.25" customHeight="1" x14ac:dyDescent="0.3">
      <c r="A577" s="1">
        <f t="shared" si="40"/>
        <v>568</v>
      </c>
      <c r="B577" s="1" t="str">
        <f>"(3,"&amp;I577&amp;")"</f>
        <v>(3,52)</v>
      </c>
      <c r="C577" s="4">
        <v>0.59510416666666655</v>
      </c>
      <c r="D577" s="4">
        <v>0.59526620370370353</v>
      </c>
      <c r="E577" s="2">
        <v>11.629999999999999</v>
      </c>
      <c r="F577" s="2">
        <v>11.659999999999998</v>
      </c>
      <c r="G577" s="1" t="s">
        <v>26</v>
      </c>
      <c r="H577" s="4">
        <f t="shared" si="42"/>
        <v>1.6203703703698835E-4</v>
      </c>
      <c r="I577">
        <f t="shared" si="47"/>
        <v>52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4.25" customHeight="1" x14ac:dyDescent="0.3">
      <c r="A578" s="1">
        <f t="shared" si="40"/>
        <v>569</v>
      </c>
      <c r="B578" s="1" t="str">
        <f>"(2,"&amp;I578&amp;")"</f>
        <v>(2,52)</v>
      </c>
      <c r="C578" s="4">
        <v>0.59552083333333317</v>
      </c>
      <c r="D578" s="4">
        <v>0.59565972222222208</v>
      </c>
      <c r="E578" s="2">
        <v>11.629999999999999</v>
      </c>
      <c r="F578" s="2">
        <v>11.729999999999999</v>
      </c>
      <c r="G578" s="1" t="s">
        <v>26</v>
      </c>
      <c r="H578" s="4">
        <f t="shared" si="42"/>
        <v>1.388888888889106E-4</v>
      </c>
      <c r="I578">
        <f t="shared" si="47"/>
        <v>52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4.25" customHeight="1" x14ac:dyDescent="0.3">
      <c r="A579" s="1">
        <f t="shared" si="40"/>
        <v>570</v>
      </c>
      <c r="B579" s="1" t="str">
        <f>"(1,"&amp;I579&amp;")"</f>
        <v>(1,52)</v>
      </c>
      <c r="C579" s="4">
        <v>0.59590277777777767</v>
      </c>
      <c r="D579" s="4">
        <v>0.59607638888888881</v>
      </c>
      <c r="E579" s="2">
        <v>11.629999999999999</v>
      </c>
      <c r="F579" s="2">
        <v>11.709999999999999</v>
      </c>
      <c r="G579" s="1" t="s">
        <v>26</v>
      </c>
      <c r="H579" s="4">
        <f t="shared" si="42"/>
        <v>1.7361111111113825E-4</v>
      </c>
      <c r="I579">
        <f t="shared" si="47"/>
        <v>52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4.25" customHeight="1" x14ac:dyDescent="0.3">
      <c r="A580" s="1">
        <f t="shared" si="40"/>
        <v>571</v>
      </c>
      <c r="B580" s="1" t="str">
        <f>"(1,"&amp;I580&amp;")"</f>
        <v>(1,53)</v>
      </c>
      <c r="C580" s="4">
        <v>0.59630787037037025</v>
      </c>
      <c r="D580" s="4">
        <v>0.59646990740740724</v>
      </c>
      <c r="E580" s="2">
        <v>11.629999999999999</v>
      </c>
      <c r="F580" s="2">
        <v>11.7</v>
      </c>
      <c r="G580" s="1" t="s">
        <v>26</v>
      </c>
      <c r="H580" s="4">
        <f t="shared" si="42"/>
        <v>1.6203703703698835E-4</v>
      </c>
      <c r="I580">
        <f>I579+1</f>
        <v>53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4.25" customHeight="1" x14ac:dyDescent="0.3">
      <c r="A581" s="1">
        <f t="shared" si="40"/>
        <v>572</v>
      </c>
      <c r="B581" s="1" t="str">
        <f>"(2,"&amp;I581&amp;")"</f>
        <v>(2,53)</v>
      </c>
      <c r="C581" s="4">
        <v>0.59671296296296283</v>
      </c>
      <c r="D581" s="4">
        <v>0.59687499999999982</v>
      </c>
      <c r="E581" s="2">
        <v>11.629999999999999</v>
      </c>
      <c r="F581" s="2">
        <v>11.719999999999999</v>
      </c>
      <c r="G581" s="1" t="s">
        <v>26</v>
      </c>
      <c r="H581" s="4">
        <f t="shared" si="42"/>
        <v>1.6203703703698835E-4</v>
      </c>
      <c r="I581">
        <f>I580</f>
        <v>53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ht="14.25" customHeight="1" x14ac:dyDescent="0.3">
      <c r="A582" s="1">
        <f t="shared" si="40"/>
        <v>573</v>
      </c>
      <c r="B582" s="1" t="str">
        <f>"(3,"&amp;I582&amp;")"</f>
        <v>(3,53)</v>
      </c>
      <c r="C582" s="4">
        <v>0.59710648148148127</v>
      </c>
      <c r="D582" s="4">
        <v>0.59724537037037018</v>
      </c>
      <c r="E582" s="2">
        <v>11.629999999999999</v>
      </c>
      <c r="F582" s="2">
        <v>11.739999999999998</v>
      </c>
      <c r="G582" s="1" t="s">
        <v>26</v>
      </c>
      <c r="H582" s="4">
        <f t="shared" si="42"/>
        <v>1.388888888889106E-4</v>
      </c>
      <c r="I582">
        <f t="shared" ref="I582:I590" si="48">I581</f>
        <v>53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ht="14.25" customHeight="1" x14ac:dyDescent="0.3">
      <c r="A583" s="1">
        <f t="shared" si="40"/>
        <v>574</v>
      </c>
      <c r="B583" s="1" t="str">
        <f>"(4,"&amp;I583&amp;")"</f>
        <v>(4,53)</v>
      </c>
      <c r="C583" s="4">
        <v>0.59749999999999981</v>
      </c>
      <c r="D583" s="4">
        <v>0.59767361111111095</v>
      </c>
      <c r="E583" s="2">
        <v>11.629999999999999</v>
      </c>
      <c r="F583" s="2">
        <v>11.649999999999999</v>
      </c>
      <c r="G583" s="1" t="s">
        <v>26</v>
      </c>
      <c r="H583" s="4">
        <f t="shared" si="42"/>
        <v>1.7361111111113825E-4</v>
      </c>
      <c r="I583">
        <f t="shared" si="48"/>
        <v>53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ht="14.25" customHeight="1" x14ac:dyDescent="0.3">
      <c r="A584" s="1">
        <f t="shared" si="40"/>
        <v>575</v>
      </c>
      <c r="B584" s="1" t="str">
        <f>"(5,"&amp;I584&amp;")"</f>
        <v>(5,53)</v>
      </c>
      <c r="C584" s="4">
        <v>0.59791666666666654</v>
      </c>
      <c r="D584" s="4">
        <v>0.59805555555555545</v>
      </c>
      <c r="E584" s="2">
        <v>11.629999999999999</v>
      </c>
      <c r="F584" s="2">
        <v>11.639999999999999</v>
      </c>
      <c r="G584" s="1" t="s">
        <v>26</v>
      </c>
      <c r="H584" s="4">
        <f t="shared" si="42"/>
        <v>1.388888888889106E-4</v>
      </c>
      <c r="I584">
        <f t="shared" si="48"/>
        <v>53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ht="14.25" customHeight="1" x14ac:dyDescent="0.3">
      <c r="A585" s="1">
        <f t="shared" si="40"/>
        <v>576</v>
      </c>
      <c r="B585" s="1" t="str">
        <f>"(6,"&amp;I585&amp;")"</f>
        <v>(6,53)</v>
      </c>
      <c r="C585" s="4">
        <v>0.5982870370370369</v>
      </c>
      <c r="D585" s="4">
        <v>0.59843749999999984</v>
      </c>
      <c r="E585" s="2">
        <v>11.629999999999999</v>
      </c>
      <c r="F585" s="2">
        <v>11.719999999999999</v>
      </c>
      <c r="G585" s="1" t="s">
        <v>26</v>
      </c>
      <c r="H585" s="4">
        <f t="shared" si="42"/>
        <v>1.5046296296294948E-4</v>
      </c>
      <c r="I585">
        <f t="shared" si="48"/>
        <v>53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ht="14.25" customHeight="1" x14ac:dyDescent="0.3">
      <c r="A586" s="1">
        <f t="shared" si="40"/>
        <v>577</v>
      </c>
      <c r="B586" s="1" t="str">
        <f>"(7,"&amp;I586&amp;")"</f>
        <v>(7,53)</v>
      </c>
      <c r="C586" s="4">
        <v>0.59871527777777767</v>
      </c>
      <c r="D586" s="4">
        <v>0.59885416666666658</v>
      </c>
      <c r="E586" s="2">
        <v>11.629999999999999</v>
      </c>
      <c r="F586" s="2">
        <v>11.649999999999999</v>
      </c>
      <c r="G586" s="1" t="s">
        <v>26</v>
      </c>
      <c r="H586" s="4">
        <f t="shared" si="42"/>
        <v>1.388888888889106E-4</v>
      </c>
      <c r="I586">
        <f t="shared" si="48"/>
        <v>53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ht="14.25" customHeight="1" x14ac:dyDescent="0.3">
      <c r="A587" s="1">
        <f t="shared" si="40"/>
        <v>578</v>
      </c>
      <c r="B587" s="1" t="str">
        <f>"(8,"&amp;I587&amp;")"</f>
        <v>(8,53)</v>
      </c>
      <c r="C587" s="4">
        <v>0.5991319444444444</v>
      </c>
      <c r="D587" s="4">
        <v>0.59928240740740735</v>
      </c>
      <c r="E587" s="2">
        <v>11.629999999999999</v>
      </c>
      <c r="F587" s="2">
        <v>11.69</v>
      </c>
      <c r="G587" s="1" t="s">
        <v>26</v>
      </c>
      <c r="H587" s="4">
        <f t="shared" si="42"/>
        <v>1.5046296296294948E-4</v>
      </c>
      <c r="I587">
        <f t="shared" si="48"/>
        <v>53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ht="14.25" customHeight="1" x14ac:dyDescent="0.3">
      <c r="A588" s="1">
        <f t="shared" si="40"/>
        <v>579</v>
      </c>
      <c r="B588" s="1" t="str">
        <f>"(9,"&amp;I588&amp;")"</f>
        <v>(9,53)</v>
      </c>
      <c r="C588" s="4">
        <v>0.59954861111111102</v>
      </c>
      <c r="D588" s="4">
        <v>0.59968749999999993</v>
      </c>
      <c r="E588" s="2">
        <v>11.629999999999999</v>
      </c>
      <c r="F588" s="2">
        <v>11.649999999999999</v>
      </c>
      <c r="G588" s="1" t="s">
        <v>26</v>
      </c>
      <c r="H588" s="4">
        <f t="shared" ref="H588:H651" si="49">D588-C588</f>
        <v>1.388888888889106E-4</v>
      </c>
      <c r="I588">
        <f t="shared" si="48"/>
        <v>53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ht="14.25" customHeight="1" x14ac:dyDescent="0.3">
      <c r="A589" s="1">
        <f t="shared" si="40"/>
        <v>580</v>
      </c>
      <c r="B589" s="1" t="str">
        <f>"(10,"&amp;I589&amp;")"</f>
        <v>(10,53)</v>
      </c>
      <c r="C589" s="4">
        <v>0.59997685185185179</v>
      </c>
      <c r="D589" s="4">
        <v>0.60013888888888878</v>
      </c>
      <c r="E589" s="2">
        <v>11.629999999999999</v>
      </c>
      <c r="F589" s="2">
        <v>11.709999999999999</v>
      </c>
      <c r="G589" s="1" t="s">
        <v>26</v>
      </c>
      <c r="H589" s="4">
        <f t="shared" si="49"/>
        <v>1.6203703703698835E-4</v>
      </c>
      <c r="I589">
        <f t="shared" si="48"/>
        <v>53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ht="14.25" customHeight="1" x14ac:dyDescent="0.3">
      <c r="A590" s="1">
        <f t="shared" si="40"/>
        <v>581</v>
      </c>
      <c r="B590" s="1" t="str">
        <f>"(11,"&amp;I590&amp;")"</f>
        <v>(11,53)</v>
      </c>
      <c r="C590" s="4">
        <v>0.60039351851851841</v>
      </c>
      <c r="D590" s="4">
        <v>0.60054398148148136</v>
      </c>
      <c r="E590" s="2">
        <v>11.629999999999999</v>
      </c>
      <c r="F590" s="2">
        <v>11.76</v>
      </c>
      <c r="G590" s="1" t="s">
        <v>26</v>
      </c>
      <c r="H590" s="4">
        <f t="shared" si="49"/>
        <v>1.5046296296294948E-4</v>
      </c>
      <c r="I590">
        <f t="shared" si="48"/>
        <v>53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ht="14.25" customHeight="1" x14ac:dyDescent="0.3">
      <c r="A591" s="1">
        <f t="shared" si="40"/>
        <v>582</v>
      </c>
      <c r="B591" s="1" t="str">
        <f>"(11,"&amp;I591&amp;")"</f>
        <v>(11,54)</v>
      </c>
      <c r="C591" s="4">
        <v>0.60078703703703695</v>
      </c>
      <c r="D591" s="4">
        <v>0.60096064814814809</v>
      </c>
      <c r="E591" s="2">
        <v>11.629999999999999</v>
      </c>
      <c r="F591" s="2">
        <v>11.659999999999998</v>
      </c>
      <c r="G591" s="1" t="s">
        <v>26</v>
      </c>
      <c r="H591" s="4">
        <f t="shared" si="49"/>
        <v>1.7361111111113825E-4</v>
      </c>
      <c r="I591">
        <f>I590+1</f>
        <v>54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ht="14.25" customHeight="1" x14ac:dyDescent="0.3">
      <c r="A592" s="1">
        <f t="shared" si="40"/>
        <v>583</v>
      </c>
      <c r="B592" s="1" t="str">
        <f>"(10,"&amp;I592&amp;")"</f>
        <v>(10,54)</v>
      </c>
      <c r="C592" s="4">
        <v>0.60124999999999995</v>
      </c>
      <c r="D592" s="4">
        <v>0.6014004629629629</v>
      </c>
      <c r="E592" s="2">
        <v>11.629999999999999</v>
      </c>
      <c r="F592" s="2">
        <v>11.669999999999998</v>
      </c>
      <c r="G592" s="1" t="s">
        <v>26</v>
      </c>
      <c r="H592" s="4">
        <f t="shared" si="49"/>
        <v>1.5046296296294948E-4</v>
      </c>
      <c r="I592">
        <f>I591</f>
        <v>54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1:110" ht="14.25" customHeight="1" x14ac:dyDescent="0.3">
      <c r="A593" s="1">
        <f t="shared" si="40"/>
        <v>584</v>
      </c>
      <c r="B593" s="1" t="str">
        <f>"(9,"&amp;I593&amp;")"</f>
        <v>(9,54)</v>
      </c>
      <c r="C593" s="4">
        <v>0.60168981481481476</v>
      </c>
      <c r="D593" s="4">
        <v>0.60184027777777771</v>
      </c>
      <c r="E593" s="2">
        <v>11.629999999999999</v>
      </c>
      <c r="F593" s="2">
        <v>11.76</v>
      </c>
      <c r="G593" s="1" t="s">
        <v>26</v>
      </c>
      <c r="H593" s="4">
        <f t="shared" si="49"/>
        <v>1.5046296296294948E-4</v>
      </c>
      <c r="I593">
        <f t="shared" ref="I593:I601" si="50">I592</f>
        <v>54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1:110" ht="14.25" customHeight="1" x14ac:dyDescent="0.3">
      <c r="A594" s="1">
        <f t="shared" si="40"/>
        <v>585</v>
      </c>
      <c r="B594" s="1" t="str">
        <f>"(8,"&amp;I594&amp;")"</f>
        <v>(8,54)</v>
      </c>
      <c r="C594" s="4">
        <v>0.60210648148148138</v>
      </c>
      <c r="D594" s="4">
        <v>0.60225694444444433</v>
      </c>
      <c r="E594" s="2">
        <v>11.629999999999999</v>
      </c>
      <c r="F594" s="2">
        <v>11.749999999999998</v>
      </c>
      <c r="G594" s="1" t="s">
        <v>26</v>
      </c>
      <c r="H594" s="4">
        <f t="shared" si="49"/>
        <v>1.5046296296294948E-4</v>
      </c>
      <c r="I594">
        <f t="shared" si="50"/>
        <v>54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1:110" ht="14.25" customHeight="1" x14ac:dyDescent="0.3">
      <c r="A595" s="1">
        <f t="shared" si="40"/>
        <v>586</v>
      </c>
      <c r="B595" s="1" t="str">
        <f>"(7,"&amp;I595&amp;")"</f>
        <v>(7,54)</v>
      </c>
      <c r="C595" s="4">
        <v>0.60251157407407396</v>
      </c>
      <c r="D595" s="4">
        <v>0.6026851851851851</v>
      </c>
      <c r="E595" s="2">
        <v>11.629999999999999</v>
      </c>
      <c r="F595" s="2">
        <v>11.669999999999998</v>
      </c>
      <c r="G595" s="1" t="s">
        <v>26</v>
      </c>
      <c r="H595" s="4">
        <f t="shared" si="49"/>
        <v>1.7361111111113825E-4</v>
      </c>
      <c r="I595">
        <f t="shared" si="50"/>
        <v>54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1:110" ht="14.25" customHeight="1" x14ac:dyDescent="0.3">
      <c r="A596" s="1">
        <f t="shared" si="40"/>
        <v>587</v>
      </c>
      <c r="B596" s="1" t="str">
        <f>"(6,"&amp;I596&amp;")"</f>
        <v>(6,54)</v>
      </c>
      <c r="C596" s="4">
        <v>0.60293981481481473</v>
      </c>
      <c r="D596" s="4">
        <v>0.60309027777777768</v>
      </c>
      <c r="E596" s="2">
        <v>11.629999999999999</v>
      </c>
      <c r="F596" s="2">
        <v>11.69</v>
      </c>
      <c r="G596" s="1" t="s">
        <v>26</v>
      </c>
      <c r="H596" s="4">
        <f t="shared" si="49"/>
        <v>1.5046296296294948E-4</v>
      </c>
      <c r="I596">
        <f t="shared" si="50"/>
        <v>54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1:110" ht="14.25" customHeight="1" x14ac:dyDescent="0.3">
      <c r="A597" s="1">
        <f t="shared" si="40"/>
        <v>588</v>
      </c>
      <c r="B597" s="1" t="str">
        <f>"(5,"&amp;I597&amp;")"</f>
        <v>(5,54)</v>
      </c>
      <c r="C597" s="4">
        <v>0.60337962962962954</v>
      </c>
      <c r="D597" s="4">
        <v>0.60351851851851845</v>
      </c>
      <c r="E597" s="2">
        <v>11.629999999999999</v>
      </c>
      <c r="F597" s="2">
        <v>11.749999999999998</v>
      </c>
      <c r="G597" s="1" t="s">
        <v>26</v>
      </c>
      <c r="H597" s="4">
        <f t="shared" si="49"/>
        <v>1.388888888889106E-4</v>
      </c>
      <c r="I597">
        <f t="shared" si="50"/>
        <v>54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1:110" ht="14.25" customHeight="1" x14ac:dyDescent="0.3">
      <c r="A598" s="1">
        <f t="shared" si="40"/>
        <v>589</v>
      </c>
      <c r="B598" s="1" t="str">
        <f>"(4,"&amp;I598&amp;")"</f>
        <v>(4,54)</v>
      </c>
      <c r="C598" s="4">
        <v>0.60378472222222213</v>
      </c>
      <c r="D598" s="4">
        <v>0.60395833333333326</v>
      </c>
      <c r="E598" s="2">
        <v>11.629999999999999</v>
      </c>
      <c r="F598" s="2">
        <v>11.669999999999998</v>
      </c>
      <c r="G598" s="1" t="s">
        <v>26</v>
      </c>
      <c r="H598" s="4">
        <f t="shared" si="49"/>
        <v>1.7361111111113825E-4</v>
      </c>
      <c r="I598">
        <f t="shared" si="50"/>
        <v>54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1:110" ht="14.25" customHeight="1" x14ac:dyDescent="0.3">
      <c r="A599" s="1">
        <f t="shared" si="40"/>
        <v>590</v>
      </c>
      <c r="B599" s="1" t="str">
        <f>"(3,"&amp;I599&amp;")"</f>
        <v>(3,54)</v>
      </c>
      <c r="C599" s="4">
        <v>0.60422453703703694</v>
      </c>
      <c r="D599" s="4">
        <v>0.60439814814814807</v>
      </c>
      <c r="E599" s="2">
        <v>11.629999999999999</v>
      </c>
      <c r="F599" s="2">
        <v>11.69</v>
      </c>
      <c r="G599" s="1" t="s">
        <v>26</v>
      </c>
      <c r="H599" s="4">
        <f t="shared" si="49"/>
        <v>1.7361111111113825E-4</v>
      </c>
      <c r="I599">
        <f t="shared" si="50"/>
        <v>54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1:110" ht="14.25" customHeight="1" x14ac:dyDescent="0.3">
      <c r="A600" s="1">
        <f t="shared" si="40"/>
        <v>591</v>
      </c>
      <c r="B600" s="1" t="str">
        <f>"(2,"&amp;I600&amp;")"</f>
        <v>(2,54)</v>
      </c>
      <c r="C600" s="4">
        <v>0.60467592592592589</v>
      </c>
      <c r="D600" s="4">
        <v>0.60481481481481481</v>
      </c>
      <c r="E600" s="2">
        <v>11.629999999999999</v>
      </c>
      <c r="F600" s="2">
        <v>11.719999999999999</v>
      </c>
      <c r="G600" s="1" t="s">
        <v>26</v>
      </c>
      <c r="H600" s="4">
        <f t="shared" si="49"/>
        <v>1.388888888889106E-4</v>
      </c>
      <c r="I600">
        <f t="shared" si="50"/>
        <v>54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1:110" ht="14.25" customHeight="1" x14ac:dyDescent="0.3">
      <c r="A601" s="1">
        <f t="shared" si="40"/>
        <v>592</v>
      </c>
      <c r="B601" s="1" t="str">
        <f>"(1,"&amp;I601&amp;")"</f>
        <v>(1,54)</v>
      </c>
      <c r="C601" s="4">
        <v>0.60509259259259263</v>
      </c>
      <c r="D601" s="4">
        <v>0.60526620370370376</v>
      </c>
      <c r="E601" s="2">
        <v>11.629999999999999</v>
      </c>
      <c r="F601" s="2">
        <v>11.669999999999998</v>
      </c>
      <c r="G601" s="1" t="s">
        <v>26</v>
      </c>
      <c r="H601" s="4">
        <f t="shared" si="49"/>
        <v>1.7361111111113825E-4</v>
      </c>
      <c r="I601">
        <f t="shared" si="50"/>
        <v>54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1:110" ht="14.25" customHeight="1" x14ac:dyDescent="0.3">
      <c r="A602" s="1">
        <f t="shared" si="40"/>
        <v>593</v>
      </c>
      <c r="B602" s="1" t="str">
        <f>"(1,"&amp;I602&amp;")"</f>
        <v>(1,55)</v>
      </c>
      <c r="C602" s="4">
        <v>0.60550925925925936</v>
      </c>
      <c r="D602" s="4">
        <v>0.60565972222222231</v>
      </c>
      <c r="E602" s="2">
        <v>11.629999999999999</v>
      </c>
      <c r="F602" s="2">
        <v>11.709999999999999</v>
      </c>
      <c r="G602" s="1" t="s">
        <v>26</v>
      </c>
      <c r="H602" s="4">
        <f t="shared" si="49"/>
        <v>1.5046296296294948E-4</v>
      </c>
      <c r="I602">
        <f>I601+1</f>
        <v>55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1:110" ht="14.25" customHeight="1" x14ac:dyDescent="0.3">
      <c r="A603" s="1">
        <f t="shared" si="40"/>
        <v>594</v>
      </c>
      <c r="B603" s="1" t="str">
        <f>"(2,"&amp;I603&amp;")"</f>
        <v>(2,55)</v>
      </c>
      <c r="C603" s="4">
        <v>0.60593750000000013</v>
      </c>
      <c r="D603" s="4">
        <v>0.60609953703703712</v>
      </c>
      <c r="E603" s="2">
        <v>11.629999999999999</v>
      </c>
      <c r="F603" s="2">
        <v>11.68</v>
      </c>
      <c r="G603" s="1" t="s">
        <v>26</v>
      </c>
      <c r="H603" s="4">
        <f t="shared" si="49"/>
        <v>1.6203703703698835E-4</v>
      </c>
      <c r="I603">
        <f>I602</f>
        <v>55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1:110" ht="14.25" customHeight="1" x14ac:dyDescent="0.3">
      <c r="A604" s="1">
        <f t="shared" si="40"/>
        <v>595</v>
      </c>
      <c r="B604" s="1" t="str">
        <f>"(3,"&amp;I604&amp;")"</f>
        <v>(3,55)</v>
      </c>
      <c r="C604" s="4">
        <v>0.60634259259259271</v>
      </c>
      <c r="D604" s="4">
        <v>0.6065046296296297</v>
      </c>
      <c r="E604" s="2">
        <v>11.629999999999999</v>
      </c>
      <c r="F604" s="2">
        <v>11.749999999999998</v>
      </c>
      <c r="G604" s="1" t="s">
        <v>26</v>
      </c>
      <c r="H604" s="4">
        <f t="shared" si="49"/>
        <v>1.6203703703698835E-4</v>
      </c>
      <c r="I604">
        <f t="shared" ref="I604:I612" si="51">I603</f>
        <v>55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1:110" ht="14.25" customHeight="1" x14ac:dyDescent="0.3">
      <c r="A605" s="1">
        <f t="shared" si="40"/>
        <v>596</v>
      </c>
      <c r="B605" s="1" t="str">
        <f>"(4,"&amp;I605&amp;")"</f>
        <v>(4,55)</v>
      </c>
      <c r="C605" s="4">
        <v>0.60678240740740752</v>
      </c>
      <c r="D605" s="4">
        <v>0.60693287037037047</v>
      </c>
      <c r="E605" s="2">
        <v>11.629999999999999</v>
      </c>
      <c r="F605" s="2">
        <v>11.7</v>
      </c>
      <c r="G605" s="1" t="s">
        <v>26</v>
      </c>
      <c r="H605" s="4">
        <f t="shared" si="49"/>
        <v>1.5046296296294948E-4</v>
      </c>
      <c r="I605">
        <f t="shared" si="51"/>
        <v>55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1:110" ht="14.25" customHeight="1" x14ac:dyDescent="0.3">
      <c r="A606" s="1">
        <f t="shared" si="40"/>
        <v>597</v>
      </c>
      <c r="B606" s="1" t="str">
        <f>"(5,"&amp;I606&amp;")"</f>
        <v>(5,55)</v>
      </c>
      <c r="C606" s="4">
        <v>0.60721064814814829</v>
      </c>
      <c r="D606" s="4">
        <v>0.6073495370370372</v>
      </c>
      <c r="E606" s="2">
        <v>11.629999999999999</v>
      </c>
      <c r="F606" s="2">
        <v>11.749999999999998</v>
      </c>
      <c r="G606" s="1" t="s">
        <v>26</v>
      </c>
      <c r="H606" s="4">
        <f t="shared" si="49"/>
        <v>1.388888888889106E-4</v>
      </c>
      <c r="I606">
        <f t="shared" si="51"/>
        <v>55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1:110" ht="14.25" customHeight="1" x14ac:dyDescent="0.3">
      <c r="A607" s="1">
        <f t="shared" si="40"/>
        <v>598</v>
      </c>
      <c r="B607" s="1" t="str">
        <f>"(6,"&amp;I607&amp;")"</f>
        <v>(6,55)</v>
      </c>
      <c r="C607" s="4">
        <v>0.60761574074074087</v>
      </c>
      <c r="D607" s="4">
        <v>0.60777777777777786</v>
      </c>
      <c r="E607" s="2">
        <v>11.629999999999999</v>
      </c>
      <c r="F607" s="2">
        <v>11.78</v>
      </c>
      <c r="G607" s="1" t="s">
        <v>26</v>
      </c>
      <c r="H607" s="4">
        <f t="shared" si="49"/>
        <v>1.6203703703698835E-4</v>
      </c>
      <c r="I607">
        <f t="shared" si="51"/>
        <v>55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1:110" ht="14.25" customHeight="1" x14ac:dyDescent="0.3">
      <c r="A608" s="1">
        <f t="shared" si="40"/>
        <v>599</v>
      </c>
      <c r="B608" s="1" t="str">
        <f>"(7,"&amp;I608&amp;")"</f>
        <v>(7,55)</v>
      </c>
      <c r="C608" s="4">
        <v>0.60806712962962972</v>
      </c>
      <c r="D608" s="4">
        <v>0.60822916666666671</v>
      </c>
      <c r="E608" s="2">
        <v>11.629999999999999</v>
      </c>
      <c r="F608" s="2">
        <v>11.739999999999998</v>
      </c>
      <c r="G608" s="1" t="s">
        <v>26</v>
      </c>
      <c r="H608" s="4">
        <f t="shared" si="49"/>
        <v>1.6203703703698835E-4</v>
      </c>
      <c r="I608">
        <f t="shared" si="51"/>
        <v>55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1:110" ht="14.25" customHeight="1" x14ac:dyDescent="0.3">
      <c r="A609" s="1">
        <f t="shared" si="40"/>
        <v>600</v>
      </c>
      <c r="B609" s="1" t="str">
        <f>"(8,"&amp;I609&amp;")"</f>
        <v>(8,55)</v>
      </c>
      <c r="C609" s="4">
        <v>0.60849537037037038</v>
      </c>
      <c r="D609" s="4">
        <v>0.60865740740740737</v>
      </c>
      <c r="E609" s="2">
        <v>11.629999999999999</v>
      </c>
      <c r="F609" s="2">
        <v>11.76</v>
      </c>
      <c r="G609" s="1" t="s">
        <v>26</v>
      </c>
      <c r="H609" s="4">
        <f t="shared" si="49"/>
        <v>1.6203703703698835E-4</v>
      </c>
      <c r="I609">
        <f t="shared" si="51"/>
        <v>55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1:110" ht="14.25" customHeight="1" x14ac:dyDescent="0.3">
      <c r="A610" s="1">
        <f t="shared" si="40"/>
        <v>601</v>
      </c>
      <c r="B610" s="1" t="str">
        <f>"(9,"&amp;I610&amp;")"</f>
        <v>(9,55)</v>
      </c>
      <c r="C610" s="4">
        <v>0.60893518518518519</v>
      </c>
      <c r="D610" s="4">
        <v>0.6090740740740741</v>
      </c>
      <c r="E610" s="2">
        <v>11.629999999999999</v>
      </c>
      <c r="F610" s="2">
        <v>11.68</v>
      </c>
      <c r="G610" s="1" t="s">
        <v>26</v>
      </c>
      <c r="H610" s="4">
        <f t="shared" si="49"/>
        <v>1.388888888889106E-4</v>
      </c>
      <c r="I610">
        <f t="shared" si="51"/>
        <v>55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1:110" ht="14.25" customHeight="1" x14ac:dyDescent="0.3">
      <c r="A611" s="1">
        <f t="shared" si="40"/>
        <v>602</v>
      </c>
      <c r="B611" s="1" t="str">
        <f>"(10,"&amp;I611&amp;")"</f>
        <v>(10,55)</v>
      </c>
      <c r="C611" s="4">
        <v>0.60934027777777777</v>
      </c>
      <c r="D611" s="4">
        <v>0.60950231481481476</v>
      </c>
      <c r="E611" s="2">
        <v>11.629999999999999</v>
      </c>
      <c r="F611" s="2">
        <v>11.78</v>
      </c>
      <c r="G611" s="1" t="s">
        <v>26</v>
      </c>
      <c r="H611" s="4">
        <f t="shared" si="49"/>
        <v>1.6203703703698835E-4</v>
      </c>
      <c r="I611">
        <f t="shared" si="51"/>
        <v>55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1:110" ht="14.25" customHeight="1" x14ac:dyDescent="0.3">
      <c r="A612" s="1">
        <f t="shared" si="40"/>
        <v>603</v>
      </c>
      <c r="B612" s="1" t="str">
        <f>"(11,"&amp;I612&amp;")"</f>
        <v>(11,55)</v>
      </c>
      <c r="C612" s="4">
        <v>0.60976851851851843</v>
      </c>
      <c r="D612" s="4">
        <v>0.60994212962962957</v>
      </c>
      <c r="E612" s="2">
        <v>11.629999999999999</v>
      </c>
      <c r="F612" s="2">
        <v>11.739999999999998</v>
      </c>
      <c r="G612" s="1" t="s">
        <v>26</v>
      </c>
      <c r="H612" s="4">
        <f t="shared" si="49"/>
        <v>1.7361111111113825E-4</v>
      </c>
      <c r="I612">
        <f t="shared" si="51"/>
        <v>55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1:110" ht="14.25" customHeight="1" x14ac:dyDescent="0.3">
      <c r="A613" s="1">
        <f t="shared" si="40"/>
        <v>604</v>
      </c>
      <c r="B613" s="1" t="str">
        <f>"(11,"&amp;I613&amp;")"</f>
        <v>(11,56)</v>
      </c>
      <c r="C613" s="4">
        <v>0.6101967592592592</v>
      </c>
      <c r="D613" s="4">
        <v>0.61034722222222215</v>
      </c>
      <c r="E613" s="2">
        <v>11.629999999999999</v>
      </c>
      <c r="F613" s="2">
        <v>11.76</v>
      </c>
      <c r="G613" s="1" t="s">
        <v>26</v>
      </c>
      <c r="H613" s="4">
        <f t="shared" si="49"/>
        <v>1.5046296296294948E-4</v>
      </c>
      <c r="I613">
        <f>I612+1</f>
        <v>56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1:110" ht="14.25" customHeight="1" x14ac:dyDescent="0.3">
      <c r="A614" s="1">
        <f t="shared" si="40"/>
        <v>605</v>
      </c>
      <c r="B614" s="1" t="str">
        <f>"(10,"&amp;I614&amp;")"</f>
        <v>(10,56)</v>
      </c>
      <c r="C614" s="4">
        <v>0.61059027777777775</v>
      </c>
      <c r="D614" s="4">
        <v>0.61076388888888888</v>
      </c>
      <c r="E614" s="2">
        <v>11.629999999999999</v>
      </c>
      <c r="F614" s="2">
        <v>11.69</v>
      </c>
      <c r="G614" s="1" t="s">
        <v>26</v>
      </c>
      <c r="H614" s="4">
        <f t="shared" si="49"/>
        <v>1.7361111111113825E-4</v>
      </c>
      <c r="I614">
        <f>I613</f>
        <v>56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1:110" ht="14.25" customHeight="1" x14ac:dyDescent="0.3">
      <c r="A615" s="1">
        <f t="shared" si="40"/>
        <v>606</v>
      </c>
      <c r="B615" s="1" t="str">
        <f>"(9,"&amp;I615&amp;")"</f>
        <v>(9,56)</v>
      </c>
      <c r="C615" s="4">
        <v>0.61104166666666671</v>
      </c>
      <c r="D615" s="4">
        <v>0.61118055555555562</v>
      </c>
      <c r="E615" s="2">
        <v>11.629999999999999</v>
      </c>
      <c r="F615" s="2">
        <v>11.709999999999999</v>
      </c>
      <c r="G615" s="1" t="s">
        <v>26</v>
      </c>
      <c r="H615" s="4">
        <f t="shared" si="49"/>
        <v>1.388888888889106E-4</v>
      </c>
      <c r="I615">
        <f t="shared" ref="I615:I623" si="52">I614</f>
        <v>56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1:110" ht="14.25" customHeight="1" x14ac:dyDescent="0.3">
      <c r="A616" s="1">
        <f t="shared" si="40"/>
        <v>607</v>
      </c>
      <c r="B616" s="1" t="str">
        <f>"(8,"&amp;I616&amp;")"</f>
        <v>(8,56)</v>
      </c>
      <c r="C616" s="4">
        <v>0.61145833333333344</v>
      </c>
      <c r="D616" s="4">
        <v>0.61162037037037043</v>
      </c>
      <c r="E616" s="2">
        <v>11.629999999999999</v>
      </c>
      <c r="F616" s="2">
        <v>11.719999999999999</v>
      </c>
      <c r="G616" s="1" t="s">
        <v>26</v>
      </c>
      <c r="H616" s="4">
        <f t="shared" si="49"/>
        <v>1.6203703703698835E-4</v>
      </c>
      <c r="I616">
        <f t="shared" si="52"/>
        <v>56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1:110" ht="14.25" customHeight="1" x14ac:dyDescent="0.3">
      <c r="A617" s="1">
        <f t="shared" si="40"/>
        <v>608</v>
      </c>
      <c r="B617" s="1" t="str">
        <f>"(7,"&amp;I617&amp;")"</f>
        <v>(7,56)</v>
      </c>
      <c r="C617" s="4">
        <v>0.61185185185185187</v>
      </c>
      <c r="D617" s="4">
        <v>0.61199074074074078</v>
      </c>
      <c r="E617" s="2">
        <v>11.629999999999999</v>
      </c>
      <c r="F617" s="2">
        <v>11.649999999999999</v>
      </c>
      <c r="G617" s="1" t="s">
        <v>26</v>
      </c>
      <c r="H617" s="4">
        <f t="shared" si="49"/>
        <v>1.388888888889106E-4</v>
      </c>
      <c r="I617">
        <f t="shared" si="52"/>
        <v>56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1:110" ht="14.25" customHeight="1" x14ac:dyDescent="0.3">
      <c r="A618" s="1">
        <f t="shared" si="40"/>
        <v>609</v>
      </c>
      <c r="B618" s="1" t="str">
        <f>"(6,"&amp;I618&amp;")"</f>
        <v>(6,56)</v>
      </c>
      <c r="C618" s="4">
        <v>0.61223379629629637</v>
      </c>
      <c r="D618" s="4">
        <v>0.61237268518518528</v>
      </c>
      <c r="E618" s="2">
        <v>11.629999999999999</v>
      </c>
      <c r="F618" s="2">
        <v>11.739999999999998</v>
      </c>
      <c r="G618" s="1" t="s">
        <v>26</v>
      </c>
      <c r="H618" s="4">
        <f t="shared" si="49"/>
        <v>1.388888888889106E-4</v>
      </c>
      <c r="I618">
        <f t="shared" si="52"/>
        <v>56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1:110" ht="14.25" customHeight="1" x14ac:dyDescent="0.3">
      <c r="A619" s="1">
        <f t="shared" si="40"/>
        <v>610</v>
      </c>
      <c r="B619" s="1" t="str">
        <f>"(5,"&amp;I619&amp;")"</f>
        <v>(5,56)</v>
      </c>
      <c r="C619" s="4">
        <v>0.61260416666666673</v>
      </c>
      <c r="D619" s="4">
        <v>0.61277777777777787</v>
      </c>
      <c r="E619" s="2">
        <v>11.629999999999999</v>
      </c>
      <c r="F619" s="2">
        <v>11.77</v>
      </c>
      <c r="G619" s="1" t="s">
        <v>26</v>
      </c>
      <c r="H619" s="4">
        <f t="shared" si="49"/>
        <v>1.7361111111113825E-4</v>
      </c>
      <c r="I619">
        <f t="shared" si="52"/>
        <v>56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1:110" ht="14.25" customHeight="1" x14ac:dyDescent="0.3">
      <c r="A620" s="1">
        <f t="shared" si="40"/>
        <v>611</v>
      </c>
      <c r="B620" s="1" t="str">
        <f>"(4,"&amp;I620&amp;")"</f>
        <v>(4,56)</v>
      </c>
      <c r="C620" s="4">
        <v>0.61304398148148154</v>
      </c>
      <c r="D620" s="4">
        <v>0.61320601851851853</v>
      </c>
      <c r="E620" s="2">
        <v>11.629999999999999</v>
      </c>
      <c r="F620" s="2">
        <v>11.69</v>
      </c>
      <c r="G620" s="1" t="s">
        <v>26</v>
      </c>
      <c r="H620" s="4">
        <f t="shared" si="49"/>
        <v>1.6203703703698835E-4</v>
      </c>
      <c r="I620">
        <f t="shared" si="52"/>
        <v>56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1:110" ht="14.25" customHeight="1" x14ac:dyDescent="0.3">
      <c r="A621" s="1">
        <f t="shared" si="40"/>
        <v>612</v>
      </c>
      <c r="B621" s="1" t="str">
        <f>"(3,"&amp;I621&amp;")"</f>
        <v>(3,56)</v>
      </c>
      <c r="C621" s="4">
        <v>0.61349537037037039</v>
      </c>
      <c r="D621" s="4">
        <v>0.61365740740740737</v>
      </c>
      <c r="E621" s="2">
        <v>11.629999999999999</v>
      </c>
      <c r="F621" s="2">
        <v>11.669999999999998</v>
      </c>
      <c r="G621" s="1" t="s">
        <v>26</v>
      </c>
      <c r="H621" s="4">
        <f t="shared" si="49"/>
        <v>1.6203703703698835E-4</v>
      </c>
      <c r="I621">
        <f t="shared" si="52"/>
        <v>56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1:110" ht="14.25" customHeight="1" x14ac:dyDescent="0.3">
      <c r="A622" s="1">
        <f t="shared" si="40"/>
        <v>613</v>
      </c>
      <c r="B622" s="1" t="str">
        <f>"(2,"&amp;I622&amp;")"</f>
        <v>(2,56)</v>
      </c>
      <c r="C622" s="4">
        <v>0.61393518518518519</v>
      </c>
      <c r="D622" s="4">
        <v>0.61410879629629633</v>
      </c>
      <c r="E622" s="2">
        <v>11.629999999999999</v>
      </c>
      <c r="F622" s="2">
        <v>11.69</v>
      </c>
      <c r="G622" s="1" t="s">
        <v>26</v>
      </c>
      <c r="H622" s="4">
        <f t="shared" si="49"/>
        <v>1.7361111111113825E-4</v>
      </c>
      <c r="I622">
        <f t="shared" si="52"/>
        <v>56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1:110" ht="14.25" customHeight="1" x14ac:dyDescent="0.3">
      <c r="A623" s="1">
        <f t="shared" si="40"/>
        <v>614</v>
      </c>
      <c r="B623" s="1" t="str">
        <f>"(1,"&amp;I623&amp;")"</f>
        <v>(1,56)</v>
      </c>
      <c r="C623" s="4">
        <v>0.614375</v>
      </c>
      <c r="D623" s="4">
        <v>0.61454861111111114</v>
      </c>
      <c r="E623" s="2">
        <v>11.629999999999999</v>
      </c>
      <c r="F623" s="2">
        <v>11.719999999999999</v>
      </c>
      <c r="G623" s="1" t="s">
        <v>26</v>
      </c>
      <c r="H623" s="4">
        <f t="shared" si="49"/>
        <v>1.7361111111113825E-4</v>
      </c>
      <c r="I623">
        <f t="shared" si="52"/>
        <v>56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1:110" ht="14.25" customHeight="1" x14ac:dyDescent="0.3">
      <c r="A624" s="1">
        <f t="shared" si="40"/>
        <v>615</v>
      </c>
      <c r="B624" s="1" t="str">
        <f>"(1,"&amp;I624&amp;")"</f>
        <v>(1,57)</v>
      </c>
      <c r="C624" s="4">
        <v>0.614837962962963</v>
      </c>
      <c r="D624" s="4">
        <v>0.61501157407407414</v>
      </c>
      <c r="E624" s="2">
        <v>11.629999999999999</v>
      </c>
      <c r="F624" s="2">
        <v>11.749999999999998</v>
      </c>
      <c r="G624" s="1" t="s">
        <v>26</v>
      </c>
      <c r="H624" s="4">
        <f t="shared" si="49"/>
        <v>1.7361111111113825E-4</v>
      </c>
      <c r="I624">
        <f>I623+1</f>
        <v>57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1:110" ht="14.25" customHeight="1" x14ac:dyDescent="0.3">
      <c r="A625" s="1">
        <f t="shared" si="40"/>
        <v>616</v>
      </c>
      <c r="B625" s="1" t="str">
        <f>"(2,"&amp;I625&amp;")"</f>
        <v>(2,57)</v>
      </c>
      <c r="C625" s="4">
        <v>0.61528935185185196</v>
      </c>
      <c r="D625" s="4">
        <v>0.61543981481481491</v>
      </c>
      <c r="E625" s="2">
        <v>11.629999999999999</v>
      </c>
      <c r="F625" s="2">
        <v>11.7</v>
      </c>
      <c r="G625" s="1" t="s">
        <v>26</v>
      </c>
      <c r="H625" s="4">
        <f t="shared" si="49"/>
        <v>1.5046296296294948E-4</v>
      </c>
      <c r="I625">
        <f>I624</f>
        <v>57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1:110" ht="14.25" customHeight="1" x14ac:dyDescent="0.3">
      <c r="A626" s="1">
        <f t="shared" si="40"/>
        <v>617</v>
      </c>
      <c r="B626" s="1" t="str">
        <f>"(3,"&amp;I626&amp;")"</f>
        <v>(3,57)</v>
      </c>
      <c r="C626" s="4">
        <v>0.61572916666666677</v>
      </c>
      <c r="D626" s="4">
        <v>0.61587962962962972</v>
      </c>
      <c r="E626" s="2">
        <v>11.629999999999999</v>
      </c>
      <c r="F626" s="2">
        <v>11.69</v>
      </c>
      <c r="G626" s="1" t="s">
        <v>26</v>
      </c>
      <c r="H626" s="4">
        <f t="shared" si="49"/>
        <v>1.5046296296294948E-4</v>
      </c>
      <c r="I626">
        <f t="shared" ref="I626:I634" si="53">I625</f>
        <v>57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1:110" ht="14.25" customHeight="1" x14ac:dyDescent="0.3">
      <c r="A627" s="1">
        <f t="shared" si="40"/>
        <v>618</v>
      </c>
      <c r="B627" s="1" t="str">
        <f>"(4,"&amp;I627&amp;")"</f>
        <v>(4,57)</v>
      </c>
      <c r="C627" s="4">
        <v>0.61611111111111116</v>
      </c>
      <c r="D627" s="4">
        <v>0.61626157407407411</v>
      </c>
      <c r="E627" s="2">
        <v>11.629999999999999</v>
      </c>
      <c r="F627" s="2">
        <v>11.709999999999999</v>
      </c>
      <c r="G627" s="1" t="s">
        <v>26</v>
      </c>
      <c r="H627" s="4">
        <f t="shared" si="49"/>
        <v>1.5046296296294948E-4</v>
      </c>
      <c r="I627">
        <f t="shared" si="53"/>
        <v>57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1:110" ht="14.25" customHeight="1" x14ac:dyDescent="0.3">
      <c r="A628" s="1">
        <f t="shared" si="40"/>
        <v>619</v>
      </c>
      <c r="B628" s="1" t="str">
        <f>"(5,"&amp;I628&amp;")"</f>
        <v>(5,57)</v>
      </c>
      <c r="C628" s="4">
        <v>0.61652777777777779</v>
      </c>
      <c r="D628" s="4">
        <v>0.61670138888888892</v>
      </c>
      <c r="E628" s="2">
        <v>11.629999999999999</v>
      </c>
      <c r="F628" s="2">
        <v>11.729999999999999</v>
      </c>
      <c r="G628" s="1" t="s">
        <v>26</v>
      </c>
      <c r="H628" s="4">
        <f t="shared" si="49"/>
        <v>1.7361111111113825E-4</v>
      </c>
      <c r="I628">
        <f t="shared" si="53"/>
        <v>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1:110" ht="14.25" customHeight="1" x14ac:dyDescent="0.3">
      <c r="A629" s="1">
        <f t="shared" si="40"/>
        <v>620</v>
      </c>
      <c r="B629" s="1" t="str">
        <f>"(6,"&amp;I629&amp;")"</f>
        <v>(6,57)</v>
      </c>
      <c r="C629" s="4">
        <v>0.61697916666666675</v>
      </c>
      <c r="D629" s="4">
        <v>0.61712962962962969</v>
      </c>
      <c r="E629" s="2">
        <v>11.629999999999999</v>
      </c>
      <c r="F629" s="2">
        <v>11.78</v>
      </c>
      <c r="G629" s="1" t="s">
        <v>26</v>
      </c>
      <c r="H629" s="4">
        <f t="shared" si="49"/>
        <v>1.5046296296294948E-4</v>
      </c>
      <c r="I629">
        <f t="shared" si="53"/>
        <v>57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1:110" ht="14.25" customHeight="1" x14ac:dyDescent="0.3">
      <c r="A630" s="1">
        <f t="shared" si="40"/>
        <v>621</v>
      </c>
      <c r="B630" s="1" t="str">
        <f>"(7,"&amp;I630&amp;")"</f>
        <v>(7,57)</v>
      </c>
      <c r="C630" s="4">
        <v>0.61736111111111114</v>
      </c>
      <c r="D630" s="4">
        <v>0.61753472222222228</v>
      </c>
      <c r="E630" s="2">
        <v>11.629999999999999</v>
      </c>
      <c r="F630" s="2">
        <v>11.729999999999999</v>
      </c>
      <c r="G630" s="1" t="s">
        <v>26</v>
      </c>
      <c r="H630" s="4">
        <f t="shared" si="49"/>
        <v>1.7361111111113825E-4</v>
      </c>
      <c r="I630">
        <f t="shared" si="53"/>
        <v>57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1:110" ht="14.25" customHeight="1" x14ac:dyDescent="0.3">
      <c r="A631" s="1">
        <f t="shared" si="40"/>
        <v>622</v>
      </c>
      <c r="B631" s="1" t="str">
        <f>"(8,"&amp;I631&amp;")"</f>
        <v>(8,57)</v>
      </c>
      <c r="C631" s="4">
        <v>0.61778935185185191</v>
      </c>
      <c r="D631" s="4">
        <v>0.61793981481481486</v>
      </c>
      <c r="E631" s="2">
        <v>11.629999999999999</v>
      </c>
      <c r="F631" s="2">
        <v>11.78</v>
      </c>
      <c r="G631" s="1" t="s">
        <v>26</v>
      </c>
      <c r="H631" s="4">
        <f t="shared" si="49"/>
        <v>1.5046296296294948E-4</v>
      </c>
      <c r="I631">
        <f t="shared" si="53"/>
        <v>57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1:110" ht="14.25" customHeight="1" x14ac:dyDescent="0.3">
      <c r="A632" s="1">
        <f t="shared" si="40"/>
        <v>623</v>
      </c>
      <c r="B632" s="1" t="str">
        <f>"(9,"&amp;I632&amp;")"</f>
        <v>(9,57)</v>
      </c>
      <c r="C632" s="4">
        <v>0.61819444444444449</v>
      </c>
      <c r="D632" s="4">
        <v>0.6183333333333334</v>
      </c>
      <c r="E632" s="2">
        <v>11.629999999999999</v>
      </c>
      <c r="F632" s="2">
        <v>11.719999999999999</v>
      </c>
      <c r="G632" s="1" t="s">
        <v>26</v>
      </c>
      <c r="H632" s="4">
        <f t="shared" si="49"/>
        <v>1.388888888889106E-4</v>
      </c>
      <c r="I632">
        <f t="shared" si="53"/>
        <v>57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1:110" ht="14.25" customHeight="1" x14ac:dyDescent="0.3">
      <c r="A633" s="1">
        <f t="shared" si="40"/>
        <v>624</v>
      </c>
      <c r="B633" s="1" t="str">
        <f>"(10,"&amp;I633&amp;")"</f>
        <v>(10,57)</v>
      </c>
      <c r="C633" s="4">
        <v>0.61857638888888899</v>
      </c>
      <c r="D633" s="4">
        <v>0.61872685185185194</v>
      </c>
      <c r="E633" s="2">
        <v>11.629999999999999</v>
      </c>
      <c r="F633" s="2">
        <v>11.77</v>
      </c>
      <c r="G633" s="1" t="s">
        <v>26</v>
      </c>
      <c r="H633" s="4">
        <f t="shared" si="49"/>
        <v>1.5046296296294948E-4</v>
      </c>
      <c r="I633">
        <f t="shared" si="53"/>
        <v>57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1:110" ht="14.25" customHeight="1" x14ac:dyDescent="0.3">
      <c r="A634" s="1">
        <f t="shared" si="40"/>
        <v>625</v>
      </c>
      <c r="B634" s="1" t="str">
        <f>"(11,"&amp;I634&amp;")"</f>
        <v>(11,57)</v>
      </c>
      <c r="C634" s="4">
        <v>0.61899305555555562</v>
      </c>
      <c r="D634" s="4">
        <v>0.6191550925925926</v>
      </c>
      <c r="E634" s="2">
        <v>11.629999999999999</v>
      </c>
      <c r="F634" s="2">
        <v>11.719999999999999</v>
      </c>
      <c r="G634" s="1" t="s">
        <v>26</v>
      </c>
      <c r="H634" s="4">
        <f t="shared" si="49"/>
        <v>1.6203703703698835E-4</v>
      </c>
      <c r="I634">
        <f t="shared" si="53"/>
        <v>57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1:110" ht="14.25" customHeight="1" x14ac:dyDescent="0.3">
      <c r="A635" s="1">
        <f t="shared" si="40"/>
        <v>626</v>
      </c>
      <c r="B635" s="1" t="str">
        <f>"(11,"&amp;I635&amp;")"</f>
        <v>(11,58)</v>
      </c>
      <c r="C635" s="4">
        <v>0.61942129629629628</v>
      </c>
      <c r="D635" s="4">
        <v>0.61956018518518519</v>
      </c>
      <c r="E635" s="2">
        <v>11.629999999999999</v>
      </c>
      <c r="F635" s="2">
        <v>11.639999999999999</v>
      </c>
      <c r="G635" s="1" t="s">
        <v>26</v>
      </c>
      <c r="H635" s="4">
        <f t="shared" si="49"/>
        <v>1.388888888889106E-4</v>
      </c>
      <c r="I635">
        <f>I634+1</f>
        <v>58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1:110" ht="14.25" customHeight="1" x14ac:dyDescent="0.3">
      <c r="A636" s="1">
        <f t="shared" si="40"/>
        <v>627</v>
      </c>
      <c r="B636" s="1" t="str">
        <f>"(10,"&amp;I636&amp;")"</f>
        <v>(10,58)</v>
      </c>
      <c r="C636" s="4">
        <v>0.61980324074074078</v>
      </c>
      <c r="D636" s="4">
        <v>0.61995370370370373</v>
      </c>
      <c r="E636" s="2">
        <v>11.629999999999999</v>
      </c>
      <c r="F636" s="2">
        <v>11.729999999999999</v>
      </c>
      <c r="G636" s="1" t="s">
        <v>26</v>
      </c>
      <c r="H636" s="4">
        <f t="shared" si="49"/>
        <v>1.5046296296294948E-4</v>
      </c>
      <c r="I636">
        <f>I635</f>
        <v>58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1:110" ht="14.25" customHeight="1" x14ac:dyDescent="0.3">
      <c r="A637" s="1">
        <f t="shared" si="40"/>
        <v>628</v>
      </c>
      <c r="B637" s="1" t="str">
        <f>"(9,"&amp;I637&amp;")"</f>
        <v>(9,58)</v>
      </c>
      <c r="C637" s="4">
        <v>0.62019675925925932</v>
      </c>
      <c r="D637" s="4">
        <v>0.62037037037037046</v>
      </c>
      <c r="E637" s="2">
        <v>11.629999999999999</v>
      </c>
      <c r="F637" s="2">
        <v>11.669999999999998</v>
      </c>
      <c r="G637" s="1" t="s">
        <v>26</v>
      </c>
      <c r="H637" s="4">
        <f t="shared" si="49"/>
        <v>1.7361111111113825E-4</v>
      </c>
      <c r="I637">
        <f t="shared" ref="I637:I645" si="54">I636</f>
        <v>58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1:110" ht="14.25" customHeight="1" x14ac:dyDescent="0.3">
      <c r="A638" s="1">
        <f t="shared" si="40"/>
        <v>629</v>
      </c>
      <c r="B638" s="1" t="str">
        <f>"(8,"&amp;I638&amp;")"</f>
        <v>(8,58)</v>
      </c>
      <c r="C638" s="4">
        <v>0.62063657407407413</v>
      </c>
      <c r="D638" s="4">
        <v>0.62079861111111112</v>
      </c>
      <c r="E638" s="2">
        <v>11.629999999999999</v>
      </c>
      <c r="F638" s="2">
        <v>11.68</v>
      </c>
      <c r="G638" s="1" t="s">
        <v>26</v>
      </c>
      <c r="H638" s="4">
        <f t="shared" si="49"/>
        <v>1.6203703703698835E-4</v>
      </c>
      <c r="I638">
        <f t="shared" si="54"/>
        <v>58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1:110" ht="14.25" customHeight="1" x14ac:dyDescent="0.3">
      <c r="A639" s="1">
        <f t="shared" si="40"/>
        <v>630</v>
      </c>
      <c r="B639" s="1" t="str">
        <f>"(7,"&amp;I639&amp;")"</f>
        <v>(7,58)</v>
      </c>
      <c r="C639" s="4">
        <v>0.62104166666666671</v>
      </c>
      <c r="D639" s="4">
        <v>0.62121527777777785</v>
      </c>
      <c r="E639" s="2">
        <v>11.629999999999999</v>
      </c>
      <c r="F639" s="2">
        <v>11.78</v>
      </c>
      <c r="G639" s="1" t="s">
        <v>26</v>
      </c>
      <c r="H639" s="4">
        <f t="shared" si="49"/>
        <v>1.7361111111113825E-4</v>
      </c>
      <c r="I639">
        <f t="shared" si="54"/>
        <v>58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1:110" ht="14.25" customHeight="1" x14ac:dyDescent="0.3">
      <c r="A640" s="1">
        <f t="shared" si="40"/>
        <v>631</v>
      </c>
      <c r="B640" s="1" t="str">
        <f>"(6,"&amp;I640&amp;")"</f>
        <v>(6,58)</v>
      </c>
      <c r="C640" s="4">
        <v>0.6214467592592593</v>
      </c>
      <c r="D640" s="4">
        <v>0.62158564814814821</v>
      </c>
      <c r="E640" s="2">
        <v>11.629999999999999</v>
      </c>
      <c r="F640" s="2">
        <v>11.739999999999998</v>
      </c>
      <c r="G640" s="1" t="s">
        <v>26</v>
      </c>
      <c r="H640" s="4">
        <f t="shared" si="49"/>
        <v>1.388888888889106E-4</v>
      </c>
      <c r="I640">
        <f t="shared" si="54"/>
        <v>58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1:110" ht="14.25" customHeight="1" x14ac:dyDescent="0.3">
      <c r="A641" s="1">
        <f t="shared" si="40"/>
        <v>632</v>
      </c>
      <c r="B641" s="1" t="str">
        <f>"(5,"&amp;I641&amp;")"</f>
        <v>(5,58)</v>
      </c>
      <c r="C641" s="4">
        <v>0.62181712962962965</v>
      </c>
      <c r="D641" s="4">
        <v>0.62195601851851856</v>
      </c>
      <c r="E641" s="2">
        <v>11.629999999999999</v>
      </c>
      <c r="F641" s="2">
        <v>11.659999999999998</v>
      </c>
      <c r="G641" s="1" t="s">
        <v>26</v>
      </c>
      <c r="H641" s="4">
        <f t="shared" si="49"/>
        <v>1.388888888889106E-4</v>
      </c>
      <c r="I641">
        <f t="shared" si="54"/>
        <v>58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1:110" ht="14.25" customHeight="1" x14ac:dyDescent="0.3">
      <c r="A642" s="1">
        <f t="shared" si="40"/>
        <v>633</v>
      </c>
      <c r="B642" s="1" t="str">
        <f>"(4,"&amp;I642&amp;")"</f>
        <v>(4,58)</v>
      </c>
      <c r="C642" s="4">
        <v>0.62221064814814819</v>
      </c>
      <c r="D642" s="4">
        <v>0.62236111111111114</v>
      </c>
      <c r="E642" s="2">
        <v>11.629999999999999</v>
      </c>
      <c r="F642" s="2">
        <v>11.729999999999999</v>
      </c>
      <c r="G642" s="1" t="s">
        <v>26</v>
      </c>
      <c r="H642" s="4">
        <f t="shared" si="49"/>
        <v>1.5046296296294948E-4</v>
      </c>
      <c r="I642">
        <f t="shared" si="54"/>
        <v>58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1:110" ht="14.25" customHeight="1" x14ac:dyDescent="0.3">
      <c r="A643" s="1">
        <f t="shared" si="40"/>
        <v>634</v>
      </c>
      <c r="B643" s="1" t="str">
        <f>"(3,"&amp;I643&amp;")"</f>
        <v>(3,58)</v>
      </c>
      <c r="C643" s="4">
        <v>0.62259259259259259</v>
      </c>
      <c r="D643" s="4">
        <v>0.62275462962962957</v>
      </c>
      <c r="E643" s="2">
        <v>11.629999999999999</v>
      </c>
      <c r="F643" s="2">
        <v>11.7</v>
      </c>
      <c r="G643" s="1" t="s">
        <v>26</v>
      </c>
      <c r="H643" s="4">
        <f t="shared" si="49"/>
        <v>1.6203703703698835E-4</v>
      </c>
      <c r="I643">
        <f t="shared" si="54"/>
        <v>58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1:110" ht="14.25" customHeight="1" x14ac:dyDescent="0.3">
      <c r="A644" s="1">
        <f t="shared" si="40"/>
        <v>635</v>
      </c>
      <c r="B644" s="1" t="str">
        <f>"(2,"&amp;I644&amp;")"</f>
        <v>(2,58)</v>
      </c>
      <c r="C644" s="4">
        <v>0.62299768518518517</v>
      </c>
      <c r="D644" s="4">
        <v>0.62317129629629631</v>
      </c>
      <c r="E644" s="2">
        <v>11.629999999999999</v>
      </c>
      <c r="F644" s="2">
        <v>11.669999999999998</v>
      </c>
      <c r="G644" s="1" t="s">
        <v>26</v>
      </c>
      <c r="H644" s="4">
        <f t="shared" si="49"/>
        <v>1.7361111111113825E-4</v>
      </c>
      <c r="I644">
        <f t="shared" si="54"/>
        <v>58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1:110" ht="14.25" customHeight="1" x14ac:dyDescent="0.3">
      <c r="A645" s="1">
        <f t="shared" si="40"/>
        <v>636</v>
      </c>
      <c r="B645" s="1" t="str">
        <f>"(1,"&amp;I645&amp;")"</f>
        <v>(1,58)</v>
      </c>
      <c r="C645" s="4">
        <v>0.62343749999999998</v>
      </c>
      <c r="D645" s="4">
        <v>0.62358796296296293</v>
      </c>
      <c r="E645" s="2">
        <v>11.629999999999999</v>
      </c>
      <c r="F645" s="2">
        <v>11.739999999999998</v>
      </c>
      <c r="G645" s="1" t="s">
        <v>26</v>
      </c>
      <c r="H645" s="4">
        <f t="shared" si="49"/>
        <v>1.5046296296294948E-4</v>
      </c>
      <c r="I645">
        <f t="shared" si="54"/>
        <v>58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1:110" ht="14.25" customHeight="1" x14ac:dyDescent="0.3">
      <c r="A646" s="1">
        <f t="shared" si="40"/>
        <v>637</v>
      </c>
      <c r="B646" s="1" t="str">
        <f>"(1,"&amp;I646&amp;")"</f>
        <v>(1,59)</v>
      </c>
      <c r="C646" s="4">
        <v>0.62381944444444437</v>
      </c>
      <c r="D646" s="4">
        <v>0.62398148148148136</v>
      </c>
      <c r="E646" s="2">
        <v>11.629999999999999</v>
      </c>
      <c r="F646" s="2">
        <v>11.68</v>
      </c>
      <c r="G646" s="1" t="s">
        <v>26</v>
      </c>
      <c r="H646" s="4">
        <f t="shared" si="49"/>
        <v>1.6203703703698835E-4</v>
      </c>
      <c r="I646">
        <f>I645+1</f>
        <v>59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1:110" ht="14.25" customHeight="1" x14ac:dyDescent="0.3">
      <c r="A647" s="1">
        <f t="shared" si="40"/>
        <v>638</v>
      </c>
      <c r="B647" s="1" t="str">
        <f>"(2,"&amp;I647&amp;")"</f>
        <v>(2,59)</v>
      </c>
      <c r="C647" s="4">
        <v>0.62427083333333322</v>
      </c>
      <c r="D647" s="4">
        <v>0.62443287037037021</v>
      </c>
      <c r="E647" s="2">
        <v>11.629999999999999</v>
      </c>
      <c r="F647" s="2">
        <v>11.719999999999999</v>
      </c>
      <c r="G647" s="1" t="s">
        <v>26</v>
      </c>
      <c r="H647" s="4">
        <f t="shared" si="49"/>
        <v>1.6203703703698835E-4</v>
      </c>
      <c r="I647">
        <f>I646</f>
        <v>59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1:110" ht="14.25" customHeight="1" x14ac:dyDescent="0.3">
      <c r="A648" s="1">
        <f t="shared" si="40"/>
        <v>639</v>
      </c>
      <c r="B648" s="1" t="str">
        <f>"(3,"&amp;I648&amp;")"</f>
        <v>(3,59)</v>
      </c>
      <c r="C648" s="4">
        <v>0.62468749999999984</v>
      </c>
      <c r="D648" s="4">
        <v>0.62484953703703683</v>
      </c>
      <c r="E648" s="2">
        <v>11.629999999999999</v>
      </c>
      <c r="F648" s="2">
        <v>11.7</v>
      </c>
      <c r="G648" s="1" t="s">
        <v>26</v>
      </c>
      <c r="H648" s="4">
        <f t="shared" si="49"/>
        <v>1.6203703703698835E-4</v>
      </c>
      <c r="I648">
        <f t="shared" ref="I648:I656" si="55">I647</f>
        <v>59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1:110" ht="14.25" customHeight="1" x14ac:dyDescent="0.3">
      <c r="A649" s="1">
        <f t="shared" si="40"/>
        <v>640</v>
      </c>
      <c r="B649" s="1" t="str">
        <f>"(4,"&amp;I649&amp;")"</f>
        <v>(4,59)</v>
      </c>
      <c r="C649" s="4">
        <v>0.62509259259259242</v>
      </c>
      <c r="D649" s="4">
        <v>0.62525462962962941</v>
      </c>
      <c r="E649" s="2">
        <v>11.629999999999999</v>
      </c>
      <c r="F649" s="2">
        <v>11.709999999999999</v>
      </c>
      <c r="G649" s="1" t="s">
        <v>26</v>
      </c>
      <c r="H649" s="4">
        <f t="shared" si="49"/>
        <v>1.6203703703698835E-4</v>
      </c>
      <c r="I649">
        <f t="shared" si="55"/>
        <v>59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1:110" ht="14.25" customHeight="1" x14ac:dyDescent="0.3">
      <c r="A650" s="1">
        <f t="shared" si="40"/>
        <v>641</v>
      </c>
      <c r="B650" s="1" t="str">
        <f>"(5,"&amp;I650&amp;")"</f>
        <v>(5,59)</v>
      </c>
      <c r="C650" s="4">
        <v>0.62554398148148127</v>
      </c>
      <c r="D650" s="4">
        <v>0.62571759259259241</v>
      </c>
      <c r="E650" s="2">
        <v>11.629999999999999</v>
      </c>
      <c r="F650" s="2">
        <v>11.709999999999999</v>
      </c>
      <c r="G650" s="1" t="s">
        <v>26</v>
      </c>
      <c r="H650" s="4">
        <f t="shared" si="49"/>
        <v>1.7361111111113825E-4</v>
      </c>
      <c r="I650">
        <f t="shared" si="55"/>
        <v>59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1:110" ht="14.25" customHeight="1" x14ac:dyDescent="0.3">
      <c r="A651" s="1">
        <f t="shared" si="40"/>
        <v>642</v>
      </c>
      <c r="B651" s="1" t="str">
        <f>"(6,"&amp;I651&amp;")"</f>
        <v>(6,59)</v>
      </c>
      <c r="C651" s="4">
        <v>0.62598379629629608</v>
      </c>
      <c r="D651" s="4">
        <v>0.62614583333333307</v>
      </c>
      <c r="E651" s="2">
        <v>11.629999999999999</v>
      </c>
      <c r="F651" s="2">
        <v>11.739999999999998</v>
      </c>
      <c r="G651" s="1" t="s">
        <v>26</v>
      </c>
      <c r="H651" s="4">
        <f t="shared" si="49"/>
        <v>1.6203703703698835E-4</v>
      </c>
      <c r="I651">
        <f t="shared" si="55"/>
        <v>59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1:110" ht="14.25" customHeight="1" x14ac:dyDescent="0.3">
      <c r="A652" s="1">
        <f t="shared" si="40"/>
        <v>643</v>
      </c>
      <c r="B652" s="1" t="str">
        <f>"(7,"&amp;I652&amp;")"</f>
        <v>(7,59)</v>
      </c>
      <c r="C652" s="4">
        <v>0.62637731481481451</v>
      </c>
      <c r="D652" s="4">
        <v>0.62652777777777746</v>
      </c>
      <c r="E652" s="2">
        <v>11.629999999999999</v>
      </c>
      <c r="F652" s="2">
        <v>11.669999999999998</v>
      </c>
      <c r="G652" s="1" t="s">
        <v>26</v>
      </c>
      <c r="H652" s="4">
        <f t="shared" ref="H652:H709" si="56">D652-C652</f>
        <v>1.5046296296294948E-4</v>
      </c>
      <c r="I652">
        <f t="shared" si="55"/>
        <v>59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1:110" ht="14.25" customHeight="1" x14ac:dyDescent="0.3">
      <c r="A653" s="1">
        <f t="shared" si="40"/>
        <v>644</v>
      </c>
      <c r="B653" s="1" t="str">
        <f>"(8,"&amp;I653&amp;")"</f>
        <v>(8,59)</v>
      </c>
      <c r="C653" s="4">
        <v>0.62675925925925891</v>
      </c>
      <c r="D653" s="4">
        <v>0.62692129629629589</v>
      </c>
      <c r="E653" s="2">
        <v>11.629999999999999</v>
      </c>
      <c r="F653" s="2">
        <v>11.7</v>
      </c>
      <c r="G653" s="1" t="s">
        <v>26</v>
      </c>
      <c r="H653" s="4">
        <f t="shared" si="56"/>
        <v>1.6203703703698835E-4</v>
      </c>
      <c r="I653">
        <f t="shared" si="55"/>
        <v>59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1:110" ht="14.25" customHeight="1" x14ac:dyDescent="0.3">
      <c r="A654" s="1">
        <f t="shared" si="40"/>
        <v>645</v>
      </c>
      <c r="B654" s="1" t="str">
        <f>"(9,"&amp;I654&amp;")"</f>
        <v>(9,59)</v>
      </c>
      <c r="C654" s="4">
        <v>0.62715277777777734</v>
      </c>
      <c r="D654" s="4">
        <v>0.62731481481481433</v>
      </c>
      <c r="E654" s="2">
        <v>11.629999999999999</v>
      </c>
      <c r="F654" s="2">
        <v>11.729999999999999</v>
      </c>
      <c r="G654" s="1" t="s">
        <v>26</v>
      </c>
      <c r="H654" s="4">
        <f t="shared" si="56"/>
        <v>1.6203703703698835E-4</v>
      </c>
      <c r="I654">
        <f t="shared" si="55"/>
        <v>59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1:110" ht="14.25" customHeight="1" x14ac:dyDescent="0.3">
      <c r="A655" s="1">
        <f t="shared" si="40"/>
        <v>646</v>
      </c>
      <c r="B655" s="1" t="str">
        <f>"(10,"&amp;I655&amp;")"</f>
        <v>(10,59)</v>
      </c>
      <c r="C655" s="4">
        <v>0.62759259259259215</v>
      </c>
      <c r="D655" s="4">
        <v>0.62776620370370328</v>
      </c>
      <c r="E655" s="2">
        <v>11.629999999999999</v>
      </c>
      <c r="F655" s="2">
        <v>11.659999999999998</v>
      </c>
      <c r="G655" s="1" t="s">
        <v>26</v>
      </c>
      <c r="H655" s="4">
        <f t="shared" si="56"/>
        <v>1.7361111111113825E-4</v>
      </c>
      <c r="I655">
        <f t="shared" si="55"/>
        <v>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1:110" ht="14.25" customHeight="1" x14ac:dyDescent="0.3">
      <c r="A656" s="1">
        <f t="shared" si="40"/>
        <v>647</v>
      </c>
      <c r="B656" s="1" t="str">
        <f>"(11,"&amp;I656&amp;")"</f>
        <v>(11,59)</v>
      </c>
      <c r="C656" s="4">
        <v>0.62800925925925888</v>
      </c>
      <c r="D656" s="4">
        <v>0.62818287037037002</v>
      </c>
      <c r="E656" s="2">
        <v>11.629999999999999</v>
      </c>
      <c r="F656" s="2">
        <v>11.76</v>
      </c>
      <c r="G656" s="1" t="s">
        <v>26</v>
      </c>
      <c r="H656" s="4">
        <f t="shared" si="56"/>
        <v>1.7361111111113825E-4</v>
      </c>
      <c r="I656">
        <f t="shared" si="55"/>
        <v>59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1:110" ht="14.25" customHeight="1" x14ac:dyDescent="0.3">
      <c r="A657" s="1">
        <f t="shared" si="40"/>
        <v>648</v>
      </c>
      <c r="B657" s="1" t="str">
        <f>"(11,"&amp;I657&amp;")"</f>
        <v>(11,60)</v>
      </c>
      <c r="C657" s="4">
        <v>0.62841435185185146</v>
      </c>
      <c r="D657" s="4">
        <v>0.6285879629629626</v>
      </c>
      <c r="E657" s="2">
        <v>11.629999999999999</v>
      </c>
      <c r="F657" s="2">
        <v>11.739999999999998</v>
      </c>
      <c r="G657" s="1" t="s">
        <v>26</v>
      </c>
      <c r="H657" s="4">
        <f t="shared" si="56"/>
        <v>1.7361111111113825E-4</v>
      </c>
      <c r="I657">
        <f>I656+1</f>
        <v>60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1:110" ht="14.25" customHeight="1" x14ac:dyDescent="0.3">
      <c r="A658" s="1">
        <f t="shared" si="40"/>
        <v>649</v>
      </c>
      <c r="B658" s="1" t="str">
        <f>"(10,"&amp;I658&amp;")"</f>
        <v>(10,60)</v>
      </c>
      <c r="C658" s="4">
        <v>0.62887731481481446</v>
      </c>
      <c r="D658" s="4">
        <v>0.62901620370370337</v>
      </c>
      <c r="E658" s="2">
        <v>11.629999999999999</v>
      </c>
      <c r="F658" s="2">
        <v>11.719999999999999</v>
      </c>
      <c r="G658" s="1" t="s">
        <v>26</v>
      </c>
      <c r="H658" s="4">
        <f t="shared" si="56"/>
        <v>1.388888888889106E-4</v>
      </c>
      <c r="I658">
        <f>I657</f>
        <v>60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1:110" ht="14.25" customHeight="1" x14ac:dyDescent="0.3">
      <c r="A659" s="1">
        <f t="shared" si="40"/>
        <v>650</v>
      </c>
      <c r="B659" s="1" t="str">
        <f>"(9,"&amp;I659&amp;")"</f>
        <v>(9,60)</v>
      </c>
      <c r="C659" s="4">
        <v>0.62925925925925896</v>
      </c>
      <c r="D659" s="4">
        <v>0.62942129629629595</v>
      </c>
      <c r="E659" s="2">
        <v>11.629999999999999</v>
      </c>
      <c r="F659" s="2">
        <v>11.729999999999999</v>
      </c>
      <c r="G659" s="1" t="s">
        <v>26</v>
      </c>
      <c r="H659" s="4">
        <f t="shared" si="56"/>
        <v>1.6203703703698835E-4</v>
      </c>
      <c r="I659">
        <f t="shared" ref="I659:I667" si="57">I658</f>
        <v>60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1:110" ht="14.25" customHeight="1" x14ac:dyDescent="0.3">
      <c r="A660" s="1">
        <f t="shared" si="40"/>
        <v>651</v>
      </c>
      <c r="B660" s="1" t="str">
        <f>"(8,"&amp;I660&amp;")"</f>
        <v>(8,60)</v>
      </c>
      <c r="C660" s="4">
        <v>0.62968749999999962</v>
      </c>
      <c r="D660" s="4">
        <v>0.62986111111111076</v>
      </c>
      <c r="E660" s="2">
        <v>11.629999999999999</v>
      </c>
      <c r="F660" s="2">
        <v>11.749999999999998</v>
      </c>
      <c r="G660" s="1" t="s">
        <v>26</v>
      </c>
      <c r="H660" s="4">
        <f t="shared" si="56"/>
        <v>1.7361111111113825E-4</v>
      </c>
      <c r="I660">
        <f t="shared" si="57"/>
        <v>60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1:110" ht="14.25" customHeight="1" x14ac:dyDescent="0.3">
      <c r="A661" s="1">
        <f t="shared" si="40"/>
        <v>652</v>
      </c>
      <c r="B661" s="1" t="str">
        <f>"(7,"&amp;I661&amp;")"</f>
        <v>(7,60)</v>
      </c>
      <c r="C661" s="4">
        <v>0.6300925925925922</v>
      </c>
      <c r="D661" s="4">
        <v>0.63024305555555515</v>
      </c>
      <c r="E661" s="2">
        <v>11.629999999999999</v>
      </c>
      <c r="F661" s="2">
        <v>11.739999999999998</v>
      </c>
      <c r="G661" s="1" t="s">
        <v>26</v>
      </c>
      <c r="H661" s="4">
        <f t="shared" si="56"/>
        <v>1.5046296296294948E-4</v>
      </c>
      <c r="I661">
        <f t="shared" si="57"/>
        <v>60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1:110" ht="14.25" customHeight="1" x14ac:dyDescent="0.3">
      <c r="A662" s="1">
        <f t="shared" si="40"/>
        <v>653</v>
      </c>
      <c r="B662" s="1" t="str">
        <f>"(6,"&amp;I662&amp;")"</f>
        <v>(6,60)</v>
      </c>
      <c r="C662" s="4">
        <v>0.6304745370370366</v>
      </c>
      <c r="D662" s="4">
        <v>0.63061342592592551</v>
      </c>
      <c r="E662" s="2">
        <v>11.629999999999999</v>
      </c>
      <c r="F662" s="2">
        <v>11.76</v>
      </c>
      <c r="G662" s="1" t="s">
        <v>26</v>
      </c>
      <c r="H662" s="4">
        <f t="shared" si="56"/>
        <v>1.388888888889106E-4</v>
      </c>
      <c r="I662">
        <f t="shared" si="57"/>
        <v>60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1:110" ht="14.25" customHeight="1" x14ac:dyDescent="0.3">
      <c r="A663" s="1">
        <f t="shared" si="40"/>
        <v>654</v>
      </c>
      <c r="B663" s="1" t="str">
        <f>"(5,"&amp;I663&amp;")"</f>
        <v>(5,60)</v>
      </c>
      <c r="C663" s="4">
        <v>0.63087962962962918</v>
      </c>
      <c r="D663" s="4">
        <v>0.63101851851851809</v>
      </c>
      <c r="E663" s="2">
        <v>11.629999999999999</v>
      </c>
      <c r="F663" s="2">
        <v>11.68</v>
      </c>
      <c r="G663" s="1" t="s">
        <v>26</v>
      </c>
      <c r="H663" s="4">
        <f t="shared" si="56"/>
        <v>1.388888888889106E-4</v>
      </c>
      <c r="I663">
        <f t="shared" si="57"/>
        <v>60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1:110" ht="14.25" customHeight="1" x14ac:dyDescent="0.3">
      <c r="A664" s="1">
        <f t="shared" si="40"/>
        <v>655</v>
      </c>
      <c r="B664" s="1" t="str">
        <f>"(4,"&amp;I664&amp;")"</f>
        <v>(4,60)</v>
      </c>
      <c r="C664" s="4">
        <v>0.63126157407407368</v>
      </c>
      <c r="D664" s="4">
        <v>0.63141203703703663</v>
      </c>
      <c r="E664" s="2">
        <v>11.629999999999999</v>
      </c>
      <c r="F664" s="2">
        <v>11.69</v>
      </c>
      <c r="G664" s="1" t="s">
        <v>26</v>
      </c>
      <c r="H664" s="4">
        <f t="shared" si="56"/>
        <v>1.5046296296294948E-4</v>
      </c>
      <c r="I664">
        <f t="shared" si="57"/>
        <v>60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1:110" ht="14.25" customHeight="1" x14ac:dyDescent="0.3">
      <c r="A665" s="1">
        <f t="shared" si="40"/>
        <v>656</v>
      </c>
      <c r="B665" s="1" t="str">
        <f>"(3,"&amp;I665&amp;")"</f>
        <v>(3,60)</v>
      </c>
      <c r="C665" s="4">
        <v>0.63166666666666627</v>
      </c>
      <c r="D665" s="4">
        <v>0.6318402777777774</v>
      </c>
      <c r="E665" s="2">
        <v>11.629999999999999</v>
      </c>
      <c r="F665" s="2">
        <v>11.639999999999999</v>
      </c>
      <c r="G665" s="1" t="s">
        <v>26</v>
      </c>
      <c r="H665" s="4">
        <f t="shared" si="56"/>
        <v>1.7361111111113825E-4</v>
      </c>
      <c r="I665">
        <f t="shared" si="57"/>
        <v>60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1:110" ht="14.25" customHeight="1" x14ac:dyDescent="0.3">
      <c r="A666" s="1">
        <f t="shared" si="40"/>
        <v>657</v>
      </c>
      <c r="B666" s="1" t="str">
        <f>"(2,"&amp;I666&amp;")"</f>
        <v>(2,60)</v>
      </c>
      <c r="C666" s="4">
        <v>0.632083333333333</v>
      </c>
      <c r="D666" s="4">
        <v>0.63222222222222191</v>
      </c>
      <c r="E666" s="2">
        <v>11.629999999999999</v>
      </c>
      <c r="F666" s="2">
        <v>11.729999999999999</v>
      </c>
      <c r="G666" s="1" t="s">
        <v>26</v>
      </c>
      <c r="H666" s="4">
        <f t="shared" si="56"/>
        <v>1.388888888889106E-4</v>
      </c>
      <c r="I666">
        <f t="shared" si="57"/>
        <v>60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1:110" ht="14.25" customHeight="1" x14ac:dyDescent="0.3">
      <c r="A667" s="1">
        <f t="shared" si="40"/>
        <v>658</v>
      </c>
      <c r="B667" s="1" t="str">
        <f>"(1,"&amp;I667&amp;")"</f>
        <v>(1,60)</v>
      </c>
      <c r="C667" s="4">
        <v>0.6324652777777775</v>
      </c>
      <c r="D667" s="4">
        <v>0.63261574074074045</v>
      </c>
      <c r="E667" s="2">
        <v>11.629999999999999</v>
      </c>
      <c r="F667" s="2">
        <v>11.7</v>
      </c>
      <c r="G667" s="1" t="s">
        <v>26</v>
      </c>
      <c r="H667" s="4">
        <f t="shared" si="56"/>
        <v>1.5046296296294948E-4</v>
      </c>
      <c r="I667">
        <f t="shared" si="57"/>
        <v>60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1:110" ht="14.25" customHeight="1" x14ac:dyDescent="0.3">
      <c r="A668" s="1">
        <f t="shared" si="40"/>
        <v>659</v>
      </c>
      <c r="B668" s="1" t="str">
        <f>"(1,"&amp;I668&amp;")"</f>
        <v>(1,61)</v>
      </c>
      <c r="C668" s="4">
        <v>0.63289351851851827</v>
      </c>
      <c r="D668" s="4">
        <v>0.63305555555555526</v>
      </c>
      <c r="E668" s="2">
        <v>11.629999999999999</v>
      </c>
      <c r="F668" s="2">
        <v>11.77</v>
      </c>
      <c r="G668" s="1" t="s">
        <v>26</v>
      </c>
      <c r="H668" s="4">
        <f t="shared" si="56"/>
        <v>1.6203703703698835E-4</v>
      </c>
      <c r="I668">
        <f>I667+1</f>
        <v>61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1:110" ht="14.25" customHeight="1" x14ac:dyDescent="0.3">
      <c r="A669" s="1">
        <f t="shared" si="40"/>
        <v>660</v>
      </c>
      <c r="B669" s="1" t="str">
        <f>"(2,"&amp;I669&amp;")"</f>
        <v>(2,61)</v>
      </c>
      <c r="C669" s="4">
        <v>0.63329861111111085</v>
      </c>
      <c r="D669" s="4">
        <v>0.63346064814814784</v>
      </c>
      <c r="E669" s="2">
        <v>11.629999999999999</v>
      </c>
      <c r="F669" s="2">
        <v>11.739999999999998</v>
      </c>
      <c r="G669" s="1" t="s">
        <v>26</v>
      </c>
      <c r="H669" s="4">
        <f t="shared" si="56"/>
        <v>1.6203703703698835E-4</v>
      </c>
      <c r="I669">
        <f>I668</f>
        <v>61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1:110" ht="14.25" customHeight="1" x14ac:dyDescent="0.3">
      <c r="A670" s="1">
        <f t="shared" si="40"/>
        <v>661</v>
      </c>
      <c r="B670" s="1" t="str">
        <f>"(3,"&amp;I670&amp;")"</f>
        <v>(3,61)</v>
      </c>
      <c r="C670" s="4">
        <v>0.63372685185185151</v>
      </c>
      <c r="D670" s="4">
        <v>0.6338888888888885</v>
      </c>
      <c r="E670" s="2">
        <v>11.629999999999999</v>
      </c>
      <c r="F670" s="2">
        <v>11.669999999999998</v>
      </c>
      <c r="G670" s="1" t="s">
        <v>26</v>
      </c>
      <c r="H670" s="4">
        <f t="shared" si="56"/>
        <v>1.6203703703698835E-4</v>
      </c>
      <c r="I670">
        <f t="shared" ref="I670:I678" si="58">I669</f>
        <v>61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1:110" ht="14.25" customHeight="1" x14ac:dyDescent="0.3">
      <c r="A671" s="1">
        <f t="shared" si="40"/>
        <v>662</v>
      </c>
      <c r="B671" s="1" t="str">
        <f>"(4,"&amp;I671&amp;")"</f>
        <v>(4,61)</v>
      </c>
      <c r="C671" s="4">
        <v>0.63416666666666632</v>
      </c>
      <c r="D671" s="4">
        <v>0.63430555555555523</v>
      </c>
      <c r="E671" s="2">
        <v>11.629999999999999</v>
      </c>
      <c r="F671" s="2">
        <v>11.709999999999999</v>
      </c>
      <c r="G671" s="1" t="s">
        <v>26</v>
      </c>
      <c r="H671" s="4">
        <f t="shared" si="56"/>
        <v>1.388888888889106E-4</v>
      </c>
      <c r="I671">
        <f t="shared" si="58"/>
        <v>61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1:110" ht="14.25" customHeight="1" x14ac:dyDescent="0.3">
      <c r="A672" s="1">
        <f t="shared" si="40"/>
        <v>663</v>
      </c>
      <c r="B672" s="1" t="str">
        <f>"(5,"&amp;I672&amp;")"</f>
        <v>(5,61)</v>
      </c>
      <c r="C672" s="4">
        <v>0.63456018518518487</v>
      </c>
      <c r="D672" s="4">
        <v>0.63471064814814782</v>
      </c>
      <c r="E672" s="2">
        <v>11.629999999999999</v>
      </c>
      <c r="F672" s="2">
        <v>11.68</v>
      </c>
      <c r="G672" s="1" t="s">
        <v>26</v>
      </c>
      <c r="H672" s="4">
        <f t="shared" si="56"/>
        <v>1.5046296296294948E-4</v>
      </c>
      <c r="I672">
        <f t="shared" si="58"/>
        <v>61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1:110" ht="14.25" customHeight="1" x14ac:dyDescent="0.3">
      <c r="A673" s="1">
        <f t="shared" si="40"/>
        <v>664</v>
      </c>
      <c r="B673" s="1" t="str">
        <f>"(6,"&amp;I673&amp;")"</f>
        <v>(6,61)</v>
      </c>
      <c r="C673" s="4">
        <v>0.63498842592592564</v>
      </c>
      <c r="D673" s="4">
        <v>0.63512731481481455</v>
      </c>
      <c r="E673" s="2">
        <v>11.629999999999999</v>
      </c>
      <c r="F673" s="2">
        <v>11.719999999999999</v>
      </c>
      <c r="G673" s="1" t="s">
        <v>26</v>
      </c>
      <c r="H673" s="4">
        <f t="shared" si="56"/>
        <v>1.388888888889106E-4</v>
      </c>
      <c r="I673">
        <f t="shared" si="58"/>
        <v>61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1:110" ht="14.25" customHeight="1" x14ac:dyDescent="0.3">
      <c r="A674" s="1">
        <f t="shared" si="40"/>
        <v>665</v>
      </c>
      <c r="B674" s="1" t="str">
        <f>"(7,"&amp;I674&amp;")"</f>
        <v>(7,61)</v>
      </c>
      <c r="C674" s="4">
        <v>0.63540509259259237</v>
      </c>
      <c r="D674" s="4">
        <v>0.63556712962962936</v>
      </c>
      <c r="E674" s="2">
        <v>11.629999999999999</v>
      </c>
      <c r="F674" s="2">
        <v>11.669999999999998</v>
      </c>
      <c r="G674" s="1" t="s">
        <v>26</v>
      </c>
      <c r="H674" s="4">
        <f t="shared" si="56"/>
        <v>1.6203703703698835E-4</v>
      </c>
      <c r="I674">
        <f t="shared" si="58"/>
        <v>61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1:110" ht="14.25" customHeight="1" x14ac:dyDescent="0.3">
      <c r="A675" s="1">
        <f t="shared" si="40"/>
        <v>666</v>
      </c>
      <c r="B675" s="1" t="str">
        <f>"(8,"&amp;I675&amp;")"</f>
        <v>(8,61)</v>
      </c>
      <c r="C675" s="4">
        <v>0.6357986111111108</v>
      </c>
      <c r="D675" s="4">
        <v>0.63596064814814779</v>
      </c>
      <c r="E675" s="2">
        <v>11.629999999999999</v>
      </c>
      <c r="F675" s="2">
        <v>11.649999999999999</v>
      </c>
      <c r="G675" s="1" t="s">
        <v>26</v>
      </c>
      <c r="H675" s="4">
        <f t="shared" si="56"/>
        <v>1.6203703703698835E-4</v>
      </c>
      <c r="I675">
        <f t="shared" si="58"/>
        <v>61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1:110" ht="14.25" customHeight="1" x14ac:dyDescent="0.3">
      <c r="A676" s="1">
        <f t="shared" si="40"/>
        <v>667</v>
      </c>
      <c r="B676" s="1" t="str">
        <f>"(9,"&amp;I676&amp;")"</f>
        <v>(9,61)</v>
      </c>
      <c r="C676" s="4">
        <v>0.63620370370370338</v>
      </c>
      <c r="D676" s="4">
        <v>0.63637731481481452</v>
      </c>
      <c r="E676" s="2">
        <v>11.629999999999999</v>
      </c>
      <c r="F676" s="2">
        <v>11.649999999999999</v>
      </c>
      <c r="G676" s="1" t="s">
        <v>26</v>
      </c>
      <c r="H676" s="4">
        <f t="shared" si="56"/>
        <v>1.7361111111113825E-4</v>
      </c>
      <c r="I676">
        <f t="shared" si="58"/>
        <v>61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1:110" ht="14.25" customHeight="1" x14ac:dyDescent="0.3">
      <c r="A677" s="1">
        <f t="shared" si="40"/>
        <v>668</v>
      </c>
      <c r="B677" s="1" t="str">
        <f>"(10,"&amp;I677&amp;")"</f>
        <v>(10,61)</v>
      </c>
      <c r="C677" s="4">
        <v>0.63663194444444415</v>
      </c>
      <c r="D677" s="4">
        <v>0.63680555555555529</v>
      </c>
      <c r="E677" s="2">
        <v>11.629999999999999</v>
      </c>
      <c r="F677" s="2">
        <v>11.7</v>
      </c>
      <c r="G677" s="1" t="s">
        <v>26</v>
      </c>
      <c r="H677" s="4">
        <f t="shared" si="56"/>
        <v>1.7361111111113825E-4</v>
      </c>
      <c r="I677">
        <f t="shared" si="58"/>
        <v>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1:110" ht="14.25" customHeight="1" x14ac:dyDescent="0.3">
      <c r="A678" s="1">
        <f t="shared" si="40"/>
        <v>669</v>
      </c>
      <c r="B678" s="1" t="str">
        <f>"(11,"&amp;I678&amp;")"</f>
        <v>(11,61)</v>
      </c>
      <c r="C678" s="4">
        <v>0.63704861111111089</v>
      </c>
      <c r="D678" s="4">
        <v>0.63722222222222202</v>
      </c>
      <c r="E678" s="2">
        <v>11.629999999999999</v>
      </c>
      <c r="F678" s="2">
        <v>11.639999999999999</v>
      </c>
      <c r="G678" s="1" t="s">
        <v>26</v>
      </c>
      <c r="H678" s="4">
        <f t="shared" si="56"/>
        <v>1.7361111111113825E-4</v>
      </c>
      <c r="I678">
        <f t="shared" si="58"/>
        <v>61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1:110" ht="14.25" customHeight="1" x14ac:dyDescent="0.3">
      <c r="A679" s="1">
        <f t="shared" si="40"/>
        <v>670</v>
      </c>
      <c r="B679" s="1" t="str">
        <f>"(11,"&amp;I679&amp;")"</f>
        <v>(11,62)</v>
      </c>
      <c r="C679" s="4">
        <v>0.63751157407407388</v>
      </c>
      <c r="D679" s="4">
        <v>0.63767361111111087</v>
      </c>
      <c r="E679" s="2">
        <v>11.629999999999999</v>
      </c>
      <c r="F679" s="2">
        <v>11.76</v>
      </c>
      <c r="G679" s="1" t="s">
        <v>26</v>
      </c>
      <c r="H679" s="4">
        <f t="shared" si="56"/>
        <v>1.6203703703698835E-4</v>
      </c>
      <c r="I679">
        <f>I678+1</f>
        <v>62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1:110" ht="14.25" customHeight="1" x14ac:dyDescent="0.3">
      <c r="A680" s="1">
        <f t="shared" si="40"/>
        <v>671</v>
      </c>
      <c r="B680" s="1" t="str">
        <f>"(10,"&amp;I680&amp;")"</f>
        <v>(10,62)</v>
      </c>
      <c r="C680" s="4">
        <v>0.6379282407407405</v>
      </c>
      <c r="D680" s="4">
        <v>0.63809027777777749</v>
      </c>
      <c r="E680" s="2">
        <v>11.629999999999999</v>
      </c>
      <c r="F680" s="2">
        <v>11.76</v>
      </c>
      <c r="G680" s="1" t="s">
        <v>26</v>
      </c>
      <c r="H680" s="4">
        <f t="shared" si="56"/>
        <v>1.6203703703698835E-4</v>
      </c>
      <c r="I680">
        <f>I679</f>
        <v>62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1:110" ht="14.25" customHeight="1" x14ac:dyDescent="0.3">
      <c r="A681" s="1">
        <f t="shared" si="40"/>
        <v>672</v>
      </c>
      <c r="B681" s="1" t="str">
        <f>"(9,"&amp;I681&amp;")"</f>
        <v>(9,62)</v>
      </c>
      <c r="C681" s="4">
        <v>0.63832175925925894</v>
      </c>
      <c r="D681" s="4">
        <v>0.63849537037037007</v>
      </c>
      <c r="E681" s="2">
        <v>11.629999999999999</v>
      </c>
      <c r="F681" s="2">
        <v>11.7</v>
      </c>
      <c r="G681" s="1" t="s">
        <v>26</v>
      </c>
      <c r="H681" s="4">
        <f t="shared" si="56"/>
        <v>1.7361111111113825E-4</v>
      </c>
      <c r="I681">
        <f t="shared" ref="I681:I689" si="59">I680</f>
        <v>62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1:110" ht="14.25" customHeight="1" x14ac:dyDescent="0.3">
      <c r="A682" s="1">
        <f t="shared" si="40"/>
        <v>673</v>
      </c>
      <c r="B682" s="1" t="str">
        <f>"(8,"&amp;I682&amp;")"</f>
        <v>(8,62)</v>
      </c>
      <c r="C682" s="4">
        <v>0.63873842592592567</v>
      </c>
      <c r="D682" s="4">
        <v>0.63891203703703681</v>
      </c>
      <c r="E682" s="2">
        <v>11.629999999999999</v>
      </c>
      <c r="F682" s="2">
        <v>11.749999999999998</v>
      </c>
      <c r="G682" s="1" t="s">
        <v>26</v>
      </c>
      <c r="H682" s="4">
        <f t="shared" si="56"/>
        <v>1.7361111111113825E-4</v>
      </c>
      <c r="I682">
        <f t="shared" si="59"/>
        <v>62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1:110" ht="14.25" customHeight="1" x14ac:dyDescent="0.3">
      <c r="A683" s="1">
        <f t="shared" si="40"/>
        <v>674</v>
      </c>
      <c r="B683" s="1" t="str">
        <f>"(7,"&amp;I683&amp;")"</f>
        <v>(7,62)</v>
      </c>
      <c r="C683" s="4">
        <v>0.6391550925925924</v>
      </c>
      <c r="D683" s="4">
        <v>0.63929398148148131</v>
      </c>
      <c r="E683" s="2">
        <v>11.629999999999999</v>
      </c>
      <c r="F683" s="2">
        <v>11.659999999999998</v>
      </c>
      <c r="G683" s="1" t="s">
        <v>26</v>
      </c>
      <c r="H683" s="4">
        <f t="shared" si="56"/>
        <v>1.388888888889106E-4</v>
      </c>
      <c r="I683">
        <f t="shared" si="59"/>
        <v>62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1:110" ht="14.25" customHeight="1" x14ac:dyDescent="0.3">
      <c r="A684" s="1">
        <f t="shared" si="40"/>
        <v>675</v>
      </c>
      <c r="B684" s="1" t="str">
        <f>"(6,"&amp;I684&amp;")"</f>
        <v>(6,62)</v>
      </c>
      <c r="C684" s="4">
        <v>0.63957175925925913</v>
      </c>
      <c r="D684" s="4">
        <v>0.63971064814814804</v>
      </c>
      <c r="E684" s="2">
        <v>11.629999999999999</v>
      </c>
      <c r="F684" s="2">
        <v>11.719999999999999</v>
      </c>
      <c r="G684" s="1" t="s">
        <v>26</v>
      </c>
      <c r="H684" s="4">
        <f t="shared" si="56"/>
        <v>1.388888888889106E-4</v>
      </c>
      <c r="I684">
        <f t="shared" si="59"/>
        <v>62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1:110" ht="14.25" customHeight="1" x14ac:dyDescent="0.3">
      <c r="A685" s="1">
        <f t="shared" si="40"/>
        <v>676</v>
      </c>
      <c r="B685" s="1" t="str">
        <f>"(5,"&amp;I685&amp;")"</f>
        <v>(5,62)</v>
      </c>
      <c r="C685" s="4">
        <v>0.63995370370370364</v>
      </c>
      <c r="D685" s="4">
        <v>0.64009259259259255</v>
      </c>
      <c r="E685" s="2">
        <v>11.629999999999999</v>
      </c>
      <c r="F685" s="2">
        <v>11.669999999999998</v>
      </c>
      <c r="G685" s="1" t="s">
        <v>26</v>
      </c>
      <c r="H685" s="4">
        <f t="shared" si="56"/>
        <v>1.388888888889106E-4</v>
      </c>
      <c r="I685">
        <f t="shared" si="59"/>
        <v>62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1:110" ht="14.25" customHeight="1" x14ac:dyDescent="0.3">
      <c r="A686" s="1">
        <f t="shared" si="40"/>
        <v>677</v>
      </c>
      <c r="B686" s="1" t="str">
        <f>"(4,"&amp;I686&amp;")"</f>
        <v>(4,62)</v>
      </c>
      <c r="C686" s="4">
        <v>0.64033564814814814</v>
      </c>
      <c r="D686" s="4">
        <v>0.64049768518518513</v>
      </c>
      <c r="E686" s="2">
        <v>11.629999999999999</v>
      </c>
      <c r="F686" s="2">
        <v>11.719999999999999</v>
      </c>
      <c r="G686" s="1" t="s">
        <v>26</v>
      </c>
      <c r="H686" s="4">
        <f t="shared" si="56"/>
        <v>1.6203703703698835E-4</v>
      </c>
      <c r="I686">
        <f t="shared" si="59"/>
        <v>62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1:110" ht="14.25" customHeight="1" x14ac:dyDescent="0.3">
      <c r="A687" s="1">
        <f t="shared" si="40"/>
        <v>678</v>
      </c>
      <c r="B687" s="1" t="str">
        <f>"(3,"&amp;I687&amp;")"</f>
        <v>(3,62)</v>
      </c>
      <c r="C687" s="4">
        <v>0.64072916666666657</v>
      </c>
      <c r="D687" s="4">
        <v>0.64087962962962952</v>
      </c>
      <c r="E687" s="2">
        <v>11.629999999999999</v>
      </c>
      <c r="F687" s="2">
        <v>11.659999999999998</v>
      </c>
      <c r="G687" s="1" t="s">
        <v>26</v>
      </c>
      <c r="H687" s="4">
        <f t="shared" si="56"/>
        <v>1.5046296296294948E-4</v>
      </c>
      <c r="I687">
        <f t="shared" si="59"/>
        <v>62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1:110" ht="14.25" customHeight="1" x14ac:dyDescent="0.3">
      <c r="A688" s="1">
        <f t="shared" si="40"/>
        <v>679</v>
      </c>
      <c r="B688" s="1" t="str">
        <f>"(2,"&amp;I688&amp;")"</f>
        <v>(2,62)</v>
      </c>
      <c r="C688" s="4">
        <v>0.64115740740740734</v>
      </c>
      <c r="D688" s="4">
        <v>0.64131944444444433</v>
      </c>
      <c r="E688" s="2">
        <v>11.629999999999999</v>
      </c>
      <c r="F688" s="2">
        <v>11.77</v>
      </c>
      <c r="G688" s="1" t="s">
        <v>26</v>
      </c>
      <c r="H688" s="4">
        <f t="shared" si="56"/>
        <v>1.6203703703698835E-4</v>
      </c>
      <c r="I688">
        <f t="shared" si="59"/>
        <v>62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1:110" ht="14.25" customHeight="1" x14ac:dyDescent="0.3">
      <c r="A689" s="1">
        <f t="shared" si="40"/>
        <v>680</v>
      </c>
      <c r="B689" s="1" t="str">
        <f>"(1,"&amp;I689&amp;")"</f>
        <v>(1,62)</v>
      </c>
      <c r="C689" s="4">
        <v>0.64156249999999992</v>
      </c>
      <c r="D689" s="4">
        <v>0.64170138888888884</v>
      </c>
      <c r="E689" s="2">
        <v>11.629999999999999</v>
      </c>
      <c r="F689" s="2">
        <v>11.749999999999998</v>
      </c>
      <c r="G689" s="1" t="s">
        <v>26</v>
      </c>
      <c r="H689" s="4">
        <f t="shared" si="56"/>
        <v>1.388888888889106E-4</v>
      </c>
      <c r="I689">
        <f t="shared" si="59"/>
        <v>62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1:110" ht="14.25" customHeight="1" x14ac:dyDescent="0.3">
      <c r="A690" s="1">
        <f t="shared" si="40"/>
        <v>681</v>
      </c>
      <c r="B690" s="1" t="str">
        <f>"(1,"&amp;I690&amp;")"</f>
        <v>(1,63)</v>
      </c>
      <c r="C690" s="4">
        <v>0.64193287037037028</v>
      </c>
      <c r="D690" s="4">
        <v>0.64208333333333323</v>
      </c>
      <c r="E690" s="2">
        <v>11.629999999999999</v>
      </c>
      <c r="F690" s="2">
        <v>11.78</v>
      </c>
      <c r="G690" s="1" t="s">
        <v>26</v>
      </c>
      <c r="H690" s="4">
        <f t="shared" si="56"/>
        <v>1.5046296296294948E-4</v>
      </c>
      <c r="I690">
        <f>I689+1</f>
        <v>63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1:110" ht="14.25" customHeight="1" x14ac:dyDescent="0.3">
      <c r="A691" s="1">
        <f t="shared" si="40"/>
        <v>682</v>
      </c>
      <c r="B691" s="1" t="str">
        <f>"(2,"&amp;I691&amp;")"</f>
        <v>(2,63)</v>
      </c>
      <c r="C691" s="4">
        <v>0.64231481481481467</v>
      </c>
      <c r="D691" s="4">
        <v>0.64247685185185166</v>
      </c>
      <c r="E691" s="2">
        <v>11.629999999999999</v>
      </c>
      <c r="F691" s="2">
        <v>11.69</v>
      </c>
      <c r="G691" s="1" t="s">
        <v>26</v>
      </c>
      <c r="H691" s="4">
        <f t="shared" si="56"/>
        <v>1.6203703703698835E-4</v>
      </c>
      <c r="I691">
        <f>I690</f>
        <v>63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1:110" ht="14.25" customHeight="1" x14ac:dyDescent="0.3">
      <c r="A692" s="1">
        <f t="shared" si="40"/>
        <v>683</v>
      </c>
      <c r="B692" s="1" t="str">
        <f>"(3,"&amp;I692&amp;")"</f>
        <v>(3,63)</v>
      </c>
      <c r="C692" s="4">
        <v>0.64273148148148129</v>
      </c>
      <c r="D692" s="4">
        <v>0.64290509259259243</v>
      </c>
      <c r="E692" s="2">
        <v>11.629999999999999</v>
      </c>
      <c r="F692" s="2">
        <v>11.68</v>
      </c>
      <c r="G692" s="1" t="s">
        <v>26</v>
      </c>
      <c r="H692" s="4">
        <f t="shared" si="56"/>
        <v>1.7361111111113825E-4</v>
      </c>
      <c r="I692">
        <f t="shared" ref="I692:I700" si="60">I691</f>
        <v>63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1:110" ht="14.25" customHeight="1" x14ac:dyDescent="0.3">
      <c r="A693" s="1">
        <f t="shared" si="40"/>
        <v>684</v>
      </c>
      <c r="B693" s="1" t="str">
        <f>"(4,"&amp;I693&amp;")"</f>
        <v>(4,63)</v>
      </c>
      <c r="C693" s="4">
        <v>0.64318287037037025</v>
      </c>
      <c r="D693" s="4">
        <v>0.64334490740740724</v>
      </c>
      <c r="E693" s="2">
        <v>11.629999999999999</v>
      </c>
      <c r="F693" s="2">
        <v>11.659999999999998</v>
      </c>
      <c r="G693" s="1" t="s">
        <v>26</v>
      </c>
      <c r="H693" s="4">
        <f t="shared" si="56"/>
        <v>1.6203703703698835E-4</v>
      </c>
      <c r="I693">
        <f t="shared" si="60"/>
        <v>63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1:110" ht="14.25" customHeight="1" x14ac:dyDescent="0.3">
      <c r="A694" s="1">
        <f t="shared" si="40"/>
        <v>685</v>
      </c>
      <c r="B694" s="1" t="str">
        <f>"(5,"&amp;I694&amp;")"</f>
        <v>(5,63)</v>
      </c>
      <c r="C694" s="4">
        <v>0.64357638888888868</v>
      </c>
      <c r="D694" s="4">
        <v>0.64374999999999982</v>
      </c>
      <c r="E694" s="2">
        <v>11.629999999999999</v>
      </c>
      <c r="F694" s="2">
        <v>11.78</v>
      </c>
      <c r="G694" s="1" t="s">
        <v>26</v>
      </c>
      <c r="H694" s="4">
        <f t="shared" si="56"/>
        <v>1.7361111111113825E-4</v>
      </c>
      <c r="I694">
        <f t="shared" si="60"/>
        <v>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1:110" ht="14.25" customHeight="1" x14ac:dyDescent="0.3">
      <c r="A695" s="1">
        <f t="shared" si="40"/>
        <v>686</v>
      </c>
      <c r="B695" s="1" t="str">
        <f>"(6,"&amp;I695&amp;")"</f>
        <v>(6,63)</v>
      </c>
      <c r="C695" s="4">
        <v>0.64399305555555542</v>
      </c>
      <c r="D695" s="4">
        <v>0.64416666666666655</v>
      </c>
      <c r="E695" s="2">
        <v>11.629999999999999</v>
      </c>
      <c r="F695" s="2">
        <v>11.76</v>
      </c>
      <c r="G695" s="1" t="s">
        <v>26</v>
      </c>
      <c r="H695" s="4">
        <f t="shared" si="56"/>
        <v>1.7361111111113825E-4</v>
      </c>
      <c r="I695">
        <f t="shared" si="60"/>
        <v>63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1:110" ht="14.25" customHeight="1" x14ac:dyDescent="0.3">
      <c r="A696" s="1">
        <f t="shared" si="40"/>
        <v>687</v>
      </c>
      <c r="B696" s="1" t="str">
        <f>"(7,"&amp;I696&amp;")"</f>
        <v>(7,63)</v>
      </c>
      <c r="C696" s="4">
        <v>0.64445601851851841</v>
      </c>
      <c r="D696" s="4">
        <v>0.64462962962962955</v>
      </c>
      <c r="E696" s="2">
        <v>11.629999999999999</v>
      </c>
      <c r="F696" s="2">
        <v>11.7</v>
      </c>
      <c r="G696" s="1" t="s">
        <v>26</v>
      </c>
      <c r="H696" s="4">
        <f t="shared" si="56"/>
        <v>1.7361111111113825E-4</v>
      </c>
      <c r="I696">
        <f t="shared" si="60"/>
        <v>63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1:110" ht="14.25" customHeight="1" x14ac:dyDescent="0.3">
      <c r="A697" s="1">
        <f t="shared" si="40"/>
        <v>688</v>
      </c>
      <c r="B697" s="1" t="str">
        <f>"(8,"&amp;I697&amp;")"</f>
        <v>(8,63)</v>
      </c>
      <c r="C697" s="4">
        <v>0.64491898148148141</v>
      </c>
      <c r="D697" s="4">
        <v>0.64505787037037032</v>
      </c>
      <c r="E697" s="2">
        <v>11.629999999999999</v>
      </c>
      <c r="F697" s="2">
        <v>11.749999999999998</v>
      </c>
      <c r="G697" s="1" t="s">
        <v>26</v>
      </c>
      <c r="H697" s="4">
        <f t="shared" si="56"/>
        <v>1.388888888889106E-4</v>
      </c>
      <c r="I697">
        <f t="shared" si="60"/>
        <v>63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1:110" ht="14.25" customHeight="1" x14ac:dyDescent="0.3">
      <c r="A698" s="1">
        <f t="shared" si="40"/>
        <v>689</v>
      </c>
      <c r="B698" s="1" t="str">
        <f>"(9,"&amp;I698&amp;")"</f>
        <v>(9,63)</v>
      </c>
      <c r="C698" s="4">
        <v>0.64530092592592592</v>
      </c>
      <c r="D698" s="4">
        <v>0.64543981481481483</v>
      </c>
      <c r="E698" s="2">
        <v>11.629999999999999</v>
      </c>
      <c r="F698" s="2">
        <v>11.659999999999998</v>
      </c>
      <c r="G698" s="1" t="s">
        <v>26</v>
      </c>
      <c r="H698" s="4">
        <f t="shared" si="56"/>
        <v>1.388888888889106E-4</v>
      </c>
      <c r="I698">
        <f t="shared" si="60"/>
        <v>63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1:110" ht="14.25" customHeight="1" x14ac:dyDescent="0.3">
      <c r="A699" s="1">
        <f t="shared" si="40"/>
        <v>690</v>
      </c>
      <c r="B699" s="1" t="str">
        <f>"(10,"&amp;I699&amp;")"</f>
        <v>(10,63)</v>
      </c>
      <c r="C699" s="4">
        <v>0.64567129629629627</v>
      </c>
      <c r="D699" s="4">
        <v>0.64582175925925922</v>
      </c>
      <c r="E699" s="2">
        <v>11.629999999999999</v>
      </c>
      <c r="F699" s="2">
        <v>11.78</v>
      </c>
      <c r="G699" s="1" t="s">
        <v>26</v>
      </c>
      <c r="H699" s="4">
        <f t="shared" si="56"/>
        <v>1.5046296296294948E-4</v>
      </c>
      <c r="I699">
        <f t="shared" si="60"/>
        <v>63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1:110" ht="14.25" customHeight="1" x14ac:dyDescent="0.3">
      <c r="A700" s="1">
        <f t="shared" si="40"/>
        <v>691</v>
      </c>
      <c r="B700" s="1" t="str">
        <f>"(11,"&amp;I700&amp;")"</f>
        <v>(11,63)</v>
      </c>
      <c r="C700" s="4">
        <v>0.64608796296296289</v>
      </c>
      <c r="D700" s="4">
        <v>0.6462268518518518</v>
      </c>
      <c r="E700" s="2">
        <v>11.629999999999999</v>
      </c>
      <c r="F700" s="2">
        <v>11.69</v>
      </c>
      <c r="G700" s="1" t="s">
        <v>26</v>
      </c>
      <c r="H700" s="4">
        <f t="shared" si="56"/>
        <v>1.388888888889106E-4</v>
      </c>
      <c r="I700">
        <f t="shared" si="60"/>
        <v>63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1:110" ht="14.25" customHeight="1" x14ac:dyDescent="0.3">
      <c r="A701" s="1">
        <f t="shared" si="40"/>
        <v>692</v>
      </c>
      <c r="B701" s="1" t="str">
        <f>"(11,"&amp;I701&amp;")"</f>
        <v>(11,64)</v>
      </c>
      <c r="C701" s="4">
        <v>0.64649305555555547</v>
      </c>
      <c r="D701" s="4">
        <v>0.64665509259259246</v>
      </c>
      <c r="E701" s="2">
        <v>11.629999999999999</v>
      </c>
      <c r="F701" s="2">
        <v>11.68</v>
      </c>
      <c r="G701" s="1" t="s">
        <v>26</v>
      </c>
      <c r="H701" s="4">
        <f t="shared" si="56"/>
        <v>1.6203703703698835E-4</v>
      </c>
      <c r="I701">
        <f>I700+1</f>
        <v>64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1:110" ht="14.25" customHeight="1" x14ac:dyDescent="0.3">
      <c r="A702" s="1">
        <f t="shared" si="40"/>
        <v>693</v>
      </c>
      <c r="B702" s="1" t="str">
        <f>"(11,"&amp;I702&amp;")"</f>
        <v>(11,64)</v>
      </c>
      <c r="C702" s="4">
        <v>0.64689814814814806</v>
      </c>
      <c r="D702" s="4">
        <v>0.64707175925925919</v>
      </c>
      <c r="E702" s="2">
        <v>11.629999999999999</v>
      </c>
      <c r="F702" s="2">
        <v>11.77</v>
      </c>
      <c r="G702" s="1" t="s">
        <v>26</v>
      </c>
      <c r="H702" s="4">
        <f t="shared" si="56"/>
        <v>1.7361111111113825E-4</v>
      </c>
      <c r="I702">
        <f>I701</f>
        <v>64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1:110" ht="14.25" customHeight="1" x14ac:dyDescent="0.3">
      <c r="A703" s="1">
        <f t="shared" si="40"/>
        <v>694</v>
      </c>
      <c r="B703" s="1" t="str">
        <f>"(10,"&amp;I703&amp;")"</f>
        <v>(10,64)</v>
      </c>
      <c r="C703" s="4">
        <v>0.64731481481481479</v>
      </c>
      <c r="D703" s="4">
        <v>0.6474537037037037</v>
      </c>
      <c r="E703" s="2">
        <v>11.629999999999999</v>
      </c>
      <c r="F703" s="2">
        <v>11.729999999999999</v>
      </c>
      <c r="G703" s="1" t="s">
        <v>26</v>
      </c>
      <c r="H703" s="4">
        <f t="shared" si="56"/>
        <v>1.388888888889106E-4</v>
      </c>
      <c r="I703">
        <f t="shared" ref="I703:I709" si="61">I702</f>
        <v>64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1:110" ht="14.25" customHeight="1" x14ac:dyDescent="0.3">
      <c r="A704" s="1">
        <f t="shared" si="40"/>
        <v>695</v>
      </c>
      <c r="B704" s="1" t="str">
        <f>"(9,"&amp;I704&amp;")"</f>
        <v>(9,64)</v>
      </c>
      <c r="C704" s="4">
        <v>0.64774305555555556</v>
      </c>
      <c r="D704" s="4">
        <v>0.64788194444444447</v>
      </c>
      <c r="E704" s="2">
        <v>11.629999999999999</v>
      </c>
      <c r="F704" s="2">
        <v>11.639999999999999</v>
      </c>
      <c r="G704" s="1" t="s">
        <v>26</v>
      </c>
      <c r="H704" s="4">
        <f t="shared" si="56"/>
        <v>1.388888888889106E-4</v>
      </c>
      <c r="I704">
        <f t="shared" si="61"/>
        <v>64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1:110" ht="14.25" customHeight="1" x14ac:dyDescent="0.3">
      <c r="A705" s="1">
        <f t="shared" si="40"/>
        <v>696</v>
      </c>
      <c r="B705" s="1" t="str">
        <f>"(8,"&amp;I705&amp;")"</f>
        <v>(8,64)</v>
      </c>
      <c r="C705" s="4">
        <v>0.64814814814814814</v>
      </c>
      <c r="D705" s="4">
        <v>0.64832175925925928</v>
      </c>
      <c r="E705" s="2">
        <v>11.629999999999999</v>
      </c>
      <c r="F705" s="2">
        <v>11.69</v>
      </c>
      <c r="G705" s="1" t="s">
        <v>26</v>
      </c>
      <c r="H705" s="4">
        <f t="shared" si="56"/>
        <v>1.7361111111113825E-4</v>
      </c>
      <c r="I705">
        <f t="shared" si="61"/>
        <v>64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1:110" ht="14.25" customHeight="1" x14ac:dyDescent="0.3">
      <c r="A706" s="1">
        <f t="shared" si="40"/>
        <v>697</v>
      </c>
      <c r="B706" s="1" t="str">
        <f>"(7,"&amp;I706&amp;")"</f>
        <v>(7,64)</v>
      </c>
      <c r="C706" s="4">
        <v>0.64857638888888891</v>
      </c>
      <c r="D706" s="4">
        <v>0.64871527777777782</v>
      </c>
      <c r="E706" s="2">
        <v>11.629999999999999</v>
      </c>
      <c r="F706" s="2">
        <v>11.78</v>
      </c>
      <c r="G706" s="1" t="s">
        <v>26</v>
      </c>
      <c r="H706" s="4">
        <f t="shared" si="56"/>
        <v>1.388888888889106E-4</v>
      </c>
      <c r="I706">
        <f t="shared" si="61"/>
        <v>64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1:110" ht="14.25" customHeight="1" x14ac:dyDescent="0.3">
      <c r="A707" s="1">
        <f t="shared" si="40"/>
        <v>698</v>
      </c>
      <c r="B707" s="1" t="str">
        <f>"(6,"&amp;I707&amp;")"</f>
        <v>(6,64)</v>
      </c>
      <c r="C707" s="4">
        <v>0.64900462962962968</v>
      </c>
      <c r="D707" s="4">
        <v>0.64914351851851859</v>
      </c>
      <c r="E707" s="2">
        <v>11.629999999999999</v>
      </c>
      <c r="F707" s="2">
        <v>11.719999999999999</v>
      </c>
      <c r="G707" s="1" t="s">
        <v>26</v>
      </c>
      <c r="H707" s="4">
        <f t="shared" si="56"/>
        <v>1.388888888889106E-4</v>
      </c>
      <c r="I707">
        <f t="shared" si="61"/>
        <v>64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1:110" ht="14.25" customHeight="1" x14ac:dyDescent="0.3">
      <c r="A708" s="1">
        <f t="shared" si="40"/>
        <v>699</v>
      </c>
      <c r="B708" s="1" t="str">
        <f>"(5,"&amp;I708&amp;")"</f>
        <v>(5,64)</v>
      </c>
      <c r="C708" s="4">
        <v>0.64940972222222226</v>
      </c>
      <c r="D708" s="4">
        <v>0.64954861111111117</v>
      </c>
      <c r="E708" s="2">
        <v>11.629999999999999</v>
      </c>
      <c r="F708" s="2">
        <v>11.739999999999998</v>
      </c>
      <c r="G708" s="1" t="s">
        <v>26</v>
      </c>
      <c r="H708" s="4">
        <f t="shared" si="56"/>
        <v>1.388888888889106E-4</v>
      </c>
      <c r="I708">
        <f t="shared" si="61"/>
        <v>64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1:110" ht="14.25" customHeight="1" x14ac:dyDescent="0.3">
      <c r="A709" s="1">
        <f t="shared" si="40"/>
        <v>700</v>
      </c>
      <c r="B709" s="1" t="str">
        <f>"(4,"&amp;I709&amp;")"</f>
        <v>(4,64)</v>
      </c>
      <c r="C709" s="4">
        <v>0.64978009259259262</v>
      </c>
      <c r="D709" s="4">
        <v>0.64994212962962961</v>
      </c>
      <c r="E709" s="2">
        <v>11.629999999999999</v>
      </c>
      <c r="F709" s="2">
        <v>11.69</v>
      </c>
      <c r="G709" s="1" t="s">
        <v>26</v>
      </c>
      <c r="H709" s="4">
        <f t="shared" si="56"/>
        <v>1.6203703703698835E-4</v>
      </c>
      <c r="I709">
        <f t="shared" si="61"/>
        <v>64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1:110" ht="18" customHeight="1" x14ac:dyDescent="0.3">
      <c r="A710" s="38" t="s">
        <v>5</v>
      </c>
      <c r="B710" s="38"/>
      <c r="C710" s="38"/>
      <c r="D710" s="38"/>
      <c r="E710" s="38"/>
      <c r="F710" s="38"/>
      <c r="G710" s="38"/>
      <c r="H710" s="38"/>
      <c r="I710" s="24"/>
      <c r="J710" s="2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1:110" ht="29.25" customHeight="1" x14ac:dyDescent="0.3">
      <c r="A711" s="39" t="s">
        <v>13</v>
      </c>
      <c r="B711" s="40"/>
      <c r="C711" s="40"/>
      <c r="D711" s="41"/>
      <c r="E711" s="26">
        <f>SUM(E10:E709)</f>
        <v>8141.0000000000664</v>
      </c>
      <c r="F711" s="48" t="s">
        <v>244</v>
      </c>
      <c r="G711" s="49"/>
      <c r="H711" s="26">
        <f>SUM(F10:F709)</f>
        <v>8197.5199999999913</v>
      </c>
      <c r="I711" s="18"/>
      <c r="J711" s="19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1:110" ht="79.5" customHeight="1" x14ac:dyDescent="0.3">
      <c r="A712" s="39" t="s">
        <v>14</v>
      </c>
      <c r="B712" s="40"/>
      <c r="C712" s="41"/>
      <c r="D712" s="27">
        <f>A709</f>
        <v>700</v>
      </c>
      <c r="E712" s="28" t="s">
        <v>15</v>
      </c>
      <c r="F712" s="27">
        <f>D712</f>
        <v>700</v>
      </c>
      <c r="G712" s="31" t="s">
        <v>16</v>
      </c>
      <c r="H712" s="34" t="s">
        <v>22</v>
      </c>
      <c r="I712" s="32"/>
      <c r="J712" s="19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1:110" ht="39.75" customHeight="1" x14ac:dyDescent="0.3">
      <c r="A713" s="39" t="s">
        <v>17</v>
      </c>
      <c r="B713" s="40"/>
      <c r="C713" s="40"/>
      <c r="D713" s="41"/>
      <c r="E713" s="26">
        <f>MAX(F10:F709)</f>
        <v>11.78</v>
      </c>
      <c r="F713" s="39" t="s">
        <v>18</v>
      </c>
      <c r="G713" s="41"/>
      <c r="H713" s="26">
        <f>E708</f>
        <v>11.629999999999999</v>
      </c>
      <c r="I713" s="18"/>
      <c r="J713" s="19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1:110" ht="9.75" customHeight="1" x14ac:dyDescent="0.3">
      <c r="A714" s="29"/>
      <c r="B714" s="29"/>
      <c r="C714" s="29"/>
      <c r="D714" s="29"/>
      <c r="E714" s="30"/>
      <c r="F714" s="29"/>
      <c r="G714" s="29"/>
      <c r="H714" s="30"/>
      <c r="I714" s="18"/>
      <c r="J714" s="19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1:110" ht="26.25" customHeight="1" x14ac:dyDescent="0.3">
      <c r="A715" s="50" t="s">
        <v>202</v>
      </c>
      <c r="B715" s="51"/>
      <c r="C715" s="51"/>
      <c r="D715" s="52"/>
      <c r="E715" s="50" t="s">
        <v>203</v>
      </c>
      <c r="F715" s="51"/>
      <c r="G715" s="51"/>
      <c r="H715" s="52"/>
      <c r="I715" s="44"/>
      <c r="J715" s="45"/>
      <c r="K715" s="45"/>
      <c r="L715" s="45"/>
      <c r="M715" s="45"/>
      <c r="N715" s="45"/>
      <c r="O715" s="45"/>
      <c r="P715" s="45"/>
      <c r="Q715" s="45"/>
      <c r="R715" s="45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1:110" ht="26.25" customHeight="1" x14ac:dyDescent="0.3">
      <c r="A716" s="50" t="s">
        <v>204</v>
      </c>
      <c r="B716" s="51"/>
      <c r="C716" s="51"/>
      <c r="D716" s="52"/>
      <c r="E716" s="50" t="s">
        <v>205</v>
      </c>
      <c r="F716" s="51"/>
      <c r="G716" s="51"/>
      <c r="H716" s="52"/>
      <c r="I716" s="44"/>
      <c r="J716" s="45"/>
      <c r="K716" s="45"/>
      <c r="L716" s="45"/>
      <c r="M716" s="45"/>
      <c r="N716" s="45"/>
      <c r="O716" s="45"/>
      <c r="P716" s="45"/>
      <c r="Q716" s="45"/>
      <c r="R716" s="45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1:110" ht="15.6" x14ac:dyDescent="0.3">
      <c r="A717" s="53" t="s">
        <v>281</v>
      </c>
      <c r="B717" s="54"/>
      <c r="C717" s="54"/>
      <c r="D717" s="55"/>
      <c r="E717" s="53" t="s">
        <v>282</v>
      </c>
      <c r="F717" s="54"/>
      <c r="G717" s="54"/>
      <c r="H717" s="55"/>
      <c r="I717" s="46"/>
      <c r="J717" s="47"/>
      <c r="K717" s="47"/>
      <c r="L717" s="47"/>
      <c r="M717" s="47"/>
      <c r="N717" s="47"/>
      <c r="O717" s="47"/>
      <c r="P717" s="47"/>
      <c r="Q717" s="47"/>
      <c r="R717" s="47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1:110" ht="15" customHeight="1" x14ac:dyDescent="0.3">
      <c r="A718" s="56"/>
      <c r="B718" s="57"/>
      <c r="C718" s="57"/>
      <c r="D718" s="58"/>
      <c r="E718" s="56"/>
      <c r="F718" s="57"/>
      <c r="G718" s="57"/>
      <c r="H718" s="58"/>
      <c r="I718" s="42"/>
      <c r="J718" s="43"/>
      <c r="K718" s="43"/>
      <c r="L718" s="43"/>
      <c r="M718" s="43"/>
      <c r="N718" s="43"/>
      <c r="O718" s="43"/>
      <c r="P718" s="43"/>
      <c r="Q718" s="43"/>
      <c r="R718" s="4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1:110" ht="15" customHeight="1" x14ac:dyDescent="0.3">
      <c r="A719" s="56"/>
      <c r="B719" s="57"/>
      <c r="C719" s="57"/>
      <c r="D719" s="58"/>
      <c r="E719" s="56"/>
      <c r="F719" s="57"/>
      <c r="G719" s="57"/>
      <c r="H719" s="58"/>
      <c r="I719" s="42"/>
      <c r="J719" s="43"/>
      <c r="K719" s="43"/>
      <c r="L719" s="43"/>
      <c r="M719" s="43"/>
      <c r="N719" s="43"/>
      <c r="O719" s="43"/>
      <c r="P719" s="43"/>
      <c r="Q719" s="43"/>
      <c r="R719" s="4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1:110" ht="15" customHeight="1" x14ac:dyDescent="0.3">
      <c r="A720" s="56"/>
      <c r="B720" s="57"/>
      <c r="C720" s="57"/>
      <c r="D720" s="58"/>
      <c r="E720" s="56"/>
      <c r="F720" s="57"/>
      <c r="G720" s="57"/>
      <c r="H720" s="58"/>
      <c r="I720" s="42"/>
      <c r="J720" s="43"/>
      <c r="K720" s="43"/>
      <c r="L720" s="43"/>
      <c r="M720" s="43"/>
      <c r="N720" s="43"/>
      <c r="O720" s="43"/>
      <c r="P720" s="43"/>
      <c r="Q720" s="43"/>
      <c r="R720" s="4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1:110" ht="15" customHeight="1" x14ac:dyDescent="0.3">
      <c r="A721" s="56"/>
      <c r="B721" s="57"/>
      <c r="C721" s="57"/>
      <c r="D721" s="58"/>
      <c r="E721" s="56"/>
      <c r="F721" s="57"/>
      <c r="G721" s="57"/>
      <c r="H721" s="58"/>
      <c r="I721" s="42"/>
      <c r="J721" s="43"/>
      <c r="K721" s="43"/>
      <c r="L721" s="43"/>
      <c r="M721" s="43"/>
      <c r="N721" s="43"/>
      <c r="O721" s="43"/>
      <c r="P721" s="43"/>
      <c r="Q721" s="43"/>
      <c r="R721" s="4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1:110" ht="15" customHeight="1" x14ac:dyDescent="0.3">
      <c r="A722" s="59"/>
      <c r="B722" s="60"/>
      <c r="C722" s="60"/>
      <c r="D722" s="61"/>
      <c r="E722" s="59"/>
      <c r="F722" s="60"/>
      <c r="G722" s="60"/>
      <c r="H722" s="61"/>
      <c r="I722" s="42"/>
      <c r="J722" s="43"/>
      <c r="K722" s="43"/>
      <c r="L722" s="43"/>
      <c r="M722" s="43"/>
      <c r="N722" s="43"/>
      <c r="O722" s="43"/>
      <c r="P722" s="43"/>
      <c r="Q722" s="43"/>
      <c r="R722" s="4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1:110" ht="15" customHeight="1" x14ac:dyDescent="0.3">
      <c r="A723" s="33"/>
      <c r="B723" s="33"/>
      <c r="C723" s="33"/>
      <c r="D723" s="33"/>
      <c r="E723" s="33"/>
      <c r="F723" s="33"/>
      <c r="G723" s="33"/>
      <c r="H723" s="33"/>
      <c r="I723" s="42"/>
      <c r="J723" s="43"/>
      <c r="K723" s="43"/>
      <c r="L723" s="43"/>
      <c r="M723" s="43"/>
      <c r="N723" s="43"/>
      <c r="O723" s="43"/>
      <c r="P723" s="43"/>
      <c r="Q723" s="43"/>
      <c r="R723" s="4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1:110" ht="15" customHeight="1" x14ac:dyDescent="0.3">
      <c r="A724" s="33"/>
      <c r="B724" s="33"/>
      <c r="C724" s="33"/>
      <c r="D724" s="33"/>
      <c r="E724" s="33"/>
      <c r="F724" s="33"/>
      <c r="G724" s="33"/>
      <c r="H724" s="33"/>
      <c r="I724" s="42"/>
      <c r="J724" s="43"/>
      <c r="K724" s="43"/>
      <c r="L724" s="43"/>
      <c r="M724" s="43"/>
      <c r="N724" s="43"/>
      <c r="O724" s="43"/>
      <c r="P724" s="43"/>
      <c r="Q724" s="43"/>
      <c r="R724" s="4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1:110" ht="15" customHeight="1" x14ac:dyDescent="0.3">
      <c r="A725" s="33"/>
      <c r="B725" s="33"/>
      <c r="C725" s="33"/>
      <c r="D725" s="33"/>
      <c r="E725" s="33"/>
      <c r="F725" s="33"/>
      <c r="G725" s="33"/>
      <c r="H725" s="33"/>
      <c r="I725" s="42"/>
      <c r="J725" s="43"/>
      <c r="K725" s="43"/>
      <c r="L725" s="43"/>
      <c r="M725" s="43"/>
      <c r="N725" s="43"/>
      <c r="O725" s="43"/>
      <c r="P725" s="43"/>
      <c r="Q725" s="43"/>
      <c r="R725" s="4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1:110" ht="15" customHeight="1" x14ac:dyDescent="0.3">
      <c r="A726" s="33"/>
      <c r="B726" s="33"/>
      <c r="C726" s="33"/>
      <c r="D726" s="33"/>
      <c r="E726" s="33"/>
      <c r="F726" s="33"/>
      <c r="G726" s="33"/>
      <c r="H726" s="33"/>
      <c r="I726" s="42"/>
      <c r="J726" s="43"/>
      <c r="K726" s="43"/>
      <c r="L726" s="43"/>
      <c r="M726" s="43"/>
      <c r="N726" s="43"/>
      <c r="O726" s="43"/>
      <c r="P726" s="43"/>
      <c r="Q726" s="43"/>
      <c r="R726" s="4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1:110" x14ac:dyDescent="0.3">
      <c r="H727" s="4">
        <f t="shared" ref="H727:H730" si="62">D727-C727</f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1:110" x14ac:dyDescent="0.3">
      <c r="H728" s="4">
        <f t="shared" si="62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1:110" x14ac:dyDescent="0.3">
      <c r="H729" s="4">
        <f t="shared" si="62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1:110" x14ac:dyDescent="0.3">
      <c r="H730" s="4">
        <f t="shared" si="62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1:110" x14ac:dyDescent="0.3">
      <c r="H731" s="4">
        <f t="shared" ref="H731:H794" si="63">D731-C731</f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1:110" x14ac:dyDescent="0.3">
      <c r="H732" s="4">
        <f t="shared" si="63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1:110" x14ac:dyDescent="0.3">
      <c r="H733" s="4">
        <f t="shared" si="63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1:110" x14ac:dyDescent="0.3">
      <c r="H734" s="4">
        <f t="shared" si="63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1:110" x14ac:dyDescent="0.3">
      <c r="H735" s="4">
        <f t="shared" si="63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1:110" x14ac:dyDescent="0.3">
      <c r="H736" s="4">
        <f t="shared" si="63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63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63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63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63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63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63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63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63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63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63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63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63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63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63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63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63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63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63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63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63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63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63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63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63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63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63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63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63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63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63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63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63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63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63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63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63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63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63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63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63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63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63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63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63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63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63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63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63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63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63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63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63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63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63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63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63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63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63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ref="H795:H858" si="64">D795-C795</f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64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64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64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64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64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64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64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64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64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64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64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64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64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64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64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64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64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64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64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64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64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64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64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64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64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64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64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64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64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64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64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64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64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64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64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64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64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64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64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64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64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64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64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64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64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64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64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64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64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64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64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64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64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64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64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64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64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64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64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64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64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64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64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ref="H859:H922" si="65">D859-C859</f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65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65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65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65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65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65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65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65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65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65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65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65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65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65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65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65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65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65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65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65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65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65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65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65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65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65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65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65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65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65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65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65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65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65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65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65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65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65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65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65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65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65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65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65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65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65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65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65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65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65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65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65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65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65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65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65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65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65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65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65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65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65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65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ref="H923:H986" si="66">D923-C923</f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66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66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66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66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66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66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66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66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66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66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66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66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66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66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66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66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66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66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66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66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66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66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66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66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66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66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66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66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66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66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66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66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66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66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66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66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66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66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66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66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66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66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66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66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66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66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66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66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66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66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66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66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66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66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66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66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66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66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66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66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66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66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66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ref="H987:H1050" si="67">D987-C987</f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67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67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67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67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67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67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67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67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67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67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67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67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67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67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67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67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67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67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67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67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67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67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67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67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67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67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67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67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67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67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67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67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67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67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67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67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67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67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67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67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67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67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67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67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67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67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67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67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67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67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67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67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67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67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67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67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67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67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67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67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67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67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67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ref="H1051:H1114" si="68">D1051-C1051</f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68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68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68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68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68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68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68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68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68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68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68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68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68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68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68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68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68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68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68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68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68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68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68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68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68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68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68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68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68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68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68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68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68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68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68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68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68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68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68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68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68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68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68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68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68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68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68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68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68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68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68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68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68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68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68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68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68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68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68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68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68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68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68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ref="H1115:H1178" si="69">D1115-C1115</f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69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69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69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69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69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69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69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69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69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69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69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69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69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69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69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69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69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69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69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69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69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69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69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69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69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69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69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69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69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69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69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69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69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69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69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69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69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69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69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69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69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69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69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69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69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69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69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69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69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69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69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69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69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69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69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69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69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69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69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69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69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69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69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ref="H1179:H1242" si="70">D1179-C1179</f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70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70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70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70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70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70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70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70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70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70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70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70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70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70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70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70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70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70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70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70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70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70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70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70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70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70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70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70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70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70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70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70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70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70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70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70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70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70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70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70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70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70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70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70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70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70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70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70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70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70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70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70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70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70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70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70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70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70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70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70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70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70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70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ref="H1243:H1306" si="71">D1243-C1243</f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71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71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71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71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71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71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71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71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71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71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71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71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71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71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71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71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71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71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71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71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71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71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71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71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71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71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71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71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71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71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71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71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71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71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si="71"/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71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71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71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71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71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71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71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si="71"/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71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71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71"/>
        <v>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</row>
    <row r="1290" spans="8:110" x14ac:dyDescent="0.3">
      <c r="H1290" s="4">
        <f t="shared" si="71"/>
        <v>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</row>
    <row r="1291" spans="8:110" x14ac:dyDescent="0.3">
      <c r="H1291" s="4">
        <f t="shared" si="71"/>
        <v>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</row>
    <row r="1292" spans="8:110" x14ac:dyDescent="0.3">
      <c r="H1292" s="4">
        <f t="shared" si="71"/>
        <v>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</row>
    <row r="1293" spans="8:110" x14ac:dyDescent="0.3">
      <c r="H1293" s="4">
        <f t="shared" si="71"/>
        <v>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</row>
    <row r="1294" spans="8:110" x14ac:dyDescent="0.3">
      <c r="H1294" s="4">
        <f t="shared" si="71"/>
        <v>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</row>
    <row r="1295" spans="8:110" x14ac:dyDescent="0.3">
      <c r="H1295" s="4">
        <f t="shared" si="71"/>
        <v>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</row>
    <row r="1296" spans="8:110" x14ac:dyDescent="0.3">
      <c r="H1296" s="4">
        <f t="shared" si="71"/>
        <v>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</row>
    <row r="1297" spans="8:110" x14ac:dyDescent="0.3">
      <c r="H1297" s="4">
        <f t="shared" si="71"/>
        <v>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</row>
    <row r="1298" spans="8:110" x14ac:dyDescent="0.3">
      <c r="H1298" s="4">
        <f t="shared" si="71"/>
        <v>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</row>
    <row r="1299" spans="8:110" x14ac:dyDescent="0.3">
      <c r="H1299" s="4">
        <f t="shared" si="71"/>
        <v>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</row>
    <row r="1300" spans="8:110" x14ac:dyDescent="0.3">
      <c r="H1300" s="4">
        <f t="shared" si="71"/>
        <v>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</row>
    <row r="1301" spans="8:110" x14ac:dyDescent="0.3">
      <c r="H1301" s="4">
        <f t="shared" si="71"/>
        <v>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</row>
    <row r="1302" spans="8:110" x14ac:dyDescent="0.3">
      <c r="H1302" s="4">
        <f t="shared" si="71"/>
        <v>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</row>
    <row r="1303" spans="8:110" x14ac:dyDescent="0.3">
      <c r="H1303" s="4">
        <f t="shared" si="71"/>
        <v>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</row>
    <row r="1304" spans="8:110" x14ac:dyDescent="0.3">
      <c r="H1304" s="4">
        <f t="shared" si="71"/>
        <v>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</row>
    <row r="1305" spans="8:110" x14ac:dyDescent="0.3">
      <c r="H1305" s="4">
        <f t="shared" si="71"/>
        <v>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</row>
    <row r="1306" spans="8:110" x14ac:dyDescent="0.3">
      <c r="H1306" s="4">
        <f t="shared" si="71"/>
        <v>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</row>
    <row r="1307" spans="8:110" x14ac:dyDescent="0.3">
      <c r="H1307" s="4">
        <f t="shared" ref="H1307:H1370" si="72">D1307-C1307</f>
        <v>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</row>
    <row r="1308" spans="8:110" x14ac:dyDescent="0.3">
      <c r="H1308" s="4">
        <f t="shared" si="72"/>
        <v>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</row>
    <row r="1309" spans="8:110" x14ac:dyDescent="0.3">
      <c r="H1309" s="4">
        <f t="shared" si="72"/>
        <v>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</row>
    <row r="1310" spans="8:110" x14ac:dyDescent="0.3">
      <c r="H1310" s="4">
        <f t="shared" si="72"/>
        <v>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</row>
    <row r="1311" spans="8:110" x14ac:dyDescent="0.3">
      <c r="H1311" s="4">
        <f t="shared" si="72"/>
        <v>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</row>
    <row r="1312" spans="8:110" x14ac:dyDescent="0.3">
      <c r="H1312" s="4">
        <f t="shared" si="72"/>
        <v>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</row>
    <row r="1313" spans="8:110" x14ac:dyDescent="0.3">
      <c r="H1313" s="4">
        <f t="shared" si="72"/>
        <v>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</row>
    <row r="1314" spans="8:110" x14ac:dyDescent="0.3">
      <c r="H1314" s="4">
        <f t="shared" si="72"/>
        <v>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</row>
    <row r="1315" spans="8:110" x14ac:dyDescent="0.3">
      <c r="H1315" s="4">
        <f t="shared" si="72"/>
        <v>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</row>
    <row r="1316" spans="8:110" x14ac:dyDescent="0.3">
      <c r="H1316" s="4">
        <f t="shared" si="72"/>
        <v>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</row>
    <row r="1317" spans="8:110" x14ac:dyDescent="0.3">
      <c r="H1317" s="4">
        <f t="shared" si="72"/>
        <v>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</row>
    <row r="1318" spans="8:110" x14ac:dyDescent="0.3">
      <c r="H1318" s="4">
        <f t="shared" si="72"/>
        <v>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</row>
    <row r="1319" spans="8:110" x14ac:dyDescent="0.3">
      <c r="H1319" s="4">
        <f t="shared" si="72"/>
        <v>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</row>
    <row r="1320" spans="8:110" x14ac:dyDescent="0.3">
      <c r="H1320" s="4">
        <f t="shared" si="72"/>
        <v>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</row>
    <row r="1321" spans="8:110" x14ac:dyDescent="0.3">
      <c r="H1321" s="4">
        <f t="shared" si="72"/>
        <v>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</row>
    <row r="1322" spans="8:110" x14ac:dyDescent="0.3">
      <c r="H1322" s="4">
        <f t="shared" si="72"/>
        <v>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</row>
    <row r="1323" spans="8:110" x14ac:dyDescent="0.3">
      <c r="H1323" s="4">
        <f t="shared" si="72"/>
        <v>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</row>
    <row r="1324" spans="8:110" x14ac:dyDescent="0.3">
      <c r="H1324" s="4">
        <f t="shared" si="72"/>
        <v>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</row>
    <row r="1325" spans="8:110" x14ac:dyDescent="0.3">
      <c r="H1325" s="4">
        <f t="shared" si="72"/>
        <v>0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</row>
    <row r="1326" spans="8:110" x14ac:dyDescent="0.3">
      <c r="H1326" s="4">
        <f t="shared" si="72"/>
        <v>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</row>
    <row r="1327" spans="8:110" x14ac:dyDescent="0.3">
      <c r="H1327" s="4">
        <f t="shared" si="72"/>
        <v>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</row>
    <row r="1328" spans="8:110" x14ac:dyDescent="0.3">
      <c r="H1328" s="4">
        <f t="shared" si="72"/>
        <v>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</row>
    <row r="1329" spans="8:110" x14ac:dyDescent="0.3">
      <c r="H1329" s="4">
        <f t="shared" si="72"/>
        <v>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</row>
    <row r="1330" spans="8:110" x14ac:dyDescent="0.3">
      <c r="H1330" s="4">
        <f t="shared" si="72"/>
        <v>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</row>
    <row r="1331" spans="8:110" x14ac:dyDescent="0.3">
      <c r="H1331" s="4">
        <f t="shared" si="72"/>
        <v>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</row>
    <row r="1332" spans="8:110" x14ac:dyDescent="0.3">
      <c r="H1332" s="4">
        <f t="shared" si="72"/>
        <v>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</row>
    <row r="1333" spans="8:110" x14ac:dyDescent="0.3">
      <c r="H1333" s="4">
        <f t="shared" si="72"/>
        <v>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</row>
    <row r="1334" spans="8:110" x14ac:dyDescent="0.3">
      <c r="H1334" s="4">
        <f t="shared" si="72"/>
        <v>0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</row>
    <row r="1335" spans="8:110" x14ac:dyDescent="0.3">
      <c r="H1335" s="4">
        <f t="shared" si="72"/>
        <v>0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</row>
    <row r="1336" spans="8:110" x14ac:dyDescent="0.3">
      <c r="H1336" s="4">
        <f t="shared" si="72"/>
        <v>0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</row>
    <row r="1337" spans="8:110" x14ac:dyDescent="0.3">
      <c r="H1337" s="4">
        <f t="shared" si="72"/>
        <v>0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</row>
    <row r="1338" spans="8:110" x14ac:dyDescent="0.3">
      <c r="H1338" s="4">
        <f t="shared" si="72"/>
        <v>0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</row>
    <row r="1339" spans="8:110" x14ac:dyDescent="0.3">
      <c r="H1339" s="4">
        <f t="shared" si="72"/>
        <v>0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</row>
    <row r="1340" spans="8:110" x14ac:dyDescent="0.3">
      <c r="H1340" s="4">
        <f t="shared" si="72"/>
        <v>0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</row>
    <row r="1341" spans="8:110" x14ac:dyDescent="0.3">
      <c r="H1341" s="4">
        <f t="shared" si="72"/>
        <v>0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</row>
    <row r="1342" spans="8:110" x14ac:dyDescent="0.3">
      <c r="H1342" s="4">
        <f t="shared" si="72"/>
        <v>0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</row>
    <row r="1343" spans="8:110" x14ac:dyDescent="0.3">
      <c r="H1343" s="4">
        <f t="shared" si="72"/>
        <v>0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</row>
    <row r="1344" spans="8:110" x14ac:dyDescent="0.3">
      <c r="H1344" s="4">
        <f t="shared" si="72"/>
        <v>0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</row>
    <row r="1345" spans="8:110" x14ac:dyDescent="0.3">
      <c r="H1345" s="4">
        <f t="shared" si="72"/>
        <v>0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</row>
    <row r="1346" spans="8:110" x14ac:dyDescent="0.3">
      <c r="H1346" s="4">
        <f t="shared" si="72"/>
        <v>0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</row>
    <row r="1347" spans="8:110" x14ac:dyDescent="0.3">
      <c r="H1347" s="4">
        <f t="shared" si="72"/>
        <v>0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</row>
    <row r="1348" spans="8:110" x14ac:dyDescent="0.3">
      <c r="H1348" s="4">
        <f t="shared" si="72"/>
        <v>0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</row>
    <row r="1349" spans="8:110" x14ac:dyDescent="0.3">
      <c r="H1349" s="4">
        <f t="shared" si="72"/>
        <v>0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</row>
    <row r="1350" spans="8:110" x14ac:dyDescent="0.3">
      <c r="H1350" s="4">
        <f t="shared" si="72"/>
        <v>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</row>
    <row r="1351" spans="8:110" x14ac:dyDescent="0.3">
      <c r="H1351" s="4">
        <f t="shared" si="72"/>
        <v>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</row>
    <row r="1352" spans="8:110" x14ac:dyDescent="0.3">
      <c r="H1352" s="4">
        <f t="shared" si="72"/>
        <v>0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</row>
    <row r="1353" spans="8:110" x14ac:dyDescent="0.3">
      <c r="H1353" s="4">
        <f t="shared" si="72"/>
        <v>0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</row>
    <row r="1354" spans="8:110" x14ac:dyDescent="0.3">
      <c r="H1354" s="4">
        <f t="shared" si="72"/>
        <v>0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</row>
    <row r="1355" spans="8:110" x14ac:dyDescent="0.3">
      <c r="H1355" s="4">
        <f t="shared" si="72"/>
        <v>0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</row>
    <row r="1356" spans="8:110" x14ac:dyDescent="0.3">
      <c r="H1356" s="4">
        <f t="shared" si="72"/>
        <v>0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</row>
    <row r="1357" spans="8:110" x14ac:dyDescent="0.3">
      <c r="H1357" s="4">
        <f t="shared" si="72"/>
        <v>0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</row>
    <row r="1358" spans="8:110" x14ac:dyDescent="0.3">
      <c r="H1358" s="4">
        <f t="shared" si="72"/>
        <v>0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</row>
    <row r="1359" spans="8:110" x14ac:dyDescent="0.3">
      <c r="H1359" s="4">
        <f t="shared" si="72"/>
        <v>0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</row>
    <row r="1360" spans="8:110" x14ac:dyDescent="0.3">
      <c r="H1360" s="4">
        <f t="shared" si="72"/>
        <v>0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</row>
    <row r="1361" spans="8:110" x14ac:dyDescent="0.3">
      <c r="H1361" s="4">
        <f t="shared" si="72"/>
        <v>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</row>
    <row r="1362" spans="8:110" x14ac:dyDescent="0.3">
      <c r="H1362" s="4">
        <f t="shared" si="72"/>
        <v>0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</row>
    <row r="1363" spans="8:110" x14ac:dyDescent="0.3">
      <c r="H1363" s="4">
        <f t="shared" si="72"/>
        <v>0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</row>
    <row r="1364" spans="8:110" x14ac:dyDescent="0.3">
      <c r="H1364" s="4">
        <f t="shared" si="72"/>
        <v>0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</row>
    <row r="1365" spans="8:110" x14ac:dyDescent="0.3">
      <c r="H1365" s="4">
        <f t="shared" si="72"/>
        <v>0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</row>
    <row r="1366" spans="8:110" x14ac:dyDescent="0.3">
      <c r="H1366" s="4">
        <f t="shared" si="72"/>
        <v>0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</row>
    <row r="1367" spans="8:110" x14ac:dyDescent="0.3">
      <c r="H1367" s="4">
        <f t="shared" si="72"/>
        <v>0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</row>
    <row r="1368" spans="8:110" x14ac:dyDescent="0.3">
      <c r="H1368" s="4">
        <f t="shared" si="72"/>
        <v>0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</row>
    <row r="1369" spans="8:110" x14ac:dyDescent="0.3">
      <c r="H1369" s="4">
        <f t="shared" si="72"/>
        <v>0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</row>
    <row r="1370" spans="8:110" x14ac:dyDescent="0.3">
      <c r="H1370" s="4">
        <f t="shared" si="72"/>
        <v>0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</row>
    <row r="1371" spans="8:110" x14ac:dyDescent="0.3">
      <c r="H1371" s="4">
        <f t="shared" ref="H1371:H1434" si="73">D1371-C1371</f>
        <v>0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</row>
    <row r="1372" spans="8:110" x14ac:dyDescent="0.3">
      <c r="H1372" s="4">
        <f t="shared" si="73"/>
        <v>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</row>
    <row r="1373" spans="8:110" x14ac:dyDescent="0.3">
      <c r="H1373" s="4">
        <f t="shared" si="73"/>
        <v>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</row>
    <row r="1374" spans="8:110" x14ac:dyDescent="0.3">
      <c r="H1374" s="4">
        <f t="shared" si="73"/>
        <v>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</row>
    <row r="1375" spans="8:110" x14ac:dyDescent="0.3">
      <c r="H1375" s="4">
        <f t="shared" si="73"/>
        <v>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</row>
    <row r="1376" spans="8:110" x14ac:dyDescent="0.3">
      <c r="H1376" s="4">
        <f t="shared" si="73"/>
        <v>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</row>
    <row r="1377" spans="8:110" x14ac:dyDescent="0.3">
      <c r="H1377" s="4">
        <f t="shared" si="73"/>
        <v>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</row>
    <row r="1378" spans="8:110" x14ac:dyDescent="0.3">
      <c r="H1378" s="4">
        <f t="shared" si="73"/>
        <v>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</row>
    <row r="1379" spans="8:110" x14ac:dyDescent="0.3">
      <c r="H1379" s="4">
        <f t="shared" si="73"/>
        <v>0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</row>
    <row r="1380" spans="8:110" x14ac:dyDescent="0.3">
      <c r="H1380" s="4">
        <f t="shared" si="73"/>
        <v>0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</row>
    <row r="1381" spans="8:110" x14ac:dyDescent="0.3">
      <c r="H1381" s="4">
        <f t="shared" si="73"/>
        <v>0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</row>
    <row r="1382" spans="8:110" x14ac:dyDescent="0.3">
      <c r="H1382" s="4">
        <f t="shared" si="73"/>
        <v>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</row>
    <row r="1383" spans="8:110" x14ac:dyDescent="0.3">
      <c r="H1383" s="4">
        <f t="shared" si="73"/>
        <v>0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</row>
    <row r="1384" spans="8:110" x14ac:dyDescent="0.3">
      <c r="H1384" s="4">
        <f t="shared" si="73"/>
        <v>0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</row>
    <row r="1385" spans="8:110" x14ac:dyDescent="0.3">
      <c r="H1385" s="4">
        <f t="shared" si="73"/>
        <v>0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</row>
    <row r="1386" spans="8:110" x14ac:dyDescent="0.3">
      <c r="H1386" s="4">
        <f t="shared" si="73"/>
        <v>0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</row>
    <row r="1387" spans="8:110" x14ac:dyDescent="0.3">
      <c r="H1387" s="4">
        <f t="shared" si="73"/>
        <v>0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</row>
    <row r="1388" spans="8:110" x14ac:dyDescent="0.3">
      <c r="H1388" s="4">
        <f t="shared" si="73"/>
        <v>0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</row>
    <row r="1389" spans="8:110" x14ac:dyDescent="0.3">
      <c r="H1389" s="4">
        <f t="shared" si="73"/>
        <v>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</row>
    <row r="1390" spans="8:110" x14ac:dyDescent="0.3">
      <c r="H1390" s="4">
        <f t="shared" si="73"/>
        <v>0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</row>
    <row r="1391" spans="8:110" x14ac:dyDescent="0.3">
      <c r="H1391" s="4">
        <f t="shared" si="73"/>
        <v>0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</row>
    <row r="1392" spans="8:110" x14ac:dyDescent="0.3">
      <c r="H1392" s="4">
        <f t="shared" si="73"/>
        <v>0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</row>
    <row r="1393" spans="8:110" x14ac:dyDescent="0.3">
      <c r="H1393" s="4">
        <f t="shared" si="73"/>
        <v>0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</row>
    <row r="1394" spans="8:110" x14ac:dyDescent="0.3">
      <c r="H1394" s="4">
        <f t="shared" si="73"/>
        <v>0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</row>
    <row r="1395" spans="8:110" x14ac:dyDescent="0.3">
      <c r="H1395" s="4">
        <f t="shared" si="73"/>
        <v>0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</row>
    <row r="1396" spans="8:110" x14ac:dyDescent="0.3">
      <c r="H1396" s="4">
        <f t="shared" si="73"/>
        <v>0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</row>
    <row r="1397" spans="8:110" x14ac:dyDescent="0.3">
      <c r="H1397" s="4">
        <f t="shared" si="73"/>
        <v>0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</row>
    <row r="1398" spans="8:110" x14ac:dyDescent="0.3">
      <c r="H1398" s="4">
        <f t="shared" si="73"/>
        <v>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</row>
    <row r="1399" spans="8:110" x14ac:dyDescent="0.3">
      <c r="H1399" s="4">
        <f t="shared" si="73"/>
        <v>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</row>
    <row r="1400" spans="8:110" x14ac:dyDescent="0.3">
      <c r="H1400" s="4">
        <f t="shared" si="73"/>
        <v>0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</row>
    <row r="1401" spans="8:110" x14ac:dyDescent="0.3">
      <c r="H1401" s="4">
        <f t="shared" si="73"/>
        <v>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</row>
    <row r="1402" spans="8:110" x14ac:dyDescent="0.3">
      <c r="H1402" s="4">
        <f t="shared" si="73"/>
        <v>0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</row>
    <row r="1403" spans="8:110" x14ac:dyDescent="0.3">
      <c r="H1403" s="4">
        <f t="shared" si="73"/>
        <v>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</row>
    <row r="1404" spans="8:110" x14ac:dyDescent="0.3">
      <c r="H1404" s="4">
        <f t="shared" si="73"/>
        <v>0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</row>
    <row r="1405" spans="8:110" x14ac:dyDescent="0.3">
      <c r="H1405" s="4">
        <f t="shared" si="73"/>
        <v>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</row>
    <row r="1406" spans="8:110" x14ac:dyDescent="0.3">
      <c r="H1406" s="4">
        <f t="shared" si="73"/>
        <v>0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</row>
    <row r="1407" spans="8:110" x14ac:dyDescent="0.3">
      <c r="H1407" s="4">
        <f t="shared" si="73"/>
        <v>0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</row>
    <row r="1408" spans="8:110" x14ac:dyDescent="0.3">
      <c r="H1408" s="4">
        <f t="shared" si="73"/>
        <v>0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</row>
    <row r="1409" spans="8:110" x14ac:dyDescent="0.3">
      <c r="H1409" s="4">
        <f t="shared" si="73"/>
        <v>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</row>
    <row r="1410" spans="8:110" x14ac:dyDescent="0.3">
      <c r="H1410" s="4">
        <f t="shared" si="73"/>
        <v>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</row>
    <row r="1411" spans="8:110" x14ac:dyDescent="0.3">
      <c r="H1411" s="4">
        <f t="shared" si="73"/>
        <v>0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</row>
    <row r="1412" spans="8:110" x14ac:dyDescent="0.3">
      <c r="H1412" s="4">
        <f t="shared" si="73"/>
        <v>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</row>
    <row r="1413" spans="8:110" x14ac:dyDescent="0.3">
      <c r="H1413" s="4">
        <f t="shared" si="73"/>
        <v>0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</row>
    <row r="1414" spans="8:110" x14ac:dyDescent="0.3">
      <c r="H1414" s="4">
        <f t="shared" si="73"/>
        <v>0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</row>
    <row r="1415" spans="8:110" x14ac:dyDescent="0.3">
      <c r="H1415" s="4">
        <f t="shared" si="73"/>
        <v>0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</row>
    <row r="1416" spans="8:110" x14ac:dyDescent="0.3">
      <c r="H1416" s="4">
        <f t="shared" si="73"/>
        <v>0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</row>
    <row r="1417" spans="8:110" x14ac:dyDescent="0.3">
      <c r="H1417" s="4">
        <f t="shared" si="73"/>
        <v>0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</row>
    <row r="1418" spans="8:110" x14ac:dyDescent="0.3">
      <c r="H1418" s="4">
        <f t="shared" si="73"/>
        <v>0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</row>
    <row r="1419" spans="8:110" x14ac:dyDescent="0.3">
      <c r="H1419" s="4">
        <f t="shared" si="73"/>
        <v>0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</row>
    <row r="1420" spans="8:110" x14ac:dyDescent="0.3">
      <c r="H1420" s="4">
        <f t="shared" si="73"/>
        <v>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</row>
    <row r="1421" spans="8:110" x14ac:dyDescent="0.3">
      <c r="H1421" s="4">
        <f t="shared" si="73"/>
        <v>0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</row>
    <row r="1422" spans="8:110" x14ac:dyDescent="0.3">
      <c r="H1422" s="4">
        <f t="shared" si="73"/>
        <v>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</row>
    <row r="1423" spans="8:110" x14ac:dyDescent="0.3">
      <c r="H1423" s="4">
        <f t="shared" si="73"/>
        <v>0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</row>
    <row r="1424" spans="8:110" x14ac:dyDescent="0.3">
      <c r="H1424" s="4">
        <f t="shared" si="73"/>
        <v>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</row>
    <row r="1425" spans="8:110" x14ac:dyDescent="0.3">
      <c r="H1425" s="4">
        <f t="shared" si="73"/>
        <v>0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</row>
    <row r="1426" spans="8:110" x14ac:dyDescent="0.3">
      <c r="H1426" s="4">
        <f t="shared" si="73"/>
        <v>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</row>
    <row r="1427" spans="8:110" x14ac:dyDescent="0.3">
      <c r="H1427" s="4">
        <f t="shared" si="73"/>
        <v>0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</row>
    <row r="1428" spans="8:110" x14ac:dyDescent="0.3">
      <c r="H1428" s="4">
        <f t="shared" si="73"/>
        <v>0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</row>
    <row r="1429" spans="8:110" x14ac:dyDescent="0.3">
      <c r="H1429" s="4">
        <f t="shared" si="73"/>
        <v>0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</row>
    <row r="1430" spans="8:110" x14ac:dyDescent="0.3">
      <c r="H1430" s="4">
        <f t="shared" si="73"/>
        <v>0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</row>
    <row r="1431" spans="8:110" x14ac:dyDescent="0.3">
      <c r="H1431" s="4">
        <f t="shared" si="73"/>
        <v>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</row>
    <row r="1432" spans="8:110" x14ac:dyDescent="0.3">
      <c r="H1432" s="4">
        <f t="shared" si="73"/>
        <v>0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</row>
    <row r="1433" spans="8:110" x14ac:dyDescent="0.3">
      <c r="H1433" s="4">
        <f t="shared" si="73"/>
        <v>0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</row>
    <row r="1434" spans="8:110" x14ac:dyDescent="0.3">
      <c r="H1434" s="4">
        <f t="shared" si="73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4">
        <f t="shared" ref="H1435:H1498" si="74">D1435-C1435</f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4">
        <f t="shared" si="74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4">
        <f t="shared" si="74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4">
        <f t="shared" si="74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4">
        <f t="shared" si="74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4">
        <f t="shared" si="74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4">
        <f t="shared" si="74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4">
        <f t="shared" si="74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4">
        <f t="shared" si="74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4">
        <f t="shared" si="74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4">
        <f t="shared" si="74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4">
        <f t="shared" si="74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4">
        <f t="shared" si="74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4">
        <f t="shared" si="74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4">
        <f t="shared" si="74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4">
        <f t="shared" si="74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4">
        <f t="shared" si="74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4">
        <f t="shared" si="74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4">
        <f t="shared" si="74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4">
        <f t="shared" si="74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4">
        <f t="shared" si="74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4">
        <f t="shared" si="74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4">
        <f t="shared" si="74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4">
        <f t="shared" si="74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4">
        <f t="shared" si="74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4">
        <f t="shared" si="74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4">
        <f t="shared" si="74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4">
        <f t="shared" si="74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4">
        <f t="shared" si="74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4">
        <f t="shared" si="74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4">
        <f t="shared" si="74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4">
        <f t="shared" si="74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4">
        <f t="shared" si="74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4">
        <f t="shared" si="74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4">
        <f t="shared" si="74"/>
        <v>0</v>
      </c>
      <c r="K1469" s="3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</row>
    <row r="1470" spans="8:110" x14ac:dyDescent="0.3">
      <c r="H1470" s="4">
        <f t="shared" si="74"/>
        <v>0</v>
      </c>
      <c r="K1470" s="3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</row>
    <row r="1471" spans="8:110" x14ac:dyDescent="0.3">
      <c r="H1471" s="4">
        <f t="shared" si="74"/>
        <v>0</v>
      </c>
      <c r="K1471" s="3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</row>
    <row r="1472" spans="8:110" x14ac:dyDescent="0.3">
      <c r="H1472" s="4">
        <f t="shared" si="74"/>
        <v>0</v>
      </c>
      <c r="K1472" s="3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</row>
    <row r="1473" spans="8:110" x14ac:dyDescent="0.3">
      <c r="H1473" s="4">
        <f t="shared" si="74"/>
        <v>0</v>
      </c>
      <c r="K1473" s="3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</row>
    <row r="1474" spans="8:110" x14ac:dyDescent="0.3">
      <c r="H1474" s="4">
        <f t="shared" si="74"/>
        <v>0</v>
      </c>
      <c r="K1474" s="3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6"/>
      <c r="DF1474" s="16"/>
    </row>
    <row r="1475" spans="8:110" x14ac:dyDescent="0.3">
      <c r="H1475" s="4">
        <f t="shared" si="74"/>
        <v>0</v>
      </c>
      <c r="K1475" s="3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</row>
    <row r="1476" spans="8:110" x14ac:dyDescent="0.3">
      <c r="H1476" s="4">
        <f t="shared" si="74"/>
        <v>0</v>
      </c>
      <c r="K1476" s="3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</row>
    <row r="1477" spans="8:110" x14ac:dyDescent="0.3">
      <c r="H1477" s="4">
        <f t="shared" si="74"/>
        <v>0</v>
      </c>
      <c r="K1477" s="3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</row>
    <row r="1478" spans="8:110" x14ac:dyDescent="0.3">
      <c r="H1478" s="4">
        <f t="shared" si="74"/>
        <v>0</v>
      </c>
      <c r="K1478" s="3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</row>
    <row r="1479" spans="8:110" x14ac:dyDescent="0.3">
      <c r="H1479" s="4">
        <f t="shared" si="74"/>
        <v>0</v>
      </c>
      <c r="K1479" s="3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</row>
    <row r="1480" spans="8:110" x14ac:dyDescent="0.3">
      <c r="H1480" s="4">
        <f t="shared" si="74"/>
        <v>0</v>
      </c>
      <c r="K1480" s="3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</row>
    <row r="1481" spans="8:110" x14ac:dyDescent="0.3">
      <c r="H1481" s="4">
        <f t="shared" si="74"/>
        <v>0</v>
      </c>
      <c r="K1481" s="3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</row>
    <row r="1482" spans="8:110" x14ac:dyDescent="0.3">
      <c r="H1482" s="4">
        <f t="shared" si="74"/>
        <v>0</v>
      </c>
      <c r="K1482" s="3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6"/>
      <c r="DF1482" s="16"/>
    </row>
    <row r="1483" spans="8:110" x14ac:dyDescent="0.3">
      <c r="H1483" s="4">
        <f t="shared" si="74"/>
        <v>0</v>
      </c>
      <c r="K1483" s="3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</row>
    <row r="1484" spans="8:110" x14ac:dyDescent="0.3">
      <c r="H1484" s="4">
        <f t="shared" si="74"/>
        <v>0</v>
      </c>
      <c r="K1484" s="3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</row>
    <row r="1485" spans="8:110" x14ac:dyDescent="0.3">
      <c r="H1485" s="4">
        <f t="shared" si="74"/>
        <v>0</v>
      </c>
      <c r="K1485" s="3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</row>
    <row r="1486" spans="8:110" x14ac:dyDescent="0.3">
      <c r="H1486" s="4">
        <f t="shared" si="74"/>
        <v>0</v>
      </c>
      <c r="K1486" s="3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</row>
    <row r="1487" spans="8:110" x14ac:dyDescent="0.3">
      <c r="H1487" s="4">
        <f t="shared" si="74"/>
        <v>0</v>
      </c>
      <c r="K1487" s="3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</row>
    <row r="1488" spans="8:110" x14ac:dyDescent="0.3">
      <c r="H1488" s="4">
        <f t="shared" si="74"/>
        <v>0</v>
      </c>
      <c r="K1488" s="3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</row>
    <row r="1489" spans="8:110" x14ac:dyDescent="0.3">
      <c r="H1489" s="4">
        <f t="shared" si="74"/>
        <v>0</v>
      </c>
      <c r="K1489" s="3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</row>
    <row r="1490" spans="8:110" x14ac:dyDescent="0.3">
      <c r="H1490" s="4">
        <f t="shared" si="74"/>
        <v>0</v>
      </c>
      <c r="K1490" s="3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</row>
    <row r="1491" spans="8:110" x14ac:dyDescent="0.3">
      <c r="H1491" s="4">
        <f t="shared" si="74"/>
        <v>0</v>
      </c>
      <c r="K1491" s="3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</row>
    <row r="1492" spans="8:110" x14ac:dyDescent="0.3">
      <c r="H1492" s="4">
        <f t="shared" si="74"/>
        <v>0</v>
      </c>
      <c r="K1492" s="3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6"/>
      <c r="DF1492" s="16"/>
    </row>
    <row r="1493" spans="8:110" x14ac:dyDescent="0.3">
      <c r="H1493" s="4">
        <f t="shared" si="74"/>
        <v>0</v>
      </c>
      <c r="K1493" s="3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</row>
    <row r="1494" spans="8:110" x14ac:dyDescent="0.3">
      <c r="H1494" s="4">
        <f t="shared" si="74"/>
        <v>0</v>
      </c>
      <c r="K1494" s="3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</row>
    <row r="1495" spans="8:110" x14ac:dyDescent="0.3">
      <c r="H1495" s="4">
        <f t="shared" si="74"/>
        <v>0</v>
      </c>
      <c r="K1495" s="3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</row>
    <row r="1496" spans="8:110" x14ac:dyDescent="0.3">
      <c r="H1496" s="4">
        <f t="shared" si="74"/>
        <v>0</v>
      </c>
      <c r="K1496" s="3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</row>
    <row r="1497" spans="8:110" x14ac:dyDescent="0.3">
      <c r="H1497" s="4">
        <f t="shared" si="74"/>
        <v>0</v>
      </c>
      <c r="K1497" s="3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</row>
    <row r="1498" spans="8:110" x14ac:dyDescent="0.3">
      <c r="H1498" s="4">
        <f t="shared" si="74"/>
        <v>0</v>
      </c>
      <c r="K1498" s="3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</row>
    <row r="1499" spans="8:110" x14ac:dyDescent="0.3">
      <c r="H1499" s="4">
        <f t="shared" ref="H1499:H1562" si="75">D1499-C1499</f>
        <v>0</v>
      </c>
      <c r="K1499" s="3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</row>
    <row r="1500" spans="8:110" x14ac:dyDescent="0.3">
      <c r="H1500" s="4">
        <f t="shared" si="75"/>
        <v>0</v>
      </c>
      <c r="K1500" s="3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</row>
    <row r="1501" spans="8:110" x14ac:dyDescent="0.3">
      <c r="H1501" s="4">
        <f t="shared" si="75"/>
        <v>0</v>
      </c>
      <c r="K1501" s="3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</row>
    <row r="1502" spans="8:110" x14ac:dyDescent="0.3">
      <c r="H1502" s="4">
        <f t="shared" si="75"/>
        <v>0</v>
      </c>
      <c r="K1502" s="3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</row>
    <row r="1503" spans="8:110" x14ac:dyDescent="0.3">
      <c r="H1503" s="4">
        <f t="shared" si="75"/>
        <v>0</v>
      </c>
      <c r="K1503" s="3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</row>
    <row r="1504" spans="8:110" x14ac:dyDescent="0.3">
      <c r="H1504" s="4">
        <f t="shared" si="75"/>
        <v>0</v>
      </c>
      <c r="K1504" s="3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</row>
    <row r="1505" spans="8:110" x14ac:dyDescent="0.3">
      <c r="H1505" s="4">
        <f t="shared" si="75"/>
        <v>0</v>
      </c>
      <c r="K1505" s="3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</row>
    <row r="1506" spans="8:110" x14ac:dyDescent="0.3">
      <c r="H1506" s="4">
        <f t="shared" si="75"/>
        <v>0</v>
      </c>
      <c r="K1506" s="3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</row>
    <row r="1507" spans="8:110" x14ac:dyDescent="0.3">
      <c r="H1507" s="4">
        <f t="shared" si="75"/>
        <v>0</v>
      </c>
      <c r="K1507" s="3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</row>
    <row r="1508" spans="8:110" x14ac:dyDescent="0.3">
      <c r="H1508" s="4">
        <f t="shared" si="75"/>
        <v>0</v>
      </c>
      <c r="K1508" s="3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</row>
    <row r="1509" spans="8:110" x14ac:dyDescent="0.3">
      <c r="H1509" s="4">
        <f t="shared" si="75"/>
        <v>0</v>
      </c>
      <c r="K1509" s="3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</row>
    <row r="1510" spans="8:110" x14ac:dyDescent="0.3">
      <c r="H1510" s="4">
        <f t="shared" si="75"/>
        <v>0</v>
      </c>
      <c r="K1510" s="3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</row>
    <row r="1511" spans="8:110" x14ac:dyDescent="0.3">
      <c r="H1511" s="4">
        <f t="shared" si="75"/>
        <v>0</v>
      </c>
      <c r="K1511" s="3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</row>
    <row r="1512" spans="8:110" x14ac:dyDescent="0.3">
      <c r="H1512" s="4">
        <f t="shared" si="75"/>
        <v>0</v>
      </c>
      <c r="K1512" s="3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</row>
    <row r="1513" spans="8:110" x14ac:dyDescent="0.3">
      <c r="H1513" s="4">
        <f t="shared" si="75"/>
        <v>0</v>
      </c>
      <c r="K1513" s="3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</row>
    <row r="1514" spans="8:110" x14ac:dyDescent="0.3">
      <c r="H1514" s="4">
        <f t="shared" si="75"/>
        <v>0</v>
      </c>
      <c r="K1514" s="3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/>
      <c r="DC1514" s="16"/>
      <c r="DD1514" s="16"/>
      <c r="DE1514" s="16"/>
      <c r="DF1514" s="16"/>
    </row>
    <row r="1515" spans="8:110" x14ac:dyDescent="0.3">
      <c r="H1515" s="4">
        <f t="shared" si="75"/>
        <v>0</v>
      </c>
      <c r="K1515" s="3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6"/>
      <c r="DF1515" s="16"/>
    </row>
    <row r="1516" spans="8:110" x14ac:dyDescent="0.3">
      <c r="H1516" s="4">
        <f t="shared" si="75"/>
        <v>0</v>
      </c>
      <c r="K1516" s="3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</row>
    <row r="1517" spans="8:110" x14ac:dyDescent="0.3">
      <c r="H1517" s="4">
        <f t="shared" si="75"/>
        <v>0</v>
      </c>
      <c r="K1517" s="3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6"/>
      <c r="DF1517" s="16"/>
    </row>
    <row r="1518" spans="8:110" x14ac:dyDescent="0.3">
      <c r="H1518" s="4">
        <f t="shared" si="75"/>
        <v>0</v>
      </c>
      <c r="K1518" s="3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16"/>
      <c r="BP1518" s="16"/>
      <c r="BQ1518" s="16"/>
      <c r="BR1518" s="16"/>
      <c r="BS1518" s="16"/>
      <c r="BT1518" s="16"/>
      <c r="BU1518" s="16"/>
      <c r="BV1518" s="16"/>
      <c r="BW1518" s="16"/>
      <c r="BX1518" s="16"/>
      <c r="BY1518" s="16"/>
      <c r="BZ1518" s="16"/>
      <c r="CA1518" s="16"/>
      <c r="CB1518" s="16"/>
      <c r="CC1518" s="16"/>
      <c r="CD1518" s="16"/>
      <c r="CE1518" s="16"/>
      <c r="CF1518" s="16"/>
      <c r="CG1518" s="16"/>
      <c r="CH1518" s="16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6"/>
      <c r="CX1518" s="16"/>
      <c r="CY1518" s="16"/>
      <c r="CZ1518" s="16"/>
      <c r="DA1518" s="16"/>
      <c r="DB1518" s="16"/>
      <c r="DC1518" s="16"/>
      <c r="DD1518" s="16"/>
      <c r="DE1518" s="16"/>
      <c r="DF1518" s="16"/>
    </row>
    <row r="1519" spans="8:110" x14ac:dyDescent="0.3">
      <c r="H1519" s="4">
        <f t="shared" si="75"/>
        <v>0</v>
      </c>
      <c r="K1519" s="3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</row>
    <row r="1520" spans="8:110" x14ac:dyDescent="0.3">
      <c r="H1520" s="4">
        <f t="shared" si="75"/>
        <v>0</v>
      </c>
      <c r="K1520" s="3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16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6"/>
      <c r="CH1520" s="16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6"/>
      <c r="DF1520" s="16"/>
    </row>
    <row r="1521" spans="8:110" x14ac:dyDescent="0.3">
      <c r="H1521" s="4">
        <f t="shared" si="75"/>
        <v>0</v>
      </c>
      <c r="K1521" s="3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</row>
    <row r="1522" spans="8:110" x14ac:dyDescent="0.3">
      <c r="H1522" s="4">
        <f t="shared" si="75"/>
        <v>0</v>
      </c>
      <c r="K1522" s="3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16"/>
      <c r="BP1522" s="16"/>
      <c r="BQ1522" s="16"/>
      <c r="BR1522" s="16"/>
      <c r="BS1522" s="16"/>
      <c r="BT1522" s="16"/>
      <c r="BU1522" s="16"/>
      <c r="BV1522" s="16"/>
      <c r="BW1522" s="16"/>
      <c r="BX1522" s="16"/>
      <c r="BY1522" s="16"/>
      <c r="BZ1522" s="16"/>
      <c r="CA1522" s="16"/>
      <c r="CB1522" s="16"/>
      <c r="CC1522" s="16"/>
      <c r="CD1522" s="16"/>
      <c r="CE1522" s="16"/>
      <c r="CF1522" s="16"/>
      <c r="CG1522" s="16"/>
      <c r="CH1522" s="16"/>
      <c r="CI1522" s="16"/>
      <c r="CJ1522" s="16"/>
      <c r="CK1522" s="16"/>
      <c r="CL1522" s="16"/>
      <c r="CM1522" s="16"/>
      <c r="CN1522" s="16"/>
      <c r="CO1522" s="16"/>
      <c r="CP1522" s="16"/>
      <c r="CQ1522" s="16"/>
      <c r="CR1522" s="16"/>
      <c r="CS1522" s="16"/>
      <c r="CT1522" s="16"/>
      <c r="CU1522" s="16"/>
      <c r="CV1522" s="16"/>
      <c r="CW1522" s="16"/>
      <c r="CX1522" s="16"/>
      <c r="CY1522" s="16"/>
      <c r="CZ1522" s="16"/>
      <c r="DA1522" s="16"/>
      <c r="DB1522" s="16"/>
      <c r="DC1522" s="16"/>
      <c r="DD1522" s="16"/>
      <c r="DE1522" s="16"/>
      <c r="DF1522" s="16"/>
    </row>
    <row r="1523" spans="8:110" x14ac:dyDescent="0.3">
      <c r="H1523" s="4">
        <f t="shared" si="75"/>
        <v>0</v>
      </c>
      <c r="K1523" s="3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</row>
    <row r="1524" spans="8:110" x14ac:dyDescent="0.3">
      <c r="H1524" s="4">
        <f t="shared" si="75"/>
        <v>0</v>
      </c>
      <c r="K1524" s="3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s="16"/>
      <c r="BG1524" s="16"/>
      <c r="BH1524" s="16"/>
      <c r="BI1524" s="16"/>
      <c r="BJ1524" s="16"/>
      <c r="BK1524" s="16"/>
      <c r="BL1524" s="16"/>
      <c r="BM1524" s="16"/>
      <c r="BN1524" s="16"/>
      <c r="BO1524" s="16"/>
      <c r="BP1524" s="16"/>
      <c r="BQ1524" s="16"/>
      <c r="BR1524" s="16"/>
      <c r="BS1524" s="16"/>
      <c r="BT1524" s="16"/>
      <c r="BU1524" s="16"/>
      <c r="BV1524" s="16"/>
      <c r="BW1524" s="16"/>
      <c r="BX1524" s="16"/>
      <c r="BY1524" s="16"/>
      <c r="BZ1524" s="16"/>
      <c r="CA1524" s="16"/>
      <c r="CB1524" s="16"/>
      <c r="CC1524" s="16"/>
      <c r="CD1524" s="16"/>
      <c r="CE1524" s="16"/>
      <c r="CF1524" s="16"/>
      <c r="CG1524" s="16"/>
      <c r="CH1524" s="16"/>
      <c r="CI1524" s="16"/>
      <c r="CJ1524" s="16"/>
      <c r="CK1524" s="16"/>
      <c r="CL1524" s="16"/>
      <c r="CM1524" s="16"/>
      <c r="CN1524" s="16"/>
      <c r="CO1524" s="16"/>
      <c r="CP1524" s="16"/>
      <c r="CQ1524" s="16"/>
      <c r="CR1524" s="16"/>
      <c r="CS1524" s="16"/>
      <c r="CT1524" s="16"/>
      <c r="CU1524" s="16"/>
      <c r="CV1524" s="16"/>
      <c r="CW1524" s="16"/>
      <c r="CX1524" s="16"/>
      <c r="CY1524" s="16"/>
      <c r="CZ1524" s="16"/>
      <c r="DA1524" s="16"/>
      <c r="DB1524" s="16"/>
      <c r="DC1524" s="16"/>
      <c r="DD1524" s="16"/>
      <c r="DE1524" s="16"/>
      <c r="DF1524" s="16"/>
    </row>
    <row r="1525" spans="8:110" x14ac:dyDescent="0.3">
      <c r="H1525" s="4">
        <f t="shared" si="75"/>
        <v>0</v>
      </c>
      <c r="K1525" s="3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  <c r="BN1525" s="16"/>
      <c r="BO1525" s="16"/>
      <c r="BP1525" s="16"/>
      <c r="BQ1525" s="16"/>
      <c r="BR1525" s="16"/>
      <c r="BS1525" s="16"/>
      <c r="BT1525" s="16"/>
      <c r="BU1525" s="16"/>
      <c r="BV1525" s="16"/>
      <c r="BW1525" s="16"/>
      <c r="BX1525" s="16"/>
      <c r="BY1525" s="16"/>
      <c r="BZ1525" s="16"/>
      <c r="CA1525" s="16"/>
      <c r="CB1525" s="16"/>
      <c r="CC1525" s="16"/>
      <c r="CD1525" s="16"/>
      <c r="CE1525" s="16"/>
      <c r="CF1525" s="16"/>
      <c r="CG1525" s="16"/>
      <c r="CH1525" s="16"/>
      <c r="CI1525" s="16"/>
      <c r="CJ1525" s="16"/>
      <c r="CK1525" s="16"/>
      <c r="CL1525" s="16"/>
      <c r="CM1525" s="16"/>
      <c r="CN1525" s="16"/>
      <c r="CO1525" s="16"/>
      <c r="CP1525" s="16"/>
      <c r="CQ1525" s="16"/>
      <c r="CR1525" s="16"/>
      <c r="CS1525" s="16"/>
      <c r="CT1525" s="16"/>
      <c r="CU1525" s="16"/>
      <c r="CV1525" s="16"/>
      <c r="CW1525" s="16"/>
      <c r="CX1525" s="16"/>
      <c r="CY1525" s="16"/>
      <c r="CZ1525" s="16"/>
      <c r="DA1525" s="16"/>
      <c r="DB1525" s="16"/>
      <c r="DC1525" s="16"/>
      <c r="DD1525" s="16"/>
      <c r="DE1525" s="16"/>
      <c r="DF1525" s="16"/>
    </row>
    <row r="1526" spans="8:110" x14ac:dyDescent="0.3">
      <c r="H1526" s="4">
        <f t="shared" si="75"/>
        <v>0</v>
      </c>
      <c r="K1526" s="3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  <c r="BG1526" s="16"/>
      <c r="BH1526" s="16"/>
      <c r="BI1526" s="16"/>
      <c r="BJ1526" s="16"/>
      <c r="BK1526" s="16"/>
      <c r="BL1526" s="16"/>
      <c r="BM1526" s="16"/>
      <c r="BN1526" s="16"/>
      <c r="BO1526" s="16"/>
      <c r="BP1526" s="16"/>
      <c r="BQ1526" s="16"/>
      <c r="BR1526" s="16"/>
      <c r="BS1526" s="16"/>
      <c r="BT1526" s="16"/>
      <c r="BU1526" s="16"/>
      <c r="BV1526" s="16"/>
      <c r="BW1526" s="16"/>
      <c r="BX1526" s="16"/>
      <c r="BY1526" s="16"/>
      <c r="BZ1526" s="16"/>
      <c r="CA1526" s="16"/>
      <c r="CB1526" s="16"/>
      <c r="CC1526" s="16"/>
      <c r="CD1526" s="16"/>
      <c r="CE1526" s="16"/>
      <c r="CF1526" s="16"/>
      <c r="CG1526" s="16"/>
      <c r="CH1526" s="16"/>
      <c r="CI1526" s="16"/>
      <c r="CJ1526" s="16"/>
      <c r="CK1526" s="16"/>
      <c r="CL1526" s="16"/>
      <c r="CM1526" s="16"/>
      <c r="CN1526" s="16"/>
      <c r="CO1526" s="16"/>
      <c r="CP1526" s="16"/>
      <c r="CQ1526" s="16"/>
      <c r="CR1526" s="16"/>
      <c r="CS1526" s="16"/>
      <c r="CT1526" s="16"/>
      <c r="CU1526" s="16"/>
      <c r="CV1526" s="16"/>
      <c r="CW1526" s="16"/>
      <c r="CX1526" s="16"/>
      <c r="CY1526" s="16"/>
      <c r="CZ1526" s="16"/>
      <c r="DA1526" s="16"/>
      <c r="DB1526" s="16"/>
      <c r="DC1526" s="16"/>
      <c r="DD1526" s="16"/>
      <c r="DE1526" s="16"/>
      <c r="DF1526" s="16"/>
    </row>
    <row r="1527" spans="8:110" x14ac:dyDescent="0.3">
      <c r="H1527" s="4">
        <f t="shared" si="75"/>
        <v>0</v>
      </c>
      <c r="K1527" s="3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s="16"/>
      <c r="BG1527" s="16"/>
      <c r="BH1527" s="16"/>
      <c r="BI1527" s="16"/>
      <c r="BJ1527" s="16"/>
      <c r="BK1527" s="16"/>
      <c r="BL1527" s="16"/>
      <c r="BM1527" s="16"/>
      <c r="BN1527" s="16"/>
      <c r="BO1527" s="16"/>
      <c r="BP1527" s="16"/>
      <c r="BQ1527" s="16"/>
      <c r="BR1527" s="16"/>
      <c r="BS1527" s="16"/>
      <c r="BT1527" s="16"/>
      <c r="BU1527" s="16"/>
      <c r="BV1527" s="16"/>
      <c r="BW1527" s="16"/>
      <c r="BX1527" s="16"/>
      <c r="BY1527" s="16"/>
      <c r="BZ1527" s="16"/>
      <c r="CA1527" s="16"/>
      <c r="CB1527" s="16"/>
      <c r="CC1527" s="16"/>
      <c r="CD1527" s="16"/>
      <c r="CE1527" s="16"/>
      <c r="CF1527" s="16"/>
      <c r="CG1527" s="16"/>
      <c r="CH1527" s="16"/>
      <c r="CI1527" s="16"/>
      <c r="CJ1527" s="16"/>
      <c r="CK1527" s="16"/>
      <c r="CL1527" s="16"/>
      <c r="CM1527" s="16"/>
      <c r="CN1527" s="16"/>
      <c r="CO1527" s="16"/>
      <c r="CP1527" s="16"/>
      <c r="CQ1527" s="16"/>
      <c r="CR1527" s="16"/>
      <c r="CS1527" s="16"/>
      <c r="CT1527" s="16"/>
      <c r="CU1527" s="16"/>
      <c r="CV1527" s="16"/>
      <c r="CW1527" s="16"/>
      <c r="CX1527" s="16"/>
      <c r="CY1527" s="16"/>
      <c r="CZ1527" s="16"/>
      <c r="DA1527" s="16"/>
      <c r="DB1527" s="16"/>
      <c r="DC1527" s="16"/>
      <c r="DD1527" s="16"/>
      <c r="DE1527" s="16"/>
      <c r="DF1527" s="16"/>
    </row>
    <row r="1528" spans="8:110" x14ac:dyDescent="0.3">
      <c r="H1528" s="4">
        <f t="shared" si="75"/>
        <v>0</v>
      </c>
      <c r="K1528" s="3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</row>
    <row r="1529" spans="8:110" x14ac:dyDescent="0.3">
      <c r="H1529" s="4">
        <f t="shared" si="75"/>
        <v>0</v>
      </c>
      <c r="K1529" s="3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s="16"/>
      <c r="BG1529" s="16"/>
      <c r="BH1529" s="16"/>
      <c r="BI1529" s="16"/>
      <c r="BJ1529" s="16"/>
      <c r="BK1529" s="16"/>
      <c r="BL1529" s="16"/>
      <c r="BM1529" s="16"/>
      <c r="BN1529" s="16"/>
      <c r="BO1529" s="16"/>
      <c r="BP1529" s="16"/>
      <c r="BQ1529" s="16"/>
      <c r="BR1529" s="16"/>
      <c r="BS1529" s="16"/>
      <c r="BT1529" s="16"/>
      <c r="BU1529" s="16"/>
      <c r="BV1529" s="16"/>
      <c r="BW1529" s="16"/>
      <c r="BX1529" s="16"/>
      <c r="BY1529" s="16"/>
      <c r="BZ1529" s="16"/>
      <c r="CA1529" s="16"/>
      <c r="CB1529" s="16"/>
      <c r="CC1529" s="16"/>
      <c r="CD1529" s="16"/>
      <c r="CE1529" s="16"/>
      <c r="CF1529" s="16"/>
      <c r="CG1529" s="16"/>
      <c r="CH1529" s="16"/>
      <c r="CI1529" s="16"/>
      <c r="CJ1529" s="16"/>
      <c r="CK1529" s="16"/>
      <c r="CL1529" s="16"/>
      <c r="CM1529" s="16"/>
      <c r="CN1529" s="16"/>
      <c r="CO1529" s="16"/>
      <c r="CP1529" s="16"/>
      <c r="CQ1529" s="16"/>
      <c r="CR1529" s="16"/>
      <c r="CS1529" s="16"/>
      <c r="CT1529" s="16"/>
      <c r="CU1529" s="16"/>
      <c r="CV1529" s="16"/>
      <c r="CW1529" s="16"/>
      <c r="CX1529" s="16"/>
      <c r="CY1529" s="16"/>
      <c r="CZ1529" s="16"/>
      <c r="DA1529" s="16"/>
      <c r="DB1529" s="16"/>
      <c r="DC1529" s="16"/>
      <c r="DD1529" s="16"/>
      <c r="DE1529" s="16"/>
      <c r="DF1529" s="16"/>
    </row>
    <row r="1530" spans="8:110" x14ac:dyDescent="0.3">
      <c r="H1530" s="4">
        <f t="shared" si="75"/>
        <v>0</v>
      </c>
      <c r="K1530" s="3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16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6"/>
      <c r="CH1530" s="16"/>
      <c r="CI1530" s="16"/>
      <c r="CJ1530" s="16"/>
      <c r="CK1530" s="16"/>
      <c r="CL1530" s="16"/>
      <c r="CM1530" s="16"/>
      <c r="CN1530" s="16"/>
      <c r="CO1530" s="16"/>
      <c r="CP1530" s="16"/>
      <c r="CQ1530" s="16"/>
      <c r="CR1530" s="16"/>
      <c r="CS1530" s="16"/>
      <c r="CT1530" s="16"/>
      <c r="CU1530" s="16"/>
      <c r="CV1530" s="16"/>
      <c r="CW1530" s="16"/>
      <c r="CX1530" s="16"/>
      <c r="CY1530" s="16"/>
      <c r="CZ1530" s="16"/>
      <c r="DA1530" s="16"/>
      <c r="DB1530" s="16"/>
      <c r="DC1530" s="16"/>
      <c r="DD1530" s="16"/>
      <c r="DE1530" s="16"/>
      <c r="DF1530" s="16"/>
    </row>
    <row r="1531" spans="8:110" x14ac:dyDescent="0.3">
      <c r="H1531" s="4">
        <f t="shared" si="75"/>
        <v>0</v>
      </c>
      <c r="K1531" s="3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  <c r="BN1531" s="16"/>
      <c r="BO1531" s="16"/>
      <c r="BP1531" s="16"/>
      <c r="BQ1531" s="16"/>
      <c r="BR1531" s="16"/>
      <c r="BS1531" s="16"/>
      <c r="BT1531" s="16"/>
      <c r="BU1531" s="16"/>
      <c r="BV1531" s="16"/>
      <c r="BW1531" s="16"/>
      <c r="BX1531" s="16"/>
      <c r="BY1531" s="16"/>
      <c r="BZ1531" s="16"/>
      <c r="CA1531" s="16"/>
      <c r="CB1531" s="16"/>
      <c r="CC1531" s="16"/>
      <c r="CD1531" s="16"/>
      <c r="CE1531" s="16"/>
      <c r="CF1531" s="16"/>
      <c r="CG1531" s="16"/>
      <c r="CH1531" s="16"/>
      <c r="CI1531" s="16"/>
      <c r="CJ1531" s="16"/>
      <c r="CK1531" s="16"/>
      <c r="CL1531" s="16"/>
      <c r="CM1531" s="16"/>
      <c r="CN1531" s="16"/>
      <c r="CO1531" s="16"/>
      <c r="CP1531" s="16"/>
      <c r="CQ1531" s="16"/>
      <c r="CR1531" s="16"/>
      <c r="CS1531" s="16"/>
      <c r="CT1531" s="16"/>
      <c r="CU1531" s="16"/>
      <c r="CV1531" s="16"/>
      <c r="CW1531" s="16"/>
      <c r="CX1531" s="16"/>
      <c r="CY1531" s="16"/>
      <c r="CZ1531" s="16"/>
      <c r="DA1531" s="16"/>
      <c r="DB1531" s="16"/>
      <c r="DC1531" s="16"/>
      <c r="DD1531" s="16"/>
      <c r="DE1531" s="16"/>
      <c r="DF1531" s="16"/>
    </row>
    <row r="1532" spans="8:110" x14ac:dyDescent="0.3">
      <c r="H1532" s="4">
        <f t="shared" si="75"/>
        <v>0</v>
      </c>
      <c r="K1532" s="3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</row>
    <row r="1533" spans="8:110" x14ac:dyDescent="0.3">
      <c r="H1533" s="4">
        <f t="shared" si="75"/>
        <v>0</v>
      </c>
      <c r="K1533" s="3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16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/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/>
      <c r="DD1533" s="16"/>
      <c r="DE1533" s="16"/>
      <c r="DF1533" s="16"/>
    </row>
    <row r="1534" spans="8:110" x14ac:dyDescent="0.3">
      <c r="H1534" s="4">
        <f t="shared" si="75"/>
        <v>0</v>
      </c>
      <c r="K1534" s="3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</row>
    <row r="1535" spans="8:110" x14ac:dyDescent="0.3">
      <c r="H1535" s="4">
        <f t="shared" si="75"/>
        <v>0</v>
      </c>
      <c r="K1535" s="3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16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6"/>
      <c r="CH1535" s="16"/>
      <c r="CI1535" s="16"/>
      <c r="CJ1535" s="16"/>
      <c r="CK1535" s="16"/>
      <c r="CL1535" s="16"/>
      <c r="CM1535" s="16"/>
      <c r="CN1535" s="16"/>
      <c r="CO1535" s="16"/>
      <c r="CP1535" s="16"/>
      <c r="CQ1535" s="16"/>
      <c r="CR1535" s="16"/>
      <c r="CS1535" s="16"/>
      <c r="CT1535" s="16"/>
      <c r="CU1535" s="16"/>
      <c r="CV1535" s="16"/>
      <c r="CW1535" s="16"/>
      <c r="CX1535" s="16"/>
      <c r="CY1535" s="16"/>
      <c r="CZ1535" s="16"/>
      <c r="DA1535" s="16"/>
      <c r="DB1535" s="16"/>
      <c r="DC1535" s="16"/>
      <c r="DD1535" s="16"/>
      <c r="DE1535" s="16"/>
      <c r="DF1535" s="16"/>
    </row>
    <row r="1536" spans="8:110" x14ac:dyDescent="0.3">
      <c r="H1536" s="4">
        <f t="shared" si="75"/>
        <v>0</v>
      </c>
      <c r="K1536" s="3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6"/>
      <c r="CH1536" s="16"/>
      <c r="CI1536" s="16"/>
      <c r="CJ1536" s="16"/>
      <c r="CK1536" s="16"/>
      <c r="CL1536" s="16"/>
      <c r="CM1536" s="16"/>
      <c r="CN1536" s="16"/>
      <c r="CO1536" s="16"/>
      <c r="CP1536" s="16"/>
      <c r="CQ1536" s="16"/>
      <c r="CR1536" s="16"/>
      <c r="CS1536" s="16"/>
      <c r="CT1536" s="16"/>
      <c r="CU1536" s="16"/>
      <c r="CV1536" s="16"/>
      <c r="CW1536" s="16"/>
      <c r="CX1536" s="16"/>
      <c r="CY1536" s="16"/>
      <c r="CZ1536" s="16"/>
      <c r="DA1536" s="16"/>
      <c r="DB1536" s="16"/>
      <c r="DC1536" s="16"/>
      <c r="DD1536" s="16"/>
      <c r="DE1536" s="16"/>
      <c r="DF1536" s="16"/>
    </row>
    <row r="1537" spans="8:110" x14ac:dyDescent="0.3">
      <c r="H1537" s="4">
        <f t="shared" si="75"/>
        <v>0</v>
      </c>
      <c r="K1537" s="3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</row>
    <row r="1538" spans="8:110" x14ac:dyDescent="0.3">
      <c r="H1538" s="4">
        <f t="shared" si="75"/>
        <v>0</v>
      </c>
      <c r="K1538" s="3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</row>
    <row r="1539" spans="8:110" x14ac:dyDescent="0.3">
      <c r="H1539" s="4">
        <f t="shared" si="75"/>
        <v>0</v>
      </c>
      <c r="K1539" s="3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</row>
    <row r="1540" spans="8:110" x14ac:dyDescent="0.3">
      <c r="H1540" s="4">
        <f t="shared" si="75"/>
        <v>0</v>
      </c>
      <c r="K1540" s="3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</row>
    <row r="1541" spans="8:110" x14ac:dyDescent="0.3">
      <c r="H1541" s="4">
        <f t="shared" si="75"/>
        <v>0</v>
      </c>
      <c r="K1541" s="3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16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6"/>
      <c r="CH1541" s="16"/>
      <c r="CI1541" s="16"/>
      <c r="CJ1541" s="16"/>
      <c r="CK1541" s="16"/>
      <c r="CL1541" s="16"/>
      <c r="CM1541" s="16"/>
      <c r="CN1541" s="16"/>
      <c r="CO1541" s="16"/>
      <c r="CP1541" s="16"/>
      <c r="CQ1541" s="16"/>
      <c r="CR1541" s="16"/>
      <c r="CS1541" s="16"/>
      <c r="CT1541" s="16"/>
      <c r="CU1541" s="16"/>
      <c r="CV1541" s="16"/>
      <c r="CW1541" s="16"/>
      <c r="CX1541" s="16"/>
      <c r="CY1541" s="16"/>
      <c r="CZ1541" s="16"/>
      <c r="DA1541" s="16"/>
      <c r="DB1541" s="16"/>
      <c r="DC1541" s="16"/>
      <c r="DD1541" s="16"/>
      <c r="DE1541" s="16"/>
      <c r="DF1541" s="16"/>
    </row>
    <row r="1542" spans="8:110" x14ac:dyDescent="0.3">
      <c r="H1542" s="4">
        <f t="shared" si="75"/>
        <v>0</v>
      </c>
      <c r="K1542" s="3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</row>
    <row r="1543" spans="8:110" x14ac:dyDescent="0.3">
      <c r="H1543" s="4">
        <f t="shared" si="75"/>
        <v>0</v>
      </c>
      <c r="K1543" s="3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</row>
    <row r="1544" spans="8:110" x14ac:dyDescent="0.3">
      <c r="H1544" s="4">
        <f t="shared" si="75"/>
        <v>0</v>
      </c>
      <c r="K1544" s="3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6"/>
      <c r="CH1544" s="16"/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</row>
    <row r="1545" spans="8:110" x14ac:dyDescent="0.3">
      <c r="H1545" s="4">
        <f t="shared" si="75"/>
        <v>0</v>
      </c>
      <c r="K1545" s="3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</row>
    <row r="1546" spans="8:110" x14ac:dyDescent="0.3">
      <c r="H1546" s="4">
        <f t="shared" si="75"/>
        <v>0</v>
      </c>
      <c r="K1546" s="3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</row>
    <row r="1547" spans="8:110" x14ac:dyDescent="0.3">
      <c r="H1547" s="4">
        <f t="shared" si="75"/>
        <v>0</v>
      </c>
      <c r="K1547" s="3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16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6"/>
      <c r="CH1547" s="16"/>
      <c r="CI1547" s="16"/>
      <c r="CJ1547" s="16"/>
      <c r="CK1547" s="16"/>
      <c r="CL1547" s="16"/>
      <c r="CM1547" s="16"/>
      <c r="CN1547" s="16"/>
      <c r="CO1547" s="16"/>
      <c r="CP1547" s="16"/>
      <c r="CQ1547" s="16"/>
      <c r="CR1547" s="16"/>
      <c r="CS1547" s="16"/>
      <c r="CT1547" s="16"/>
      <c r="CU1547" s="16"/>
      <c r="CV1547" s="16"/>
      <c r="CW1547" s="16"/>
      <c r="CX1547" s="16"/>
      <c r="CY1547" s="16"/>
      <c r="CZ1547" s="16"/>
      <c r="DA1547" s="16"/>
      <c r="DB1547" s="16"/>
      <c r="DC1547" s="16"/>
      <c r="DD1547" s="16"/>
      <c r="DE1547" s="16"/>
      <c r="DF1547" s="16"/>
    </row>
    <row r="1548" spans="8:110" x14ac:dyDescent="0.3">
      <c r="H1548" s="4">
        <f t="shared" si="75"/>
        <v>0</v>
      </c>
      <c r="K1548" s="3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</row>
    <row r="1549" spans="8:110" x14ac:dyDescent="0.3">
      <c r="H1549" s="4">
        <f t="shared" si="75"/>
        <v>0</v>
      </c>
      <c r="K1549" s="3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</row>
    <row r="1550" spans="8:110" x14ac:dyDescent="0.3">
      <c r="H1550" s="4">
        <f t="shared" si="75"/>
        <v>0</v>
      </c>
      <c r="K1550" s="3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</row>
    <row r="1551" spans="8:110" x14ac:dyDescent="0.3">
      <c r="H1551" s="4">
        <f t="shared" si="75"/>
        <v>0</v>
      </c>
      <c r="K1551" s="3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16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6"/>
      <c r="CH1551" s="16"/>
      <c r="CI1551" s="16"/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</row>
    <row r="1552" spans="8:110" x14ac:dyDescent="0.3">
      <c r="H1552" s="4">
        <f t="shared" si="75"/>
        <v>0</v>
      </c>
      <c r="K1552" s="3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/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</row>
    <row r="1553" spans="8:110" x14ac:dyDescent="0.3">
      <c r="H1553" s="4">
        <f t="shared" si="75"/>
        <v>0</v>
      </c>
      <c r="K1553" s="3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16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6"/>
      <c r="CH1553" s="16"/>
      <c r="CI1553" s="16"/>
      <c r="CJ1553" s="16"/>
      <c r="CK1553" s="16"/>
      <c r="CL1553" s="16"/>
      <c r="CM1553" s="16"/>
      <c r="CN1553" s="16"/>
      <c r="CO1553" s="16"/>
      <c r="CP1553" s="16"/>
      <c r="CQ1553" s="16"/>
      <c r="CR1553" s="16"/>
      <c r="CS1553" s="16"/>
      <c r="CT1553" s="16"/>
      <c r="CU1553" s="16"/>
      <c r="CV1553" s="16"/>
      <c r="CW1553" s="16"/>
      <c r="CX1553" s="16"/>
      <c r="CY1553" s="16"/>
      <c r="CZ1553" s="16"/>
      <c r="DA1553" s="16"/>
      <c r="DB1553" s="16"/>
      <c r="DC1553" s="16"/>
      <c r="DD1553" s="16"/>
      <c r="DE1553" s="16"/>
      <c r="DF1553" s="16"/>
    </row>
    <row r="1554" spans="8:110" x14ac:dyDescent="0.3">
      <c r="H1554" s="4">
        <f t="shared" si="75"/>
        <v>0</v>
      </c>
      <c r="K1554" s="3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16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6"/>
      <c r="CH1554" s="16"/>
      <c r="CI1554" s="16"/>
      <c r="CJ1554" s="16"/>
      <c r="CK1554" s="16"/>
      <c r="CL1554" s="16"/>
      <c r="CM1554" s="16"/>
      <c r="CN1554" s="16"/>
      <c r="CO1554" s="16"/>
      <c r="CP1554" s="16"/>
      <c r="CQ1554" s="16"/>
      <c r="CR1554" s="16"/>
      <c r="CS1554" s="16"/>
      <c r="CT1554" s="16"/>
      <c r="CU1554" s="16"/>
      <c r="CV1554" s="16"/>
      <c r="CW1554" s="16"/>
      <c r="CX1554" s="16"/>
      <c r="CY1554" s="16"/>
      <c r="CZ1554" s="16"/>
      <c r="DA1554" s="16"/>
      <c r="DB1554" s="16"/>
      <c r="DC1554" s="16"/>
      <c r="DD1554" s="16"/>
      <c r="DE1554" s="16"/>
      <c r="DF1554" s="16"/>
    </row>
    <row r="1555" spans="8:110" x14ac:dyDescent="0.3">
      <c r="H1555" s="4">
        <f t="shared" si="75"/>
        <v>0</v>
      </c>
      <c r="K1555" s="3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16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6"/>
      <c r="CH1555" s="16"/>
      <c r="CI1555" s="16"/>
      <c r="CJ1555" s="16"/>
      <c r="CK1555" s="16"/>
      <c r="CL1555" s="16"/>
      <c r="CM1555" s="16"/>
      <c r="CN1555" s="16"/>
      <c r="CO1555" s="16"/>
      <c r="CP1555" s="16"/>
      <c r="CQ1555" s="16"/>
      <c r="CR1555" s="16"/>
      <c r="CS1555" s="16"/>
      <c r="CT1555" s="16"/>
      <c r="CU1555" s="16"/>
      <c r="CV1555" s="16"/>
      <c r="CW1555" s="16"/>
      <c r="CX1555" s="16"/>
      <c r="CY1555" s="16"/>
      <c r="CZ1555" s="16"/>
      <c r="DA1555" s="16"/>
      <c r="DB1555" s="16"/>
      <c r="DC1555" s="16"/>
      <c r="DD1555" s="16"/>
      <c r="DE1555" s="16"/>
      <c r="DF1555" s="16"/>
    </row>
    <row r="1556" spans="8:110" x14ac:dyDescent="0.3">
      <c r="H1556" s="4">
        <f t="shared" si="75"/>
        <v>0</v>
      </c>
      <c r="K1556" s="3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6"/>
      <c r="CH1556" s="16"/>
      <c r="CI1556" s="16"/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/>
      <c r="DA1556" s="16"/>
      <c r="DB1556" s="16"/>
      <c r="DC1556" s="16"/>
      <c r="DD1556" s="16"/>
      <c r="DE1556" s="16"/>
      <c r="DF1556" s="16"/>
    </row>
    <row r="1557" spans="8:110" x14ac:dyDescent="0.3">
      <c r="H1557" s="4">
        <f t="shared" si="75"/>
        <v>0</v>
      </c>
      <c r="K1557" s="3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16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6"/>
      <c r="CH1557" s="16"/>
      <c r="CI1557" s="16"/>
      <c r="CJ1557" s="16"/>
      <c r="CK1557" s="16"/>
      <c r="CL1557" s="16"/>
      <c r="CM1557" s="16"/>
      <c r="CN1557" s="16"/>
      <c r="CO1557" s="16"/>
      <c r="CP1557" s="16"/>
      <c r="CQ1557" s="16"/>
      <c r="CR1557" s="16"/>
      <c r="CS1557" s="16"/>
      <c r="CT1557" s="16"/>
      <c r="CU1557" s="16"/>
      <c r="CV1557" s="16"/>
      <c r="CW1557" s="16"/>
      <c r="CX1557" s="16"/>
      <c r="CY1557" s="16"/>
      <c r="CZ1557" s="16"/>
      <c r="DA1557" s="16"/>
      <c r="DB1557" s="16"/>
      <c r="DC1557" s="16"/>
      <c r="DD1557" s="16"/>
      <c r="DE1557" s="16"/>
      <c r="DF1557" s="16"/>
    </row>
    <row r="1558" spans="8:110" x14ac:dyDescent="0.3">
      <c r="H1558" s="4">
        <f t="shared" si="75"/>
        <v>0</v>
      </c>
      <c r="K1558" s="3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</row>
    <row r="1559" spans="8:110" x14ac:dyDescent="0.3">
      <c r="H1559" s="4">
        <f t="shared" si="75"/>
        <v>0</v>
      </c>
      <c r="K1559" s="3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</row>
    <row r="1560" spans="8:110" x14ac:dyDescent="0.3">
      <c r="H1560" s="4">
        <f t="shared" si="75"/>
        <v>0</v>
      </c>
      <c r="K1560" s="3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16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6"/>
      <c r="CH1560" s="16"/>
      <c r="CI1560" s="16"/>
      <c r="CJ1560" s="16"/>
      <c r="CK1560" s="16"/>
      <c r="CL1560" s="16"/>
      <c r="CM1560" s="16"/>
      <c r="CN1560" s="16"/>
      <c r="CO1560" s="16"/>
      <c r="CP1560" s="16"/>
      <c r="CQ1560" s="16"/>
      <c r="CR1560" s="16"/>
      <c r="CS1560" s="16"/>
      <c r="CT1560" s="16"/>
      <c r="CU1560" s="16"/>
      <c r="CV1560" s="16"/>
      <c r="CW1560" s="16"/>
      <c r="CX1560" s="16"/>
      <c r="CY1560" s="16"/>
      <c r="CZ1560" s="16"/>
      <c r="DA1560" s="16"/>
      <c r="DB1560" s="16"/>
      <c r="DC1560" s="16"/>
      <c r="DD1560" s="16"/>
      <c r="DE1560" s="16"/>
      <c r="DF1560" s="16"/>
    </row>
    <row r="1561" spans="8:110" x14ac:dyDescent="0.3">
      <c r="H1561" s="4">
        <f t="shared" si="75"/>
        <v>0</v>
      </c>
      <c r="K1561" s="3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</row>
    <row r="1562" spans="8:110" x14ac:dyDescent="0.3">
      <c r="H1562" s="4">
        <f t="shared" si="75"/>
        <v>0</v>
      </c>
      <c r="K1562" s="3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  <c r="CI1562" s="16"/>
      <c r="CJ1562" s="16"/>
      <c r="CK1562" s="16"/>
      <c r="CL1562" s="16"/>
      <c r="CM1562" s="16"/>
      <c r="CN1562" s="16"/>
      <c r="CO1562" s="16"/>
      <c r="CP1562" s="16"/>
      <c r="CQ1562" s="16"/>
      <c r="CR1562" s="16"/>
      <c r="CS1562" s="16"/>
      <c r="CT1562" s="16"/>
      <c r="CU1562" s="16"/>
      <c r="CV1562" s="16"/>
      <c r="CW1562" s="16"/>
      <c r="CX1562" s="16"/>
      <c r="CY1562" s="16"/>
      <c r="CZ1562" s="16"/>
      <c r="DA1562" s="16"/>
      <c r="DB1562" s="16"/>
      <c r="DC1562" s="16"/>
      <c r="DD1562" s="16"/>
      <c r="DE1562" s="16"/>
      <c r="DF1562" s="16"/>
    </row>
    <row r="1563" spans="8:110" x14ac:dyDescent="0.3">
      <c r="H1563" s="4">
        <f t="shared" ref="H1563:H1626" si="76">D1563-C1563</f>
        <v>0</v>
      </c>
      <c r="K1563" s="3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  <c r="BN1563" s="16"/>
      <c r="BO1563" s="16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6"/>
      <c r="CH1563" s="16"/>
      <c r="CI1563" s="16"/>
      <c r="CJ1563" s="16"/>
      <c r="CK1563" s="16"/>
      <c r="CL1563" s="16"/>
      <c r="CM1563" s="16"/>
      <c r="CN1563" s="16"/>
      <c r="CO1563" s="16"/>
      <c r="CP1563" s="16"/>
      <c r="CQ1563" s="16"/>
      <c r="CR1563" s="16"/>
      <c r="CS1563" s="16"/>
      <c r="CT1563" s="16"/>
      <c r="CU1563" s="16"/>
      <c r="CV1563" s="16"/>
      <c r="CW1563" s="16"/>
      <c r="CX1563" s="16"/>
      <c r="CY1563" s="16"/>
      <c r="CZ1563" s="16"/>
      <c r="DA1563" s="16"/>
      <c r="DB1563" s="16"/>
      <c r="DC1563" s="16"/>
      <c r="DD1563" s="16"/>
      <c r="DE1563" s="16"/>
      <c r="DF1563" s="16"/>
    </row>
    <row r="1564" spans="8:110" x14ac:dyDescent="0.3">
      <c r="H1564" s="4">
        <f t="shared" si="76"/>
        <v>0</v>
      </c>
      <c r="K1564" s="3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</row>
    <row r="1565" spans="8:110" x14ac:dyDescent="0.3">
      <c r="H1565" s="4">
        <f t="shared" si="76"/>
        <v>0</v>
      </c>
      <c r="K1565" s="3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</row>
    <row r="1566" spans="8:110" x14ac:dyDescent="0.3">
      <c r="H1566" s="4">
        <f t="shared" si="76"/>
        <v>0</v>
      </c>
      <c r="K1566" s="3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</row>
    <row r="1567" spans="8:110" x14ac:dyDescent="0.3">
      <c r="H1567" s="4">
        <f t="shared" si="76"/>
        <v>0</v>
      </c>
      <c r="K1567" s="3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</row>
    <row r="1568" spans="8:110" x14ac:dyDescent="0.3">
      <c r="H1568" s="4">
        <f t="shared" si="76"/>
        <v>0</v>
      </c>
      <c r="K1568" s="3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/>
      <c r="CP1568" s="16"/>
      <c r="CQ1568" s="16"/>
      <c r="CR1568" s="16"/>
      <c r="CS1568" s="16"/>
      <c r="CT1568" s="16"/>
      <c r="CU1568" s="16"/>
      <c r="CV1568" s="16"/>
      <c r="CW1568" s="16"/>
      <c r="CX1568" s="16"/>
      <c r="CY1568" s="16"/>
      <c r="CZ1568" s="16"/>
      <c r="DA1568" s="16"/>
      <c r="DB1568" s="16"/>
      <c r="DC1568" s="16"/>
      <c r="DD1568" s="16"/>
      <c r="DE1568" s="16"/>
      <c r="DF1568" s="16"/>
    </row>
    <row r="1569" spans="8:110" x14ac:dyDescent="0.3">
      <c r="H1569" s="4">
        <f t="shared" si="76"/>
        <v>0</v>
      </c>
      <c r="K1569" s="3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</row>
    <row r="1570" spans="8:110" x14ac:dyDescent="0.3">
      <c r="H1570" s="4">
        <f t="shared" si="76"/>
        <v>0</v>
      </c>
      <c r="K1570" s="3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</row>
    <row r="1571" spans="8:110" x14ac:dyDescent="0.3">
      <c r="H1571" s="4">
        <f t="shared" si="76"/>
        <v>0</v>
      </c>
      <c r="K1571" s="3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16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6"/>
      <c r="CH1571" s="16"/>
      <c r="CI1571" s="16"/>
      <c r="CJ1571" s="16"/>
      <c r="CK1571" s="16"/>
      <c r="CL1571" s="16"/>
      <c r="CM1571" s="16"/>
      <c r="CN1571" s="16"/>
      <c r="CO1571" s="16"/>
      <c r="CP1571" s="16"/>
      <c r="CQ1571" s="16"/>
      <c r="CR1571" s="16"/>
      <c r="CS1571" s="16"/>
      <c r="CT1571" s="16"/>
      <c r="CU1571" s="16"/>
      <c r="CV1571" s="16"/>
      <c r="CW1571" s="16"/>
      <c r="CX1571" s="16"/>
      <c r="CY1571" s="16"/>
      <c r="CZ1571" s="16"/>
      <c r="DA1571" s="16"/>
      <c r="DB1571" s="16"/>
      <c r="DC1571" s="16"/>
      <c r="DD1571" s="16"/>
      <c r="DE1571" s="16"/>
      <c r="DF1571" s="16"/>
    </row>
    <row r="1572" spans="8:110" x14ac:dyDescent="0.3">
      <c r="H1572" s="4">
        <f t="shared" si="76"/>
        <v>0</v>
      </c>
      <c r="K1572" s="3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</row>
    <row r="1573" spans="8:110" x14ac:dyDescent="0.3">
      <c r="H1573" s="4">
        <f t="shared" si="76"/>
        <v>0</v>
      </c>
      <c r="K1573" s="3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16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6"/>
      <c r="CH1573" s="16"/>
      <c r="CI1573" s="16"/>
      <c r="CJ1573" s="16"/>
      <c r="CK1573" s="16"/>
      <c r="CL1573" s="16"/>
      <c r="CM1573" s="16"/>
      <c r="CN1573" s="16"/>
      <c r="CO1573" s="16"/>
      <c r="CP1573" s="16"/>
      <c r="CQ1573" s="16"/>
      <c r="CR1573" s="16"/>
      <c r="CS1573" s="16"/>
      <c r="CT1573" s="16"/>
      <c r="CU1573" s="16"/>
      <c r="CV1573" s="16"/>
      <c r="CW1573" s="16"/>
      <c r="CX1573" s="16"/>
      <c r="CY1573" s="16"/>
      <c r="CZ1573" s="16"/>
      <c r="DA1573" s="16"/>
      <c r="DB1573" s="16"/>
      <c r="DC1573" s="16"/>
      <c r="DD1573" s="16"/>
      <c r="DE1573" s="16"/>
      <c r="DF1573" s="16"/>
    </row>
    <row r="1574" spans="8:110" x14ac:dyDescent="0.3">
      <c r="H1574" s="4">
        <f t="shared" si="76"/>
        <v>0</v>
      </c>
      <c r="K1574" s="3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16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6"/>
      <c r="CH1574" s="16"/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/>
      <c r="DF1574" s="16"/>
    </row>
    <row r="1575" spans="8:110" x14ac:dyDescent="0.3">
      <c r="H1575" s="4">
        <f t="shared" si="76"/>
        <v>0</v>
      </c>
      <c r="K1575" s="3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</row>
    <row r="1576" spans="8:110" x14ac:dyDescent="0.3">
      <c r="H1576" s="4">
        <f t="shared" si="76"/>
        <v>0</v>
      </c>
      <c r="K1576" s="3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</row>
    <row r="1577" spans="8:110" x14ac:dyDescent="0.3">
      <c r="H1577" s="4">
        <f t="shared" si="76"/>
        <v>0</v>
      </c>
      <c r="K1577" s="3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</row>
    <row r="1578" spans="8:110" x14ac:dyDescent="0.3">
      <c r="H1578" s="4">
        <f t="shared" si="76"/>
        <v>0</v>
      </c>
      <c r="K1578" s="3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16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6"/>
      <c r="CH1578" s="16"/>
      <c r="CI1578" s="16"/>
      <c r="CJ1578" s="16"/>
      <c r="CK1578" s="16"/>
      <c r="CL1578" s="16"/>
      <c r="CM1578" s="16"/>
      <c r="CN1578" s="16"/>
      <c r="CO1578" s="16"/>
      <c r="CP1578" s="16"/>
      <c r="CQ1578" s="16"/>
      <c r="CR1578" s="16"/>
      <c r="CS1578" s="16"/>
      <c r="CT1578" s="16"/>
      <c r="CU1578" s="16"/>
      <c r="CV1578" s="16"/>
      <c r="CW1578" s="16"/>
      <c r="CX1578" s="16"/>
      <c r="CY1578" s="16"/>
      <c r="CZ1578" s="16"/>
      <c r="DA1578" s="16"/>
      <c r="DB1578" s="16"/>
      <c r="DC1578" s="16"/>
      <c r="DD1578" s="16"/>
      <c r="DE1578" s="16"/>
      <c r="DF1578" s="16"/>
    </row>
    <row r="1579" spans="8:110" x14ac:dyDescent="0.3">
      <c r="H1579" s="4">
        <f t="shared" si="76"/>
        <v>0</v>
      </c>
      <c r="K1579" s="3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</row>
    <row r="1580" spans="8:110" x14ac:dyDescent="0.3">
      <c r="H1580" s="4">
        <f t="shared" si="76"/>
        <v>0</v>
      </c>
      <c r="K1580" s="3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</row>
    <row r="1581" spans="8:110" x14ac:dyDescent="0.3">
      <c r="H1581" s="4">
        <f t="shared" si="76"/>
        <v>0</v>
      </c>
      <c r="K1581" s="3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</row>
    <row r="1582" spans="8:110" x14ac:dyDescent="0.3">
      <c r="H1582" s="4">
        <f t="shared" si="76"/>
        <v>0</v>
      </c>
      <c r="K1582" s="3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</row>
    <row r="1583" spans="8:110" x14ac:dyDescent="0.3">
      <c r="H1583" s="4">
        <f t="shared" si="76"/>
        <v>0</v>
      </c>
      <c r="K1583" s="3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</row>
    <row r="1584" spans="8:110" x14ac:dyDescent="0.3">
      <c r="H1584" s="4">
        <f t="shared" si="76"/>
        <v>0</v>
      </c>
      <c r="K1584" s="3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</row>
    <row r="1585" spans="8:110" x14ac:dyDescent="0.3">
      <c r="H1585" s="4">
        <f t="shared" si="76"/>
        <v>0</v>
      </c>
      <c r="K1585" s="3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</row>
    <row r="1586" spans="8:110" x14ac:dyDescent="0.3">
      <c r="H1586" s="4">
        <f t="shared" si="76"/>
        <v>0</v>
      </c>
      <c r="K1586" s="3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</row>
    <row r="1587" spans="8:110" x14ac:dyDescent="0.3">
      <c r="H1587" s="4">
        <f t="shared" si="76"/>
        <v>0</v>
      </c>
      <c r="K1587" s="3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</row>
    <row r="1588" spans="8:110" x14ac:dyDescent="0.3">
      <c r="H1588" s="4">
        <f t="shared" si="76"/>
        <v>0</v>
      </c>
      <c r="K1588" s="3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</row>
    <row r="1589" spans="8:110" x14ac:dyDescent="0.3">
      <c r="H1589" s="4">
        <f t="shared" si="76"/>
        <v>0</v>
      </c>
      <c r="K1589" s="3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</row>
    <row r="1590" spans="8:110" x14ac:dyDescent="0.3">
      <c r="H1590" s="4">
        <f t="shared" si="76"/>
        <v>0</v>
      </c>
      <c r="K1590" s="3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</row>
    <row r="1591" spans="8:110" x14ac:dyDescent="0.3">
      <c r="H1591" s="4">
        <f t="shared" si="76"/>
        <v>0</v>
      </c>
      <c r="K1591" s="3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</row>
    <row r="1592" spans="8:110" x14ac:dyDescent="0.3">
      <c r="H1592" s="4">
        <f t="shared" si="76"/>
        <v>0</v>
      </c>
      <c r="K1592" s="3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</row>
    <row r="1593" spans="8:110" x14ac:dyDescent="0.3">
      <c r="H1593" s="4">
        <f t="shared" si="76"/>
        <v>0</v>
      </c>
      <c r="K1593" s="3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</row>
    <row r="1594" spans="8:110" x14ac:dyDescent="0.3">
      <c r="H1594" s="4">
        <f t="shared" si="76"/>
        <v>0</v>
      </c>
      <c r="K1594" s="3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</row>
    <row r="1595" spans="8:110" x14ac:dyDescent="0.3">
      <c r="H1595" s="4">
        <f t="shared" si="76"/>
        <v>0</v>
      </c>
      <c r="K1595" s="3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</row>
    <row r="1596" spans="8:110" x14ac:dyDescent="0.3">
      <c r="H1596" s="4">
        <f t="shared" si="76"/>
        <v>0</v>
      </c>
      <c r="K1596" s="3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</row>
    <row r="1597" spans="8:110" x14ac:dyDescent="0.3">
      <c r="H1597" s="4">
        <f t="shared" si="76"/>
        <v>0</v>
      </c>
      <c r="K1597" s="3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</row>
    <row r="1598" spans="8:110" x14ac:dyDescent="0.3">
      <c r="H1598" s="4">
        <f t="shared" si="76"/>
        <v>0</v>
      </c>
      <c r="K1598" s="3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</row>
    <row r="1599" spans="8:110" x14ac:dyDescent="0.3">
      <c r="H1599" s="4">
        <f t="shared" si="76"/>
        <v>0</v>
      </c>
      <c r="K1599" s="3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</row>
    <row r="1600" spans="8:110" x14ac:dyDescent="0.3">
      <c r="H1600" s="4">
        <f t="shared" si="76"/>
        <v>0</v>
      </c>
      <c r="K1600" s="3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</row>
    <row r="1601" spans="8:110" x14ac:dyDescent="0.3">
      <c r="H1601" s="4">
        <f t="shared" si="76"/>
        <v>0</v>
      </c>
      <c r="K1601" s="3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</row>
    <row r="1602" spans="8:110" x14ac:dyDescent="0.3">
      <c r="H1602" s="4">
        <f t="shared" si="76"/>
        <v>0</v>
      </c>
      <c r="K1602" s="3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</row>
    <row r="1603" spans="8:110" x14ac:dyDescent="0.3">
      <c r="H1603" s="10">
        <f t="shared" si="76"/>
        <v>0</v>
      </c>
      <c r="K1603" s="3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  <c r="BN1603" s="16"/>
      <c r="BO1603" s="16"/>
      <c r="BP1603" s="16"/>
      <c r="BQ1603" s="16"/>
      <c r="BR1603" s="16"/>
      <c r="BS1603" s="16"/>
      <c r="BT1603" s="16"/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/>
      <c r="CG1603" s="16"/>
      <c r="CH1603" s="16"/>
      <c r="CI1603" s="16"/>
      <c r="CJ1603" s="16"/>
      <c r="CK1603" s="16"/>
      <c r="CL1603" s="16"/>
      <c r="CM1603" s="16"/>
      <c r="CN1603" s="16"/>
      <c r="CO1603" s="16"/>
      <c r="CP1603" s="16"/>
      <c r="CQ1603" s="16"/>
      <c r="CR1603" s="16"/>
      <c r="CS1603" s="16"/>
      <c r="CT1603" s="16"/>
      <c r="CU1603" s="16"/>
      <c r="CV1603" s="16"/>
      <c r="CW1603" s="16"/>
      <c r="CX1603" s="16"/>
      <c r="CY1603" s="16"/>
      <c r="CZ1603" s="16"/>
      <c r="DA1603" s="16"/>
      <c r="DB1603" s="16"/>
      <c r="DC1603" s="16"/>
      <c r="DD1603" s="16"/>
      <c r="DE1603" s="16"/>
      <c r="DF1603" s="16"/>
    </row>
    <row r="1604" spans="8:110" x14ac:dyDescent="0.3">
      <c r="H1604" s="10">
        <f t="shared" si="76"/>
        <v>0</v>
      </c>
      <c r="K1604" s="3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</row>
    <row r="1605" spans="8:110" x14ac:dyDescent="0.3">
      <c r="H1605" s="10">
        <f t="shared" si="76"/>
        <v>0</v>
      </c>
      <c r="K1605" s="3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</row>
    <row r="1606" spans="8:110" x14ac:dyDescent="0.3">
      <c r="H1606" s="10">
        <f t="shared" si="76"/>
        <v>0</v>
      </c>
      <c r="K1606" s="3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  <c r="CI1606" s="16"/>
      <c r="CJ1606" s="16"/>
      <c r="CK1606" s="16"/>
      <c r="CL1606" s="16"/>
      <c r="CM1606" s="16"/>
      <c r="CN1606" s="16"/>
      <c r="CO1606" s="16"/>
      <c r="CP1606" s="16"/>
      <c r="CQ1606" s="16"/>
      <c r="CR1606" s="16"/>
      <c r="CS1606" s="16"/>
      <c r="CT1606" s="16"/>
      <c r="CU1606" s="16"/>
      <c r="CV1606" s="16"/>
      <c r="CW1606" s="16"/>
      <c r="CX1606" s="16"/>
      <c r="CY1606" s="16"/>
      <c r="CZ1606" s="16"/>
      <c r="DA1606" s="16"/>
      <c r="DB1606" s="16"/>
      <c r="DC1606" s="16"/>
      <c r="DD1606" s="16"/>
      <c r="DE1606" s="16"/>
      <c r="DF1606" s="16"/>
    </row>
    <row r="1607" spans="8:110" x14ac:dyDescent="0.3">
      <c r="H1607" s="10">
        <f t="shared" si="76"/>
        <v>0</v>
      </c>
      <c r="K1607" s="3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</row>
    <row r="1608" spans="8:110" x14ac:dyDescent="0.3">
      <c r="H1608" s="10">
        <f t="shared" si="76"/>
        <v>0</v>
      </c>
      <c r="K1608" s="3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</row>
    <row r="1609" spans="8:110" x14ac:dyDescent="0.3">
      <c r="H1609" s="10">
        <f t="shared" si="76"/>
        <v>0</v>
      </c>
      <c r="K1609" s="3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16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</row>
    <row r="1610" spans="8:110" x14ac:dyDescent="0.3">
      <c r="H1610" s="10">
        <f t="shared" si="76"/>
        <v>0</v>
      </c>
      <c r="K1610" s="3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</row>
    <row r="1611" spans="8:110" x14ac:dyDescent="0.3">
      <c r="H1611" s="10">
        <f t="shared" si="76"/>
        <v>0</v>
      </c>
      <c r="K1611" s="3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</row>
    <row r="1612" spans="8:110" x14ac:dyDescent="0.3">
      <c r="H1612" s="10">
        <f t="shared" si="76"/>
        <v>0</v>
      </c>
      <c r="K1612" s="3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  <c r="CI1612" s="16"/>
      <c r="CJ1612" s="16"/>
      <c r="CK1612" s="16"/>
      <c r="CL1612" s="16"/>
      <c r="CM1612" s="16"/>
      <c r="CN1612" s="16"/>
      <c r="CO1612" s="16"/>
      <c r="CP1612" s="16"/>
      <c r="CQ1612" s="16"/>
      <c r="CR1612" s="16"/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/>
      <c r="DD1612" s="16"/>
      <c r="DE1612" s="16"/>
      <c r="DF1612" s="16"/>
    </row>
    <row r="1613" spans="8:110" x14ac:dyDescent="0.3">
      <c r="H1613" s="10">
        <f t="shared" si="76"/>
        <v>0</v>
      </c>
      <c r="K1613" s="3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</row>
    <row r="1614" spans="8:110" x14ac:dyDescent="0.3">
      <c r="H1614" s="10">
        <f t="shared" si="76"/>
        <v>0</v>
      </c>
      <c r="K1614" s="3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</row>
    <row r="1615" spans="8:110" x14ac:dyDescent="0.3">
      <c r="H1615" s="10">
        <f t="shared" si="76"/>
        <v>0</v>
      </c>
      <c r="K1615" s="3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/>
      <c r="CZ1615" s="16"/>
      <c r="DA1615" s="16"/>
      <c r="DB1615" s="16"/>
      <c r="DC1615" s="16"/>
      <c r="DD1615" s="16"/>
      <c r="DE1615" s="16"/>
      <c r="DF1615" s="16"/>
    </row>
    <row r="1616" spans="8:110" x14ac:dyDescent="0.3">
      <c r="H1616" s="10">
        <f t="shared" si="76"/>
        <v>0</v>
      </c>
      <c r="K1616" s="3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</row>
    <row r="1617" spans="8:110" x14ac:dyDescent="0.3">
      <c r="H1617" s="10">
        <f t="shared" si="76"/>
        <v>0</v>
      </c>
      <c r="K1617" s="3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6"/>
      <c r="CW1617" s="16"/>
      <c r="CX1617" s="16"/>
      <c r="CY1617" s="16"/>
      <c r="CZ1617" s="16"/>
      <c r="DA1617" s="16"/>
      <c r="DB1617" s="16"/>
      <c r="DC1617" s="16"/>
      <c r="DD1617" s="16"/>
      <c r="DE1617" s="16"/>
      <c r="DF1617" s="16"/>
    </row>
    <row r="1618" spans="8:110" x14ac:dyDescent="0.3">
      <c r="H1618" s="10">
        <f t="shared" si="76"/>
        <v>0</v>
      </c>
      <c r="K1618" s="3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/>
      <c r="DA1618" s="16"/>
      <c r="DB1618" s="16"/>
      <c r="DC1618" s="16"/>
      <c r="DD1618" s="16"/>
      <c r="DE1618" s="16"/>
      <c r="DF1618" s="16"/>
    </row>
    <row r="1619" spans="8:110" x14ac:dyDescent="0.3">
      <c r="H1619" s="10">
        <f t="shared" si="76"/>
        <v>0</v>
      </c>
      <c r="K1619" s="3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</row>
    <row r="1620" spans="8:110" x14ac:dyDescent="0.3">
      <c r="H1620" s="10">
        <f t="shared" si="76"/>
        <v>0</v>
      </c>
      <c r="K1620" s="3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</row>
    <row r="1621" spans="8:110" x14ac:dyDescent="0.3">
      <c r="H1621" s="10">
        <f t="shared" si="76"/>
        <v>0</v>
      </c>
      <c r="K1621" s="3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</row>
    <row r="1622" spans="8:110" x14ac:dyDescent="0.3">
      <c r="H1622" s="10">
        <f t="shared" si="76"/>
        <v>0</v>
      </c>
      <c r="K1622" s="3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</row>
    <row r="1623" spans="8:110" x14ac:dyDescent="0.3">
      <c r="H1623" s="10">
        <f t="shared" si="76"/>
        <v>0</v>
      </c>
      <c r="K1623" s="3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16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6"/>
      <c r="CW1623" s="16"/>
      <c r="CX1623" s="16"/>
      <c r="CY1623" s="16"/>
      <c r="CZ1623" s="16"/>
      <c r="DA1623" s="16"/>
      <c r="DB1623" s="16"/>
      <c r="DC1623" s="16"/>
      <c r="DD1623" s="16"/>
      <c r="DE1623" s="16"/>
      <c r="DF1623" s="16"/>
    </row>
    <row r="1624" spans="8:110" x14ac:dyDescent="0.3">
      <c r="H1624" s="10">
        <f t="shared" si="76"/>
        <v>0</v>
      </c>
      <c r="K1624" s="3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</row>
    <row r="1625" spans="8:110" x14ac:dyDescent="0.3">
      <c r="H1625" s="10">
        <f t="shared" si="76"/>
        <v>0</v>
      </c>
      <c r="K1625" s="3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</row>
    <row r="1626" spans="8:110" x14ac:dyDescent="0.3">
      <c r="H1626" s="10">
        <f t="shared" si="76"/>
        <v>0</v>
      </c>
      <c r="K1626" s="3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  <c r="CI1626" s="16"/>
      <c r="CJ1626" s="16"/>
      <c r="CK1626" s="16"/>
      <c r="CL1626" s="16"/>
      <c r="CM1626" s="16"/>
      <c r="CN1626" s="16"/>
      <c r="CO1626" s="16"/>
      <c r="CP1626" s="16"/>
      <c r="CQ1626" s="16"/>
      <c r="CR1626" s="16"/>
      <c r="CS1626" s="16"/>
      <c r="CT1626" s="16"/>
      <c r="CU1626" s="16"/>
      <c r="CV1626" s="16"/>
      <c r="CW1626" s="16"/>
      <c r="CX1626" s="16"/>
      <c r="CY1626" s="16"/>
      <c r="CZ1626" s="16"/>
      <c r="DA1626" s="16"/>
      <c r="DB1626" s="16"/>
      <c r="DC1626" s="16"/>
      <c r="DD1626" s="16"/>
      <c r="DE1626" s="16"/>
      <c r="DF1626" s="16"/>
    </row>
    <row r="1627" spans="8:110" x14ac:dyDescent="0.3">
      <c r="H1627" s="10">
        <f t="shared" ref="H1627:H1690" si="77">D1627-C1627</f>
        <v>0</v>
      </c>
      <c r="K1627" s="3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</row>
    <row r="1628" spans="8:110" x14ac:dyDescent="0.3">
      <c r="H1628" s="10">
        <f t="shared" si="77"/>
        <v>0</v>
      </c>
      <c r="K1628" s="3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16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6"/>
      <c r="CH1628" s="16"/>
      <c r="CI1628" s="16"/>
      <c r="CJ1628" s="16"/>
      <c r="CK1628" s="16"/>
      <c r="CL1628" s="16"/>
      <c r="CM1628" s="16"/>
      <c r="CN1628" s="16"/>
      <c r="CO1628" s="16"/>
      <c r="CP1628" s="16"/>
      <c r="CQ1628" s="16"/>
      <c r="CR1628" s="16"/>
      <c r="CS1628" s="16"/>
      <c r="CT1628" s="16"/>
      <c r="CU1628" s="16"/>
      <c r="CV1628" s="16"/>
      <c r="CW1628" s="16"/>
      <c r="CX1628" s="16"/>
      <c r="CY1628" s="16"/>
      <c r="CZ1628" s="16"/>
      <c r="DA1628" s="16"/>
      <c r="DB1628" s="16"/>
      <c r="DC1628" s="16"/>
      <c r="DD1628" s="16"/>
      <c r="DE1628" s="16"/>
      <c r="DF1628" s="16"/>
    </row>
    <row r="1629" spans="8:110" x14ac:dyDescent="0.3">
      <c r="H1629" s="10">
        <f t="shared" si="77"/>
        <v>0</v>
      </c>
      <c r="K1629" s="3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</row>
    <row r="1630" spans="8:110" x14ac:dyDescent="0.3">
      <c r="H1630" s="10">
        <f t="shared" si="77"/>
        <v>0</v>
      </c>
      <c r="K1630" s="3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</row>
    <row r="1631" spans="8:110" x14ac:dyDescent="0.3">
      <c r="H1631" s="10">
        <f t="shared" si="77"/>
        <v>0</v>
      </c>
      <c r="K1631" s="3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</row>
    <row r="1632" spans="8:110" x14ac:dyDescent="0.3">
      <c r="H1632" s="10">
        <f t="shared" si="77"/>
        <v>0</v>
      </c>
      <c r="K1632" s="3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</row>
    <row r="1633" spans="8:110" x14ac:dyDescent="0.3">
      <c r="H1633" s="10">
        <f t="shared" si="77"/>
        <v>0</v>
      </c>
      <c r="K1633" s="3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</row>
    <row r="1634" spans="8:110" x14ac:dyDescent="0.3">
      <c r="H1634" s="10">
        <f t="shared" si="77"/>
        <v>0</v>
      </c>
      <c r="K1634" s="3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16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6"/>
      <c r="CH1634" s="16"/>
      <c r="CI1634" s="16"/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/>
      <c r="DB1634" s="16"/>
      <c r="DC1634" s="16"/>
      <c r="DD1634" s="16"/>
      <c r="DE1634" s="16"/>
      <c r="DF1634" s="16"/>
    </row>
    <row r="1635" spans="8:110" x14ac:dyDescent="0.3">
      <c r="H1635" s="10">
        <f t="shared" si="77"/>
        <v>0</v>
      </c>
      <c r="K1635" s="3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</row>
    <row r="1636" spans="8:110" x14ac:dyDescent="0.3">
      <c r="H1636" s="10">
        <f t="shared" si="77"/>
        <v>0</v>
      </c>
      <c r="K1636" s="3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</row>
    <row r="1637" spans="8:110" x14ac:dyDescent="0.3">
      <c r="H1637" s="10">
        <f t="shared" si="77"/>
        <v>0</v>
      </c>
      <c r="K1637" s="3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</row>
    <row r="1638" spans="8:110" x14ac:dyDescent="0.3">
      <c r="H1638" s="10">
        <f t="shared" si="77"/>
        <v>0</v>
      </c>
      <c r="K1638" s="3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</row>
    <row r="1639" spans="8:110" x14ac:dyDescent="0.3">
      <c r="H1639" s="10">
        <f t="shared" si="77"/>
        <v>0</v>
      </c>
      <c r="K1639" s="3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</row>
    <row r="1640" spans="8:110" x14ac:dyDescent="0.3">
      <c r="H1640" s="10">
        <f t="shared" si="77"/>
        <v>0</v>
      </c>
      <c r="K1640" s="3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</row>
    <row r="1641" spans="8:110" x14ac:dyDescent="0.3">
      <c r="H1641" s="10">
        <f t="shared" si="77"/>
        <v>0</v>
      </c>
      <c r="K1641" s="3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</row>
    <row r="1642" spans="8:110" x14ac:dyDescent="0.3">
      <c r="H1642" s="10">
        <f t="shared" si="77"/>
        <v>0</v>
      </c>
      <c r="K1642" s="3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</row>
    <row r="1643" spans="8:110" x14ac:dyDescent="0.3">
      <c r="H1643" s="10">
        <f t="shared" si="77"/>
        <v>0</v>
      </c>
      <c r="K1643" s="3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</row>
    <row r="1644" spans="8:110" x14ac:dyDescent="0.3">
      <c r="H1644" s="10">
        <f t="shared" si="77"/>
        <v>0</v>
      </c>
      <c r="K1644" s="3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</row>
    <row r="1645" spans="8:110" x14ac:dyDescent="0.3">
      <c r="H1645" s="10">
        <f t="shared" si="77"/>
        <v>0</v>
      </c>
      <c r="K1645" s="3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</row>
    <row r="1646" spans="8:110" x14ac:dyDescent="0.3">
      <c r="H1646" s="10">
        <f t="shared" si="77"/>
        <v>0</v>
      </c>
      <c r="K1646" s="3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</row>
    <row r="1647" spans="8:110" x14ac:dyDescent="0.3">
      <c r="H1647" s="10">
        <f t="shared" si="77"/>
        <v>0</v>
      </c>
      <c r="K1647" s="3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</row>
    <row r="1648" spans="8:110" x14ac:dyDescent="0.3">
      <c r="H1648" s="10">
        <f t="shared" si="77"/>
        <v>0</v>
      </c>
      <c r="K1648" s="3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</row>
    <row r="1649" spans="8:110" x14ac:dyDescent="0.3">
      <c r="H1649" s="10">
        <f t="shared" si="77"/>
        <v>0</v>
      </c>
      <c r="K1649" s="3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</row>
    <row r="1650" spans="8:110" x14ac:dyDescent="0.3">
      <c r="H1650" s="10">
        <f t="shared" si="77"/>
        <v>0</v>
      </c>
      <c r="K1650" s="3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16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6"/>
      <c r="CH1650" s="16"/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/>
      <c r="DE1650" s="16"/>
      <c r="DF1650" s="16"/>
    </row>
    <row r="1651" spans="8:110" x14ac:dyDescent="0.3">
      <c r="H1651" s="10">
        <f t="shared" si="77"/>
        <v>0</v>
      </c>
      <c r="K1651" s="3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</row>
    <row r="1652" spans="8:110" x14ac:dyDescent="0.3">
      <c r="H1652" s="10">
        <f t="shared" si="77"/>
        <v>0</v>
      </c>
      <c r="K1652" s="3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</row>
    <row r="1653" spans="8:110" x14ac:dyDescent="0.3">
      <c r="H1653" s="10">
        <f t="shared" si="77"/>
        <v>0</v>
      </c>
      <c r="K1653" s="3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16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6"/>
      <c r="CH1653" s="16"/>
      <c r="CI1653" s="16"/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/>
      <c r="DC1653" s="16"/>
      <c r="DD1653" s="16"/>
      <c r="DE1653" s="16"/>
      <c r="DF1653" s="16"/>
    </row>
    <row r="1654" spans="8:110" x14ac:dyDescent="0.3">
      <c r="H1654" s="10">
        <f t="shared" si="77"/>
        <v>0</v>
      </c>
      <c r="K1654" s="3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</row>
    <row r="1655" spans="8:110" x14ac:dyDescent="0.3">
      <c r="H1655" s="10">
        <f t="shared" si="77"/>
        <v>0</v>
      </c>
      <c r="K1655" s="3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</row>
    <row r="1656" spans="8:110" x14ac:dyDescent="0.3">
      <c r="H1656" s="10">
        <f t="shared" si="77"/>
        <v>0</v>
      </c>
      <c r="K1656" s="3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</row>
    <row r="1657" spans="8:110" x14ac:dyDescent="0.3">
      <c r="H1657" s="10">
        <f t="shared" si="77"/>
        <v>0</v>
      </c>
      <c r="K1657" s="3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</row>
    <row r="1658" spans="8:110" x14ac:dyDescent="0.3">
      <c r="H1658" s="10">
        <f t="shared" si="77"/>
        <v>0</v>
      </c>
      <c r="K1658" s="3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  <c r="BN1658" s="16"/>
      <c r="BO1658" s="16"/>
      <c r="BP1658" s="16"/>
      <c r="BQ1658" s="16"/>
      <c r="BR1658" s="16"/>
      <c r="BS1658" s="16"/>
      <c r="BT1658" s="16"/>
      <c r="BU1658" s="16"/>
      <c r="BV1658" s="16"/>
      <c r="BW1658" s="16"/>
      <c r="BX1658" s="16"/>
      <c r="BY1658" s="16"/>
      <c r="BZ1658" s="16"/>
      <c r="CA1658" s="16"/>
      <c r="CB1658" s="16"/>
      <c r="CC1658" s="16"/>
      <c r="CD1658" s="16"/>
      <c r="CE1658" s="16"/>
      <c r="CF1658" s="16"/>
      <c r="CG1658" s="16"/>
      <c r="CH1658" s="16"/>
      <c r="CI1658" s="16"/>
      <c r="CJ1658" s="16"/>
      <c r="CK1658" s="16"/>
      <c r="CL1658" s="16"/>
      <c r="CM1658" s="16"/>
      <c r="CN1658" s="16"/>
      <c r="CO1658" s="16"/>
      <c r="CP1658" s="16"/>
      <c r="CQ1658" s="16"/>
      <c r="CR1658" s="16"/>
      <c r="CS1658" s="16"/>
      <c r="CT1658" s="16"/>
      <c r="CU1658" s="16"/>
      <c r="CV1658" s="16"/>
      <c r="CW1658" s="16"/>
      <c r="CX1658" s="16"/>
      <c r="CY1658" s="16"/>
      <c r="CZ1658" s="16"/>
      <c r="DA1658" s="16"/>
      <c r="DB1658" s="16"/>
      <c r="DC1658" s="16"/>
      <c r="DD1658" s="16"/>
      <c r="DE1658" s="16"/>
      <c r="DF1658" s="16"/>
    </row>
    <row r="1659" spans="8:110" x14ac:dyDescent="0.3">
      <c r="H1659" s="10">
        <f t="shared" si="77"/>
        <v>0</v>
      </c>
      <c r="K1659" s="3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  <c r="CI1659" s="16"/>
      <c r="CJ1659" s="16"/>
      <c r="CK1659" s="16"/>
      <c r="CL1659" s="16"/>
      <c r="CM1659" s="16"/>
      <c r="CN1659" s="16"/>
      <c r="CO1659" s="16"/>
      <c r="CP1659" s="16"/>
      <c r="CQ1659" s="16"/>
      <c r="CR1659" s="16"/>
      <c r="CS1659" s="16"/>
      <c r="CT1659" s="16"/>
      <c r="CU1659" s="16"/>
      <c r="CV1659" s="16"/>
      <c r="CW1659" s="16"/>
      <c r="CX1659" s="16"/>
      <c r="CY1659" s="16"/>
      <c r="CZ1659" s="16"/>
      <c r="DA1659" s="16"/>
      <c r="DB1659" s="16"/>
      <c r="DC1659" s="16"/>
      <c r="DD1659" s="16"/>
      <c r="DE1659" s="16"/>
      <c r="DF1659" s="16"/>
    </row>
    <row r="1660" spans="8:110" x14ac:dyDescent="0.3">
      <c r="H1660" s="10">
        <f t="shared" si="77"/>
        <v>0</v>
      </c>
      <c r="K1660" s="3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s="16"/>
      <c r="BG1660" s="16"/>
      <c r="BH1660" s="16"/>
      <c r="BI1660" s="16"/>
      <c r="BJ1660" s="16"/>
      <c r="BK1660" s="16"/>
      <c r="BL1660" s="16"/>
      <c r="BM1660" s="16"/>
      <c r="BN1660" s="16"/>
      <c r="BO1660" s="16"/>
      <c r="BP1660" s="16"/>
      <c r="BQ1660" s="16"/>
      <c r="BR1660" s="16"/>
      <c r="BS1660" s="16"/>
      <c r="BT1660" s="16"/>
      <c r="BU1660" s="16"/>
      <c r="BV1660" s="16"/>
      <c r="BW1660" s="16"/>
      <c r="BX1660" s="16"/>
      <c r="BY1660" s="16"/>
      <c r="BZ1660" s="16"/>
      <c r="CA1660" s="16"/>
      <c r="CB1660" s="16"/>
      <c r="CC1660" s="16"/>
      <c r="CD1660" s="16"/>
      <c r="CE1660" s="16"/>
      <c r="CF1660" s="16"/>
      <c r="CG1660" s="16"/>
      <c r="CH1660" s="16"/>
      <c r="CI1660" s="16"/>
      <c r="CJ1660" s="16"/>
      <c r="CK1660" s="16"/>
      <c r="CL1660" s="16"/>
      <c r="CM1660" s="16"/>
      <c r="CN1660" s="16"/>
      <c r="CO1660" s="16"/>
      <c r="CP1660" s="16"/>
      <c r="CQ1660" s="16"/>
      <c r="CR1660" s="16"/>
      <c r="CS1660" s="16"/>
      <c r="CT1660" s="16"/>
      <c r="CU1660" s="16"/>
      <c r="CV1660" s="16"/>
      <c r="CW1660" s="16"/>
      <c r="CX1660" s="16"/>
      <c r="CY1660" s="16"/>
      <c r="CZ1660" s="16"/>
      <c r="DA1660" s="16"/>
      <c r="DB1660" s="16"/>
      <c r="DC1660" s="16"/>
      <c r="DD1660" s="16"/>
      <c r="DE1660" s="16"/>
      <c r="DF1660" s="16"/>
    </row>
    <row r="1661" spans="8:110" x14ac:dyDescent="0.3">
      <c r="H1661" s="10">
        <f t="shared" si="77"/>
        <v>0</v>
      </c>
      <c r="K1661" s="3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16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6"/>
      <c r="CH1661" s="16"/>
      <c r="CI1661" s="16"/>
      <c r="CJ1661" s="16"/>
      <c r="CK1661" s="16"/>
      <c r="CL1661" s="16"/>
      <c r="CM1661" s="16"/>
      <c r="CN1661" s="16"/>
      <c r="CO1661" s="16"/>
      <c r="CP1661" s="16"/>
      <c r="CQ1661" s="16"/>
      <c r="CR1661" s="16"/>
      <c r="CS1661" s="16"/>
      <c r="CT1661" s="16"/>
      <c r="CU1661" s="16"/>
      <c r="CV1661" s="16"/>
      <c r="CW1661" s="16"/>
      <c r="CX1661" s="16"/>
      <c r="CY1661" s="16"/>
      <c r="CZ1661" s="16"/>
      <c r="DA1661" s="16"/>
      <c r="DB1661" s="16"/>
      <c r="DC1661" s="16"/>
      <c r="DD1661" s="16"/>
      <c r="DE1661" s="16"/>
      <c r="DF1661" s="16"/>
    </row>
    <row r="1662" spans="8:110" x14ac:dyDescent="0.3">
      <c r="H1662" s="10">
        <f t="shared" si="77"/>
        <v>0</v>
      </c>
      <c r="K1662" s="3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  <c r="BN1662" s="16"/>
      <c r="BO1662" s="16"/>
      <c r="BP1662" s="16"/>
      <c r="BQ1662" s="16"/>
      <c r="BR1662" s="16"/>
      <c r="BS1662" s="16"/>
      <c r="BT1662" s="16"/>
      <c r="BU1662" s="16"/>
      <c r="BV1662" s="16"/>
      <c r="BW1662" s="16"/>
      <c r="BX1662" s="16"/>
      <c r="BY1662" s="16"/>
      <c r="BZ1662" s="16"/>
      <c r="CA1662" s="16"/>
      <c r="CB1662" s="16"/>
      <c r="CC1662" s="16"/>
      <c r="CD1662" s="16"/>
      <c r="CE1662" s="16"/>
      <c r="CF1662" s="16"/>
      <c r="CG1662" s="16"/>
      <c r="CH1662" s="16"/>
      <c r="CI1662" s="16"/>
      <c r="CJ1662" s="16"/>
      <c r="CK1662" s="16"/>
      <c r="CL1662" s="16"/>
      <c r="CM1662" s="16"/>
      <c r="CN1662" s="16"/>
      <c r="CO1662" s="16"/>
      <c r="CP1662" s="16"/>
      <c r="CQ1662" s="16"/>
      <c r="CR1662" s="16"/>
      <c r="CS1662" s="16"/>
      <c r="CT1662" s="16"/>
      <c r="CU1662" s="16"/>
      <c r="CV1662" s="16"/>
      <c r="CW1662" s="16"/>
      <c r="CX1662" s="16"/>
      <c r="CY1662" s="16"/>
      <c r="CZ1662" s="16"/>
      <c r="DA1662" s="16"/>
      <c r="DB1662" s="16"/>
      <c r="DC1662" s="16"/>
      <c r="DD1662" s="16"/>
      <c r="DE1662" s="16"/>
      <c r="DF1662" s="16"/>
    </row>
    <row r="1663" spans="8:110" x14ac:dyDescent="0.3">
      <c r="H1663" s="10">
        <f t="shared" si="77"/>
        <v>0</v>
      </c>
    </row>
    <row r="1664" spans="8:110" x14ac:dyDescent="0.3">
      <c r="H1664" s="10">
        <f t="shared" si="77"/>
        <v>0</v>
      </c>
    </row>
    <row r="1665" spans="8:8" x14ac:dyDescent="0.3">
      <c r="H1665" s="10">
        <f t="shared" si="77"/>
        <v>0</v>
      </c>
    </row>
    <row r="1666" spans="8:8" x14ac:dyDescent="0.3">
      <c r="H1666" s="10">
        <f t="shared" si="77"/>
        <v>0</v>
      </c>
    </row>
    <row r="1667" spans="8:8" x14ac:dyDescent="0.3">
      <c r="H1667" s="10">
        <f t="shared" si="77"/>
        <v>0</v>
      </c>
    </row>
    <row r="1668" spans="8:8" x14ac:dyDescent="0.3">
      <c r="H1668" s="10">
        <f t="shared" si="77"/>
        <v>0</v>
      </c>
    </row>
    <row r="1669" spans="8:8" x14ac:dyDescent="0.3">
      <c r="H1669" s="10">
        <f t="shared" si="77"/>
        <v>0</v>
      </c>
    </row>
    <row r="1670" spans="8:8" x14ac:dyDescent="0.3">
      <c r="H1670" s="10">
        <f t="shared" si="77"/>
        <v>0</v>
      </c>
    </row>
    <row r="1671" spans="8:8" x14ac:dyDescent="0.3">
      <c r="H1671" s="10">
        <f t="shared" si="77"/>
        <v>0</v>
      </c>
    </row>
    <row r="1672" spans="8:8" x14ac:dyDescent="0.3">
      <c r="H1672" s="10">
        <f t="shared" si="77"/>
        <v>0</v>
      </c>
    </row>
    <row r="1673" spans="8:8" x14ac:dyDescent="0.3">
      <c r="H1673" s="10">
        <f t="shared" si="77"/>
        <v>0</v>
      </c>
    </row>
    <row r="1674" spans="8:8" x14ac:dyDescent="0.3">
      <c r="H1674" s="10">
        <f t="shared" si="77"/>
        <v>0</v>
      </c>
    </row>
    <row r="1675" spans="8:8" x14ac:dyDescent="0.3">
      <c r="H1675" s="10">
        <f t="shared" si="77"/>
        <v>0</v>
      </c>
    </row>
    <row r="1676" spans="8:8" x14ac:dyDescent="0.3">
      <c r="H1676" s="10">
        <f t="shared" si="77"/>
        <v>0</v>
      </c>
    </row>
    <row r="1677" spans="8:8" x14ac:dyDescent="0.3">
      <c r="H1677" s="10">
        <f t="shared" si="77"/>
        <v>0</v>
      </c>
    </row>
    <row r="1678" spans="8:8" x14ac:dyDescent="0.3">
      <c r="H1678" s="10">
        <f t="shared" si="77"/>
        <v>0</v>
      </c>
    </row>
    <row r="1679" spans="8:8" x14ac:dyDescent="0.3">
      <c r="H1679" s="10">
        <f t="shared" si="77"/>
        <v>0</v>
      </c>
    </row>
    <row r="1680" spans="8:8" x14ac:dyDescent="0.3">
      <c r="H1680" s="10">
        <f t="shared" si="77"/>
        <v>0</v>
      </c>
    </row>
    <row r="1681" spans="8:8" x14ac:dyDescent="0.3">
      <c r="H1681" s="10">
        <f t="shared" si="77"/>
        <v>0</v>
      </c>
    </row>
    <row r="1682" spans="8:8" x14ac:dyDescent="0.3">
      <c r="H1682" s="10">
        <f t="shared" si="77"/>
        <v>0</v>
      </c>
    </row>
    <row r="1683" spans="8:8" x14ac:dyDescent="0.3">
      <c r="H1683" s="10">
        <f t="shared" si="77"/>
        <v>0</v>
      </c>
    </row>
    <row r="1684" spans="8:8" x14ac:dyDescent="0.3">
      <c r="H1684" s="10">
        <f t="shared" si="77"/>
        <v>0</v>
      </c>
    </row>
    <row r="1685" spans="8:8" x14ac:dyDescent="0.3">
      <c r="H1685" s="10">
        <f t="shared" si="77"/>
        <v>0</v>
      </c>
    </row>
    <row r="1686" spans="8:8" x14ac:dyDescent="0.3">
      <c r="H1686" s="10">
        <f t="shared" si="77"/>
        <v>0</v>
      </c>
    </row>
    <row r="1687" spans="8:8" x14ac:dyDescent="0.3">
      <c r="H1687" s="10">
        <f t="shared" si="77"/>
        <v>0</v>
      </c>
    </row>
    <row r="1688" spans="8:8" x14ac:dyDescent="0.3">
      <c r="H1688" s="10">
        <f t="shared" si="77"/>
        <v>0</v>
      </c>
    </row>
    <row r="1689" spans="8:8" x14ac:dyDescent="0.3">
      <c r="H1689" s="10">
        <f t="shared" si="77"/>
        <v>0</v>
      </c>
    </row>
    <row r="1690" spans="8:8" x14ac:dyDescent="0.3">
      <c r="H1690" s="10">
        <f t="shared" si="77"/>
        <v>0</v>
      </c>
    </row>
    <row r="1691" spans="8:8" x14ac:dyDescent="0.3">
      <c r="H1691" s="10">
        <f t="shared" ref="H1691:H1754" si="78">D1691-C1691</f>
        <v>0</v>
      </c>
    </row>
    <row r="1692" spans="8:8" x14ac:dyDescent="0.3">
      <c r="H1692" s="10">
        <f t="shared" si="78"/>
        <v>0</v>
      </c>
    </row>
    <row r="1693" spans="8:8" x14ac:dyDescent="0.3">
      <c r="H1693" s="10">
        <f t="shared" si="78"/>
        <v>0</v>
      </c>
    </row>
    <row r="1694" spans="8:8" x14ac:dyDescent="0.3">
      <c r="H1694" s="10">
        <f t="shared" si="78"/>
        <v>0</v>
      </c>
    </row>
    <row r="1695" spans="8:8" x14ac:dyDescent="0.3">
      <c r="H1695" s="10">
        <f t="shared" si="78"/>
        <v>0</v>
      </c>
    </row>
    <row r="1696" spans="8:8" x14ac:dyDescent="0.3">
      <c r="H1696" s="10">
        <f t="shared" si="78"/>
        <v>0</v>
      </c>
    </row>
    <row r="1697" spans="8:8" x14ac:dyDescent="0.3">
      <c r="H1697" s="10">
        <f t="shared" si="78"/>
        <v>0</v>
      </c>
    </row>
    <row r="1698" spans="8:8" x14ac:dyDescent="0.3">
      <c r="H1698" s="10">
        <f t="shared" si="78"/>
        <v>0</v>
      </c>
    </row>
    <row r="1699" spans="8:8" x14ac:dyDescent="0.3">
      <c r="H1699" s="10">
        <f t="shared" si="78"/>
        <v>0</v>
      </c>
    </row>
    <row r="1700" spans="8:8" x14ac:dyDescent="0.3">
      <c r="H1700" s="10">
        <f t="shared" si="78"/>
        <v>0</v>
      </c>
    </row>
    <row r="1701" spans="8:8" x14ac:dyDescent="0.3">
      <c r="H1701" s="10">
        <f t="shared" si="78"/>
        <v>0</v>
      </c>
    </row>
    <row r="1702" spans="8:8" x14ac:dyDescent="0.3">
      <c r="H1702" s="10">
        <f t="shared" si="78"/>
        <v>0</v>
      </c>
    </row>
    <row r="1703" spans="8:8" x14ac:dyDescent="0.3">
      <c r="H1703" s="10">
        <f t="shared" si="78"/>
        <v>0</v>
      </c>
    </row>
    <row r="1704" spans="8:8" x14ac:dyDescent="0.3">
      <c r="H1704" s="10">
        <f t="shared" si="78"/>
        <v>0</v>
      </c>
    </row>
    <row r="1705" spans="8:8" x14ac:dyDescent="0.3">
      <c r="H1705" s="10">
        <f t="shared" si="78"/>
        <v>0</v>
      </c>
    </row>
    <row r="1706" spans="8:8" x14ac:dyDescent="0.3">
      <c r="H1706" s="10">
        <f t="shared" si="78"/>
        <v>0</v>
      </c>
    </row>
    <row r="1707" spans="8:8" x14ac:dyDescent="0.3">
      <c r="H1707" s="10">
        <f t="shared" si="78"/>
        <v>0</v>
      </c>
    </row>
    <row r="1708" spans="8:8" x14ac:dyDescent="0.3">
      <c r="H1708" s="10">
        <f t="shared" si="78"/>
        <v>0</v>
      </c>
    </row>
    <row r="1709" spans="8:8" x14ac:dyDescent="0.3">
      <c r="H1709" s="10">
        <f t="shared" si="78"/>
        <v>0</v>
      </c>
    </row>
    <row r="1710" spans="8:8" x14ac:dyDescent="0.3">
      <c r="H1710" s="10">
        <f t="shared" si="78"/>
        <v>0</v>
      </c>
    </row>
    <row r="1711" spans="8:8" x14ac:dyDescent="0.3">
      <c r="H1711" s="10">
        <f t="shared" si="78"/>
        <v>0</v>
      </c>
    </row>
    <row r="1712" spans="8:8" x14ac:dyDescent="0.3">
      <c r="H1712" s="10">
        <f t="shared" si="78"/>
        <v>0</v>
      </c>
    </row>
    <row r="1713" spans="8:8" x14ac:dyDescent="0.3">
      <c r="H1713" s="10">
        <f t="shared" si="78"/>
        <v>0</v>
      </c>
    </row>
    <row r="1714" spans="8:8" x14ac:dyDescent="0.3">
      <c r="H1714" s="10">
        <f t="shared" si="78"/>
        <v>0</v>
      </c>
    </row>
    <row r="1715" spans="8:8" x14ac:dyDescent="0.3">
      <c r="H1715" s="10">
        <f t="shared" si="78"/>
        <v>0</v>
      </c>
    </row>
    <row r="1716" spans="8:8" x14ac:dyDescent="0.3">
      <c r="H1716" s="10">
        <f t="shared" si="78"/>
        <v>0</v>
      </c>
    </row>
    <row r="1717" spans="8:8" x14ac:dyDescent="0.3">
      <c r="H1717" s="10">
        <f t="shared" si="78"/>
        <v>0</v>
      </c>
    </row>
    <row r="1718" spans="8:8" x14ac:dyDescent="0.3">
      <c r="H1718" s="10">
        <f t="shared" si="78"/>
        <v>0</v>
      </c>
    </row>
    <row r="1719" spans="8:8" x14ac:dyDescent="0.3">
      <c r="H1719" s="10">
        <f t="shared" si="78"/>
        <v>0</v>
      </c>
    </row>
    <row r="1720" spans="8:8" x14ac:dyDescent="0.3">
      <c r="H1720" s="10">
        <f t="shared" si="78"/>
        <v>0</v>
      </c>
    </row>
    <row r="1721" spans="8:8" x14ac:dyDescent="0.3">
      <c r="H1721" s="10">
        <f t="shared" si="78"/>
        <v>0</v>
      </c>
    </row>
    <row r="1722" spans="8:8" x14ac:dyDescent="0.3">
      <c r="H1722" s="10">
        <f t="shared" si="78"/>
        <v>0</v>
      </c>
    </row>
    <row r="1723" spans="8:8" x14ac:dyDescent="0.3">
      <c r="H1723" s="10">
        <f t="shared" si="78"/>
        <v>0</v>
      </c>
    </row>
    <row r="1724" spans="8:8" x14ac:dyDescent="0.3">
      <c r="H1724" s="10">
        <f t="shared" si="78"/>
        <v>0</v>
      </c>
    </row>
    <row r="1725" spans="8:8" x14ac:dyDescent="0.3">
      <c r="H1725" s="10">
        <f t="shared" si="78"/>
        <v>0</v>
      </c>
    </row>
    <row r="1726" spans="8:8" x14ac:dyDescent="0.3">
      <c r="H1726" s="10">
        <f t="shared" si="78"/>
        <v>0</v>
      </c>
    </row>
    <row r="1727" spans="8:8" x14ac:dyDescent="0.3">
      <c r="H1727" s="10">
        <f t="shared" si="78"/>
        <v>0</v>
      </c>
    </row>
    <row r="1728" spans="8:8" x14ac:dyDescent="0.3">
      <c r="H1728" s="10">
        <f t="shared" si="78"/>
        <v>0</v>
      </c>
    </row>
    <row r="1729" spans="8:8" x14ac:dyDescent="0.3">
      <c r="H1729" s="10">
        <f t="shared" si="78"/>
        <v>0</v>
      </c>
    </row>
    <row r="1730" spans="8:8" x14ac:dyDescent="0.3">
      <c r="H1730" s="10">
        <f t="shared" si="78"/>
        <v>0</v>
      </c>
    </row>
    <row r="1731" spans="8:8" x14ac:dyDescent="0.3">
      <c r="H1731" s="10">
        <f t="shared" si="78"/>
        <v>0</v>
      </c>
    </row>
    <row r="1732" spans="8:8" x14ac:dyDescent="0.3">
      <c r="H1732" s="10">
        <f t="shared" si="78"/>
        <v>0</v>
      </c>
    </row>
    <row r="1733" spans="8:8" x14ac:dyDescent="0.3">
      <c r="H1733" s="10">
        <f t="shared" si="78"/>
        <v>0</v>
      </c>
    </row>
    <row r="1734" spans="8:8" x14ac:dyDescent="0.3">
      <c r="H1734" s="10">
        <f t="shared" si="78"/>
        <v>0</v>
      </c>
    </row>
    <row r="1735" spans="8:8" x14ac:dyDescent="0.3">
      <c r="H1735" s="10">
        <f t="shared" si="78"/>
        <v>0</v>
      </c>
    </row>
    <row r="1736" spans="8:8" x14ac:dyDescent="0.3">
      <c r="H1736" s="10">
        <f t="shared" si="78"/>
        <v>0</v>
      </c>
    </row>
    <row r="1737" spans="8:8" x14ac:dyDescent="0.3">
      <c r="H1737" s="10">
        <f t="shared" si="78"/>
        <v>0</v>
      </c>
    </row>
    <row r="1738" spans="8:8" x14ac:dyDescent="0.3">
      <c r="H1738" s="10">
        <f t="shared" si="78"/>
        <v>0</v>
      </c>
    </row>
    <row r="1739" spans="8:8" x14ac:dyDescent="0.3">
      <c r="H1739" s="10">
        <f t="shared" si="78"/>
        <v>0</v>
      </c>
    </row>
    <row r="1740" spans="8:8" x14ac:dyDescent="0.3">
      <c r="H1740" s="10">
        <f t="shared" si="78"/>
        <v>0</v>
      </c>
    </row>
    <row r="1741" spans="8:8" x14ac:dyDescent="0.3">
      <c r="H1741" s="10">
        <f t="shared" si="78"/>
        <v>0</v>
      </c>
    </row>
    <row r="1742" spans="8:8" x14ac:dyDescent="0.3">
      <c r="H1742" s="10">
        <f t="shared" si="78"/>
        <v>0</v>
      </c>
    </row>
    <row r="1743" spans="8:8" x14ac:dyDescent="0.3">
      <c r="H1743" s="10">
        <f t="shared" si="78"/>
        <v>0</v>
      </c>
    </row>
    <row r="1744" spans="8:8" x14ac:dyDescent="0.3">
      <c r="H1744" s="10">
        <f t="shared" si="78"/>
        <v>0</v>
      </c>
    </row>
    <row r="1745" spans="8:8" x14ac:dyDescent="0.3">
      <c r="H1745" s="10">
        <f t="shared" si="78"/>
        <v>0</v>
      </c>
    </row>
    <row r="1746" spans="8:8" x14ac:dyDescent="0.3">
      <c r="H1746" s="10">
        <f t="shared" si="78"/>
        <v>0</v>
      </c>
    </row>
    <row r="1747" spans="8:8" x14ac:dyDescent="0.3">
      <c r="H1747" s="10">
        <f t="shared" si="78"/>
        <v>0</v>
      </c>
    </row>
    <row r="1748" spans="8:8" x14ac:dyDescent="0.3">
      <c r="H1748" s="10">
        <f t="shared" si="78"/>
        <v>0</v>
      </c>
    </row>
    <row r="1749" spans="8:8" x14ac:dyDescent="0.3">
      <c r="H1749" s="10">
        <f t="shared" si="78"/>
        <v>0</v>
      </c>
    </row>
    <row r="1750" spans="8:8" x14ac:dyDescent="0.3">
      <c r="H1750" s="10">
        <f t="shared" si="78"/>
        <v>0</v>
      </c>
    </row>
    <row r="1751" spans="8:8" x14ac:dyDescent="0.3">
      <c r="H1751" s="10">
        <f t="shared" si="78"/>
        <v>0</v>
      </c>
    </row>
    <row r="1752" spans="8:8" x14ac:dyDescent="0.3">
      <c r="H1752" s="10">
        <f t="shared" si="78"/>
        <v>0</v>
      </c>
    </row>
    <row r="1753" spans="8:8" x14ac:dyDescent="0.3">
      <c r="H1753" s="10">
        <f t="shared" si="78"/>
        <v>0</v>
      </c>
    </row>
    <row r="1754" spans="8:8" x14ac:dyDescent="0.3">
      <c r="H1754" s="10">
        <f t="shared" si="78"/>
        <v>0</v>
      </c>
    </row>
    <row r="1755" spans="8:8" x14ac:dyDescent="0.3">
      <c r="H1755" s="10">
        <f t="shared" ref="H1755:H1818" si="79">D1755-C1755</f>
        <v>0</v>
      </c>
    </row>
    <row r="1756" spans="8:8" x14ac:dyDescent="0.3">
      <c r="H1756" s="10">
        <f t="shared" si="79"/>
        <v>0</v>
      </c>
    </row>
    <row r="1757" spans="8:8" x14ac:dyDescent="0.3">
      <c r="H1757" s="10">
        <f t="shared" si="79"/>
        <v>0</v>
      </c>
    </row>
    <row r="1758" spans="8:8" x14ac:dyDescent="0.3">
      <c r="H1758" s="10">
        <f t="shared" si="79"/>
        <v>0</v>
      </c>
    </row>
    <row r="1759" spans="8:8" x14ac:dyDescent="0.3">
      <c r="H1759" s="10">
        <f t="shared" si="79"/>
        <v>0</v>
      </c>
    </row>
    <row r="1760" spans="8:8" x14ac:dyDescent="0.3">
      <c r="H1760" s="10">
        <f t="shared" si="79"/>
        <v>0</v>
      </c>
    </row>
    <row r="1761" spans="8:8" x14ac:dyDescent="0.3">
      <c r="H1761" s="10">
        <f t="shared" si="79"/>
        <v>0</v>
      </c>
    </row>
    <row r="1762" spans="8:8" x14ac:dyDescent="0.3">
      <c r="H1762" s="10">
        <f t="shared" si="79"/>
        <v>0</v>
      </c>
    </row>
    <row r="1763" spans="8:8" x14ac:dyDescent="0.3">
      <c r="H1763" s="10">
        <f t="shared" si="79"/>
        <v>0</v>
      </c>
    </row>
    <row r="1764" spans="8:8" x14ac:dyDescent="0.3">
      <c r="H1764" s="10">
        <f t="shared" si="79"/>
        <v>0</v>
      </c>
    </row>
    <row r="1765" spans="8:8" x14ac:dyDescent="0.3">
      <c r="H1765" s="10">
        <f t="shared" si="79"/>
        <v>0</v>
      </c>
    </row>
    <row r="1766" spans="8:8" x14ac:dyDescent="0.3">
      <c r="H1766" s="10">
        <f t="shared" si="79"/>
        <v>0</v>
      </c>
    </row>
    <row r="1767" spans="8:8" x14ac:dyDescent="0.3">
      <c r="H1767" s="10">
        <f t="shared" si="79"/>
        <v>0</v>
      </c>
    </row>
    <row r="1768" spans="8:8" x14ac:dyDescent="0.3">
      <c r="H1768" s="10">
        <f t="shared" si="79"/>
        <v>0</v>
      </c>
    </row>
    <row r="1769" spans="8:8" x14ac:dyDescent="0.3">
      <c r="H1769" s="10">
        <f t="shared" si="79"/>
        <v>0</v>
      </c>
    </row>
    <row r="1770" spans="8:8" x14ac:dyDescent="0.3">
      <c r="H1770" s="10">
        <f t="shared" si="79"/>
        <v>0</v>
      </c>
    </row>
    <row r="1771" spans="8:8" x14ac:dyDescent="0.3">
      <c r="H1771" s="10">
        <f t="shared" si="79"/>
        <v>0</v>
      </c>
    </row>
    <row r="1772" spans="8:8" x14ac:dyDescent="0.3">
      <c r="H1772" s="10">
        <f t="shared" si="79"/>
        <v>0</v>
      </c>
    </row>
    <row r="1773" spans="8:8" x14ac:dyDescent="0.3">
      <c r="H1773" s="10">
        <f t="shared" si="79"/>
        <v>0</v>
      </c>
    </row>
    <row r="1774" spans="8:8" x14ac:dyDescent="0.3">
      <c r="H1774" s="10">
        <f t="shared" si="79"/>
        <v>0</v>
      </c>
    </row>
    <row r="1775" spans="8:8" x14ac:dyDescent="0.3">
      <c r="H1775" s="10">
        <f t="shared" si="79"/>
        <v>0</v>
      </c>
    </row>
    <row r="1776" spans="8:8" x14ac:dyDescent="0.3">
      <c r="H1776" s="10">
        <f t="shared" si="79"/>
        <v>0</v>
      </c>
    </row>
    <row r="1777" spans="8:8" x14ac:dyDescent="0.3">
      <c r="H1777" s="10">
        <f t="shared" si="79"/>
        <v>0</v>
      </c>
    </row>
    <row r="1778" spans="8:8" x14ac:dyDescent="0.3">
      <c r="H1778" s="10">
        <f t="shared" si="79"/>
        <v>0</v>
      </c>
    </row>
    <row r="1779" spans="8:8" x14ac:dyDescent="0.3">
      <c r="H1779" s="10">
        <f t="shared" si="79"/>
        <v>0</v>
      </c>
    </row>
    <row r="1780" spans="8:8" x14ac:dyDescent="0.3">
      <c r="H1780" s="10">
        <f t="shared" si="79"/>
        <v>0</v>
      </c>
    </row>
    <row r="1781" spans="8:8" x14ac:dyDescent="0.3">
      <c r="H1781" s="10">
        <f t="shared" si="79"/>
        <v>0</v>
      </c>
    </row>
    <row r="1782" spans="8:8" x14ac:dyDescent="0.3">
      <c r="H1782" s="10">
        <f t="shared" si="79"/>
        <v>0</v>
      </c>
    </row>
    <row r="1783" spans="8:8" x14ac:dyDescent="0.3">
      <c r="H1783" s="10">
        <f t="shared" si="79"/>
        <v>0</v>
      </c>
    </row>
    <row r="1784" spans="8:8" x14ac:dyDescent="0.3">
      <c r="H1784" s="10">
        <f t="shared" si="79"/>
        <v>0</v>
      </c>
    </row>
    <row r="1785" spans="8:8" x14ac:dyDescent="0.3">
      <c r="H1785" s="10">
        <f t="shared" si="79"/>
        <v>0</v>
      </c>
    </row>
    <row r="1786" spans="8:8" x14ac:dyDescent="0.3">
      <c r="H1786" s="10">
        <f t="shared" si="79"/>
        <v>0</v>
      </c>
    </row>
    <row r="1787" spans="8:8" x14ac:dyDescent="0.3">
      <c r="H1787" s="10">
        <f t="shared" si="79"/>
        <v>0</v>
      </c>
    </row>
    <row r="1788" spans="8:8" x14ac:dyDescent="0.3">
      <c r="H1788" s="10">
        <f t="shared" si="79"/>
        <v>0</v>
      </c>
    </row>
    <row r="1789" spans="8:8" x14ac:dyDescent="0.3">
      <c r="H1789" s="10">
        <f t="shared" si="79"/>
        <v>0</v>
      </c>
    </row>
    <row r="1790" spans="8:8" x14ac:dyDescent="0.3">
      <c r="H1790" s="10">
        <f t="shared" si="79"/>
        <v>0</v>
      </c>
    </row>
    <row r="1791" spans="8:8" x14ac:dyDescent="0.3">
      <c r="H1791" s="10">
        <f t="shared" si="79"/>
        <v>0</v>
      </c>
    </row>
    <row r="1792" spans="8:8" x14ac:dyDescent="0.3">
      <c r="H1792" s="10">
        <f t="shared" si="79"/>
        <v>0</v>
      </c>
    </row>
    <row r="1793" spans="8:8" x14ac:dyDescent="0.3">
      <c r="H1793" s="10">
        <f t="shared" si="79"/>
        <v>0</v>
      </c>
    </row>
    <row r="1794" spans="8:8" x14ac:dyDescent="0.3">
      <c r="H1794" s="10">
        <f t="shared" si="79"/>
        <v>0</v>
      </c>
    </row>
    <row r="1795" spans="8:8" x14ac:dyDescent="0.3">
      <c r="H1795" s="10">
        <f t="shared" si="79"/>
        <v>0</v>
      </c>
    </row>
    <row r="1796" spans="8:8" x14ac:dyDescent="0.3">
      <c r="H1796" s="10">
        <f t="shared" si="79"/>
        <v>0</v>
      </c>
    </row>
    <row r="1797" spans="8:8" x14ac:dyDescent="0.3">
      <c r="H1797" s="10">
        <f t="shared" si="79"/>
        <v>0</v>
      </c>
    </row>
    <row r="1798" spans="8:8" x14ac:dyDescent="0.3">
      <c r="H1798" s="10">
        <f t="shared" si="79"/>
        <v>0</v>
      </c>
    </row>
    <row r="1799" spans="8:8" x14ac:dyDescent="0.3">
      <c r="H1799" s="10">
        <f t="shared" si="79"/>
        <v>0</v>
      </c>
    </row>
    <row r="1800" spans="8:8" x14ac:dyDescent="0.3">
      <c r="H1800" s="10">
        <f t="shared" si="79"/>
        <v>0</v>
      </c>
    </row>
    <row r="1801" spans="8:8" x14ac:dyDescent="0.3">
      <c r="H1801" s="10">
        <f t="shared" si="79"/>
        <v>0</v>
      </c>
    </row>
    <row r="1802" spans="8:8" x14ac:dyDescent="0.3">
      <c r="H1802" s="10">
        <f t="shared" si="79"/>
        <v>0</v>
      </c>
    </row>
    <row r="1803" spans="8:8" x14ac:dyDescent="0.3">
      <c r="H1803" s="10">
        <f t="shared" si="79"/>
        <v>0</v>
      </c>
    </row>
    <row r="1804" spans="8:8" x14ac:dyDescent="0.3">
      <c r="H1804" s="10">
        <f t="shared" si="79"/>
        <v>0</v>
      </c>
    </row>
    <row r="1805" spans="8:8" x14ac:dyDescent="0.3">
      <c r="H1805" s="10">
        <f t="shared" si="79"/>
        <v>0</v>
      </c>
    </row>
    <row r="1806" spans="8:8" x14ac:dyDescent="0.3">
      <c r="H1806" s="10">
        <f t="shared" si="79"/>
        <v>0</v>
      </c>
    </row>
    <row r="1807" spans="8:8" x14ac:dyDescent="0.3">
      <c r="H1807" s="10">
        <f t="shared" si="79"/>
        <v>0</v>
      </c>
    </row>
    <row r="1808" spans="8:8" x14ac:dyDescent="0.3">
      <c r="H1808" s="10">
        <f t="shared" si="79"/>
        <v>0</v>
      </c>
    </row>
    <row r="1809" spans="8:8" x14ac:dyDescent="0.3">
      <c r="H1809" s="10">
        <f t="shared" si="79"/>
        <v>0</v>
      </c>
    </row>
    <row r="1810" spans="8:8" x14ac:dyDescent="0.3">
      <c r="H1810" s="10">
        <f t="shared" si="79"/>
        <v>0</v>
      </c>
    </row>
    <row r="1811" spans="8:8" x14ac:dyDescent="0.3">
      <c r="H1811" s="10">
        <f t="shared" si="79"/>
        <v>0</v>
      </c>
    </row>
    <row r="1812" spans="8:8" x14ac:dyDescent="0.3">
      <c r="H1812" s="10">
        <f t="shared" si="79"/>
        <v>0</v>
      </c>
    </row>
    <row r="1813" spans="8:8" x14ac:dyDescent="0.3">
      <c r="H1813" s="10">
        <f t="shared" si="79"/>
        <v>0</v>
      </c>
    </row>
    <row r="1814" spans="8:8" x14ac:dyDescent="0.3">
      <c r="H1814" s="10">
        <f t="shared" si="79"/>
        <v>0</v>
      </c>
    </row>
    <row r="1815" spans="8:8" x14ac:dyDescent="0.3">
      <c r="H1815" s="10">
        <f t="shared" si="79"/>
        <v>0</v>
      </c>
    </row>
    <row r="1816" spans="8:8" x14ac:dyDescent="0.3">
      <c r="H1816" s="10">
        <f t="shared" si="79"/>
        <v>0</v>
      </c>
    </row>
    <row r="1817" spans="8:8" x14ac:dyDescent="0.3">
      <c r="H1817" s="10">
        <f t="shared" si="79"/>
        <v>0</v>
      </c>
    </row>
    <row r="1818" spans="8:8" x14ac:dyDescent="0.3">
      <c r="H1818" s="10">
        <f t="shared" si="79"/>
        <v>0</v>
      </c>
    </row>
    <row r="1819" spans="8:8" x14ac:dyDescent="0.3">
      <c r="H1819" s="10">
        <f t="shared" ref="H1819:H1882" si="80">D1819-C1819</f>
        <v>0</v>
      </c>
    </row>
    <row r="1820" spans="8:8" x14ac:dyDescent="0.3">
      <c r="H1820" s="10">
        <f t="shared" si="80"/>
        <v>0</v>
      </c>
    </row>
    <row r="1821" spans="8:8" x14ac:dyDescent="0.3">
      <c r="H1821" s="10">
        <f t="shared" si="80"/>
        <v>0</v>
      </c>
    </row>
    <row r="1822" spans="8:8" x14ac:dyDescent="0.3">
      <c r="H1822" s="10">
        <f t="shared" si="80"/>
        <v>0</v>
      </c>
    </row>
    <row r="1823" spans="8:8" x14ac:dyDescent="0.3">
      <c r="H1823" s="10">
        <f t="shared" si="80"/>
        <v>0</v>
      </c>
    </row>
    <row r="1824" spans="8:8" x14ac:dyDescent="0.3">
      <c r="H1824" s="10">
        <f t="shared" si="80"/>
        <v>0</v>
      </c>
    </row>
    <row r="1825" spans="8:8" x14ac:dyDescent="0.3">
      <c r="H1825" s="10">
        <f t="shared" si="80"/>
        <v>0</v>
      </c>
    </row>
    <row r="1826" spans="8:8" x14ac:dyDescent="0.3">
      <c r="H1826" s="10">
        <f t="shared" si="80"/>
        <v>0</v>
      </c>
    </row>
    <row r="1827" spans="8:8" x14ac:dyDescent="0.3">
      <c r="H1827" s="10">
        <f t="shared" si="80"/>
        <v>0</v>
      </c>
    </row>
    <row r="1828" spans="8:8" x14ac:dyDescent="0.3">
      <c r="H1828" s="10">
        <f t="shared" si="80"/>
        <v>0</v>
      </c>
    </row>
    <row r="1829" spans="8:8" x14ac:dyDescent="0.3">
      <c r="H1829" s="10">
        <f t="shared" si="80"/>
        <v>0</v>
      </c>
    </row>
    <row r="1830" spans="8:8" x14ac:dyDescent="0.3">
      <c r="H1830" s="10">
        <f t="shared" si="80"/>
        <v>0</v>
      </c>
    </row>
    <row r="1831" spans="8:8" x14ac:dyDescent="0.3">
      <c r="H1831" s="10">
        <f t="shared" si="80"/>
        <v>0</v>
      </c>
    </row>
    <row r="1832" spans="8:8" x14ac:dyDescent="0.3">
      <c r="H1832" s="10">
        <f t="shared" si="80"/>
        <v>0</v>
      </c>
    </row>
    <row r="1833" spans="8:8" x14ac:dyDescent="0.3">
      <c r="H1833" s="10">
        <f t="shared" si="80"/>
        <v>0</v>
      </c>
    </row>
    <row r="1834" spans="8:8" x14ac:dyDescent="0.3">
      <c r="H1834" s="10">
        <f t="shared" si="80"/>
        <v>0</v>
      </c>
    </row>
    <row r="1835" spans="8:8" x14ac:dyDescent="0.3">
      <c r="H1835" s="10">
        <f t="shared" si="80"/>
        <v>0</v>
      </c>
    </row>
    <row r="1836" spans="8:8" x14ac:dyDescent="0.3">
      <c r="H1836" s="10">
        <f t="shared" si="80"/>
        <v>0</v>
      </c>
    </row>
    <row r="1837" spans="8:8" x14ac:dyDescent="0.3">
      <c r="H1837" s="10">
        <f t="shared" si="80"/>
        <v>0</v>
      </c>
    </row>
    <row r="1838" spans="8:8" x14ac:dyDescent="0.3">
      <c r="H1838" s="10">
        <f t="shared" si="80"/>
        <v>0</v>
      </c>
    </row>
    <row r="1839" spans="8:8" x14ac:dyDescent="0.3">
      <c r="H1839" s="10">
        <f t="shared" si="80"/>
        <v>0</v>
      </c>
    </row>
    <row r="1840" spans="8:8" x14ac:dyDescent="0.3">
      <c r="H1840" s="10">
        <f t="shared" si="80"/>
        <v>0</v>
      </c>
    </row>
    <row r="1841" spans="8:8" x14ac:dyDescent="0.3">
      <c r="H1841" s="10">
        <f t="shared" si="80"/>
        <v>0</v>
      </c>
    </row>
    <row r="1842" spans="8:8" x14ac:dyDescent="0.3">
      <c r="H1842" s="10">
        <f t="shared" si="80"/>
        <v>0</v>
      </c>
    </row>
    <row r="1843" spans="8:8" x14ac:dyDescent="0.3">
      <c r="H1843" s="10">
        <f t="shared" si="80"/>
        <v>0</v>
      </c>
    </row>
    <row r="1844" spans="8:8" x14ac:dyDescent="0.3">
      <c r="H1844" s="10">
        <f t="shared" si="80"/>
        <v>0</v>
      </c>
    </row>
    <row r="1845" spans="8:8" x14ac:dyDescent="0.3">
      <c r="H1845" s="10">
        <f t="shared" si="80"/>
        <v>0</v>
      </c>
    </row>
    <row r="1846" spans="8:8" x14ac:dyDescent="0.3">
      <c r="H1846" s="10">
        <f t="shared" si="80"/>
        <v>0</v>
      </c>
    </row>
    <row r="1847" spans="8:8" x14ac:dyDescent="0.3">
      <c r="H1847" s="10">
        <f t="shared" si="80"/>
        <v>0</v>
      </c>
    </row>
    <row r="1848" spans="8:8" x14ac:dyDescent="0.3">
      <c r="H1848" s="10">
        <f t="shared" si="80"/>
        <v>0</v>
      </c>
    </row>
    <row r="1849" spans="8:8" x14ac:dyDescent="0.3">
      <c r="H1849" s="10">
        <f t="shared" si="80"/>
        <v>0</v>
      </c>
    </row>
    <row r="1850" spans="8:8" x14ac:dyDescent="0.3">
      <c r="H1850" s="10">
        <f t="shared" si="80"/>
        <v>0</v>
      </c>
    </row>
    <row r="1851" spans="8:8" x14ac:dyDescent="0.3">
      <c r="H1851" s="10">
        <f t="shared" si="80"/>
        <v>0</v>
      </c>
    </row>
    <row r="1852" spans="8:8" x14ac:dyDescent="0.3">
      <c r="H1852" s="10">
        <f t="shared" si="80"/>
        <v>0</v>
      </c>
    </row>
    <row r="1853" spans="8:8" x14ac:dyDescent="0.3">
      <c r="H1853" s="10">
        <f t="shared" si="80"/>
        <v>0</v>
      </c>
    </row>
    <row r="1854" spans="8:8" x14ac:dyDescent="0.3">
      <c r="H1854" s="10">
        <f t="shared" si="80"/>
        <v>0</v>
      </c>
    </row>
    <row r="1855" spans="8:8" x14ac:dyDescent="0.3">
      <c r="H1855" s="10">
        <f t="shared" si="80"/>
        <v>0</v>
      </c>
    </row>
    <row r="1856" spans="8:8" x14ac:dyDescent="0.3">
      <c r="H1856" s="10">
        <f t="shared" si="80"/>
        <v>0</v>
      </c>
    </row>
    <row r="1857" spans="8:8" x14ac:dyDescent="0.3">
      <c r="H1857" s="10">
        <f t="shared" si="80"/>
        <v>0</v>
      </c>
    </row>
    <row r="1858" spans="8:8" x14ac:dyDescent="0.3">
      <c r="H1858" s="10">
        <f t="shared" si="80"/>
        <v>0</v>
      </c>
    </row>
    <row r="1859" spans="8:8" x14ac:dyDescent="0.3">
      <c r="H1859" s="10">
        <f t="shared" si="80"/>
        <v>0</v>
      </c>
    </row>
    <row r="1860" spans="8:8" x14ac:dyDescent="0.3">
      <c r="H1860" s="10">
        <f t="shared" si="80"/>
        <v>0</v>
      </c>
    </row>
    <row r="1861" spans="8:8" x14ac:dyDescent="0.3">
      <c r="H1861" s="10">
        <f t="shared" si="80"/>
        <v>0</v>
      </c>
    </row>
    <row r="1862" spans="8:8" x14ac:dyDescent="0.3">
      <c r="H1862" s="10">
        <f t="shared" si="80"/>
        <v>0</v>
      </c>
    </row>
    <row r="1863" spans="8:8" x14ac:dyDescent="0.3">
      <c r="H1863" s="10">
        <f t="shared" si="80"/>
        <v>0</v>
      </c>
    </row>
    <row r="1864" spans="8:8" x14ac:dyDescent="0.3">
      <c r="H1864" s="10">
        <f t="shared" si="80"/>
        <v>0</v>
      </c>
    </row>
    <row r="1865" spans="8:8" x14ac:dyDescent="0.3">
      <c r="H1865" s="10">
        <f t="shared" si="80"/>
        <v>0</v>
      </c>
    </row>
    <row r="1866" spans="8:8" x14ac:dyDescent="0.3">
      <c r="H1866" s="10">
        <f t="shared" si="80"/>
        <v>0</v>
      </c>
    </row>
    <row r="1867" spans="8:8" x14ac:dyDescent="0.3">
      <c r="H1867" s="10">
        <f t="shared" si="80"/>
        <v>0</v>
      </c>
    </row>
    <row r="1868" spans="8:8" x14ac:dyDescent="0.3">
      <c r="H1868" s="10">
        <f t="shared" si="80"/>
        <v>0</v>
      </c>
    </row>
    <row r="1869" spans="8:8" x14ac:dyDescent="0.3">
      <c r="H1869" s="10">
        <f t="shared" si="80"/>
        <v>0</v>
      </c>
    </row>
    <row r="1870" spans="8:8" x14ac:dyDescent="0.3">
      <c r="H1870" s="10">
        <f t="shared" si="80"/>
        <v>0</v>
      </c>
    </row>
    <row r="1871" spans="8:8" x14ac:dyDescent="0.3">
      <c r="H1871" s="10">
        <f t="shared" si="80"/>
        <v>0</v>
      </c>
    </row>
    <row r="1872" spans="8:8" x14ac:dyDescent="0.3">
      <c r="H1872" s="10">
        <f t="shared" si="80"/>
        <v>0</v>
      </c>
    </row>
    <row r="1873" spans="8:8" x14ac:dyDescent="0.3">
      <c r="H1873" s="10">
        <f t="shared" si="80"/>
        <v>0</v>
      </c>
    </row>
    <row r="1874" spans="8:8" x14ac:dyDescent="0.3">
      <c r="H1874" s="10">
        <f t="shared" si="80"/>
        <v>0</v>
      </c>
    </row>
    <row r="1875" spans="8:8" x14ac:dyDescent="0.3">
      <c r="H1875" s="10">
        <f t="shared" si="80"/>
        <v>0</v>
      </c>
    </row>
    <row r="1876" spans="8:8" x14ac:dyDescent="0.3">
      <c r="H1876" s="10">
        <f t="shared" si="80"/>
        <v>0</v>
      </c>
    </row>
    <row r="1877" spans="8:8" x14ac:dyDescent="0.3">
      <c r="H1877" s="10">
        <f t="shared" si="80"/>
        <v>0</v>
      </c>
    </row>
    <row r="1878" spans="8:8" x14ac:dyDescent="0.3">
      <c r="H1878" s="10">
        <f t="shared" si="80"/>
        <v>0</v>
      </c>
    </row>
    <row r="1879" spans="8:8" x14ac:dyDescent="0.3">
      <c r="H1879" s="10">
        <f t="shared" si="80"/>
        <v>0</v>
      </c>
    </row>
    <row r="1880" spans="8:8" x14ac:dyDescent="0.3">
      <c r="H1880" s="10">
        <f t="shared" si="80"/>
        <v>0</v>
      </c>
    </row>
    <row r="1881" spans="8:8" x14ac:dyDescent="0.3">
      <c r="H1881" s="10">
        <f t="shared" si="80"/>
        <v>0</v>
      </c>
    </row>
    <row r="1882" spans="8:8" x14ac:dyDescent="0.3">
      <c r="H1882" s="10">
        <f t="shared" si="80"/>
        <v>0</v>
      </c>
    </row>
    <row r="1883" spans="8:8" x14ac:dyDescent="0.3">
      <c r="H1883" s="10">
        <f t="shared" ref="H1883:H1946" si="81">D1883-C1883</f>
        <v>0</v>
      </c>
    </row>
    <row r="1884" spans="8:8" x14ac:dyDescent="0.3">
      <c r="H1884" s="10">
        <f t="shared" si="81"/>
        <v>0</v>
      </c>
    </row>
    <row r="1885" spans="8:8" x14ac:dyDescent="0.3">
      <c r="H1885" s="10">
        <f t="shared" si="81"/>
        <v>0</v>
      </c>
    </row>
    <row r="1886" spans="8:8" x14ac:dyDescent="0.3">
      <c r="H1886" s="10">
        <f t="shared" si="81"/>
        <v>0</v>
      </c>
    </row>
    <row r="1887" spans="8:8" x14ac:dyDescent="0.3">
      <c r="H1887" s="10">
        <f t="shared" si="81"/>
        <v>0</v>
      </c>
    </row>
    <row r="1888" spans="8:8" x14ac:dyDescent="0.3">
      <c r="H1888" s="10">
        <f t="shared" si="81"/>
        <v>0</v>
      </c>
    </row>
    <row r="1889" spans="8:8" x14ac:dyDescent="0.3">
      <c r="H1889" s="10">
        <f t="shared" si="81"/>
        <v>0</v>
      </c>
    </row>
    <row r="1890" spans="8:8" x14ac:dyDescent="0.3">
      <c r="H1890" s="10">
        <f t="shared" si="81"/>
        <v>0</v>
      </c>
    </row>
    <row r="1891" spans="8:8" x14ac:dyDescent="0.3">
      <c r="H1891" s="10">
        <f t="shared" si="81"/>
        <v>0</v>
      </c>
    </row>
    <row r="1892" spans="8:8" x14ac:dyDescent="0.3">
      <c r="H1892" s="10">
        <f t="shared" si="81"/>
        <v>0</v>
      </c>
    </row>
    <row r="1893" spans="8:8" x14ac:dyDescent="0.3">
      <c r="H1893" s="10">
        <f t="shared" si="81"/>
        <v>0</v>
      </c>
    </row>
    <row r="1894" spans="8:8" x14ac:dyDescent="0.3">
      <c r="H1894" s="10">
        <f t="shared" si="81"/>
        <v>0</v>
      </c>
    </row>
    <row r="1895" spans="8:8" x14ac:dyDescent="0.3">
      <c r="H1895" s="10">
        <f t="shared" si="81"/>
        <v>0</v>
      </c>
    </row>
    <row r="1896" spans="8:8" x14ac:dyDescent="0.3">
      <c r="H1896" s="10">
        <f t="shared" si="81"/>
        <v>0</v>
      </c>
    </row>
    <row r="1897" spans="8:8" x14ac:dyDescent="0.3">
      <c r="H1897" s="10">
        <f t="shared" si="81"/>
        <v>0</v>
      </c>
    </row>
    <row r="1898" spans="8:8" x14ac:dyDescent="0.3">
      <c r="H1898" s="10">
        <f t="shared" si="81"/>
        <v>0</v>
      </c>
    </row>
    <row r="1899" spans="8:8" x14ac:dyDescent="0.3">
      <c r="H1899" s="10">
        <f t="shared" si="81"/>
        <v>0</v>
      </c>
    </row>
    <row r="1900" spans="8:8" x14ac:dyDescent="0.3">
      <c r="H1900" s="10">
        <f t="shared" si="81"/>
        <v>0</v>
      </c>
    </row>
    <row r="1901" spans="8:8" x14ac:dyDescent="0.3">
      <c r="H1901" s="10">
        <f t="shared" si="81"/>
        <v>0</v>
      </c>
    </row>
    <row r="1902" spans="8:8" x14ac:dyDescent="0.3">
      <c r="H1902" s="10">
        <f t="shared" si="81"/>
        <v>0</v>
      </c>
    </row>
    <row r="1903" spans="8:8" x14ac:dyDescent="0.3">
      <c r="H1903" s="10">
        <f t="shared" si="81"/>
        <v>0</v>
      </c>
    </row>
    <row r="1904" spans="8:8" x14ac:dyDescent="0.3">
      <c r="H1904" s="10">
        <f t="shared" si="81"/>
        <v>0</v>
      </c>
    </row>
    <row r="1905" spans="8:8" x14ac:dyDescent="0.3">
      <c r="H1905" s="10">
        <f t="shared" si="81"/>
        <v>0</v>
      </c>
    </row>
    <row r="1906" spans="8:8" x14ac:dyDescent="0.3">
      <c r="H1906" s="10">
        <f t="shared" si="81"/>
        <v>0</v>
      </c>
    </row>
    <row r="1907" spans="8:8" x14ac:dyDescent="0.3">
      <c r="H1907" s="10">
        <f t="shared" si="81"/>
        <v>0</v>
      </c>
    </row>
    <row r="1908" spans="8:8" x14ac:dyDescent="0.3">
      <c r="H1908" s="10">
        <f t="shared" si="81"/>
        <v>0</v>
      </c>
    </row>
    <row r="1909" spans="8:8" x14ac:dyDescent="0.3">
      <c r="H1909" s="10">
        <f t="shared" si="81"/>
        <v>0</v>
      </c>
    </row>
    <row r="1910" spans="8:8" x14ac:dyDescent="0.3">
      <c r="H1910" s="10">
        <f t="shared" si="81"/>
        <v>0</v>
      </c>
    </row>
    <row r="1911" spans="8:8" x14ac:dyDescent="0.3">
      <c r="H1911" s="10">
        <f t="shared" si="81"/>
        <v>0</v>
      </c>
    </row>
    <row r="1912" spans="8:8" x14ac:dyDescent="0.3">
      <c r="H1912" s="10">
        <f t="shared" si="81"/>
        <v>0</v>
      </c>
    </row>
    <row r="1913" spans="8:8" x14ac:dyDescent="0.3">
      <c r="H1913" s="10">
        <f t="shared" si="81"/>
        <v>0</v>
      </c>
    </row>
    <row r="1914" spans="8:8" x14ac:dyDescent="0.3">
      <c r="H1914" s="10">
        <f t="shared" si="81"/>
        <v>0</v>
      </c>
    </row>
    <row r="1915" spans="8:8" x14ac:dyDescent="0.3">
      <c r="H1915" s="10">
        <f t="shared" si="81"/>
        <v>0</v>
      </c>
    </row>
    <row r="1916" spans="8:8" x14ac:dyDescent="0.3">
      <c r="H1916" s="10">
        <f t="shared" si="81"/>
        <v>0</v>
      </c>
    </row>
    <row r="1917" spans="8:8" x14ac:dyDescent="0.3">
      <c r="H1917" s="10">
        <f t="shared" si="81"/>
        <v>0</v>
      </c>
    </row>
    <row r="1918" spans="8:8" x14ac:dyDescent="0.3">
      <c r="H1918" s="10">
        <f t="shared" si="81"/>
        <v>0</v>
      </c>
    </row>
    <row r="1919" spans="8:8" x14ac:dyDescent="0.3">
      <c r="H1919" s="10">
        <f t="shared" si="81"/>
        <v>0</v>
      </c>
    </row>
    <row r="1920" spans="8:8" x14ac:dyDescent="0.3">
      <c r="H1920" s="10">
        <f t="shared" si="81"/>
        <v>0</v>
      </c>
    </row>
    <row r="1921" spans="8:8" x14ac:dyDescent="0.3">
      <c r="H1921" s="10">
        <f t="shared" si="81"/>
        <v>0</v>
      </c>
    </row>
    <row r="1922" spans="8:8" x14ac:dyDescent="0.3">
      <c r="H1922" s="10">
        <f t="shared" si="81"/>
        <v>0</v>
      </c>
    </row>
    <row r="1923" spans="8:8" x14ac:dyDescent="0.3">
      <c r="H1923" s="10">
        <f t="shared" si="81"/>
        <v>0</v>
      </c>
    </row>
    <row r="1924" spans="8:8" x14ac:dyDescent="0.3">
      <c r="H1924" s="10">
        <f t="shared" si="81"/>
        <v>0</v>
      </c>
    </row>
    <row r="1925" spans="8:8" x14ac:dyDescent="0.3">
      <c r="H1925" s="10">
        <f t="shared" si="81"/>
        <v>0</v>
      </c>
    </row>
    <row r="1926" spans="8:8" x14ac:dyDescent="0.3">
      <c r="H1926" s="10">
        <f t="shared" si="81"/>
        <v>0</v>
      </c>
    </row>
    <row r="1927" spans="8:8" x14ac:dyDescent="0.3">
      <c r="H1927" s="10">
        <f t="shared" si="81"/>
        <v>0</v>
      </c>
    </row>
    <row r="1928" spans="8:8" x14ac:dyDescent="0.3">
      <c r="H1928" s="10">
        <f t="shared" si="81"/>
        <v>0</v>
      </c>
    </row>
    <row r="1929" spans="8:8" x14ac:dyDescent="0.3">
      <c r="H1929" s="10">
        <f t="shared" si="81"/>
        <v>0</v>
      </c>
    </row>
    <row r="1930" spans="8:8" x14ac:dyDescent="0.3">
      <c r="H1930" s="10">
        <f t="shared" si="81"/>
        <v>0</v>
      </c>
    </row>
    <row r="1931" spans="8:8" x14ac:dyDescent="0.3">
      <c r="H1931" s="10">
        <f t="shared" si="81"/>
        <v>0</v>
      </c>
    </row>
    <row r="1932" spans="8:8" x14ac:dyDescent="0.3">
      <c r="H1932" s="10">
        <f t="shared" si="81"/>
        <v>0</v>
      </c>
    </row>
    <row r="1933" spans="8:8" x14ac:dyDescent="0.3">
      <c r="H1933" s="10">
        <f t="shared" si="81"/>
        <v>0</v>
      </c>
    </row>
    <row r="1934" spans="8:8" x14ac:dyDescent="0.3">
      <c r="H1934" s="10">
        <f t="shared" si="81"/>
        <v>0</v>
      </c>
    </row>
    <row r="1935" spans="8:8" x14ac:dyDescent="0.3">
      <c r="H1935" s="10">
        <f t="shared" si="81"/>
        <v>0</v>
      </c>
    </row>
    <row r="1936" spans="8:8" x14ac:dyDescent="0.3">
      <c r="H1936" s="10">
        <f t="shared" si="81"/>
        <v>0</v>
      </c>
    </row>
    <row r="1937" spans="8:8" x14ac:dyDescent="0.3">
      <c r="H1937" s="10">
        <f t="shared" si="81"/>
        <v>0</v>
      </c>
    </row>
    <row r="1938" spans="8:8" x14ac:dyDescent="0.3">
      <c r="H1938" s="10">
        <f t="shared" si="81"/>
        <v>0</v>
      </c>
    </row>
    <row r="1939" spans="8:8" x14ac:dyDescent="0.3">
      <c r="H1939" s="10">
        <f t="shared" si="81"/>
        <v>0</v>
      </c>
    </row>
    <row r="1940" spans="8:8" x14ac:dyDescent="0.3">
      <c r="H1940" s="10">
        <f t="shared" si="81"/>
        <v>0</v>
      </c>
    </row>
    <row r="1941" spans="8:8" x14ac:dyDescent="0.3">
      <c r="H1941" s="10">
        <f t="shared" si="81"/>
        <v>0</v>
      </c>
    </row>
    <row r="1942" spans="8:8" x14ac:dyDescent="0.3">
      <c r="H1942" s="10">
        <f t="shared" si="81"/>
        <v>0</v>
      </c>
    </row>
    <row r="1943" spans="8:8" x14ac:dyDescent="0.3">
      <c r="H1943" s="10">
        <f t="shared" si="81"/>
        <v>0</v>
      </c>
    </row>
    <row r="1944" spans="8:8" x14ac:dyDescent="0.3">
      <c r="H1944" s="10">
        <f t="shared" si="81"/>
        <v>0</v>
      </c>
    </row>
    <row r="1945" spans="8:8" x14ac:dyDescent="0.3">
      <c r="H1945" s="10">
        <f t="shared" si="81"/>
        <v>0</v>
      </c>
    </row>
    <row r="1946" spans="8:8" x14ac:dyDescent="0.3">
      <c r="H1946" s="10">
        <f t="shared" si="81"/>
        <v>0</v>
      </c>
    </row>
    <row r="1947" spans="8:8" x14ac:dyDescent="0.3">
      <c r="H1947" s="10">
        <f t="shared" ref="H1947:H1978" si="82">D1947-C1947</f>
        <v>0</v>
      </c>
    </row>
    <row r="1948" spans="8:8" x14ac:dyDescent="0.3">
      <c r="H1948" s="10">
        <f t="shared" si="82"/>
        <v>0</v>
      </c>
    </row>
    <row r="1949" spans="8:8" x14ac:dyDescent="0.3">
      <c r="H1949" s="10">
        <f t="shared" si="82"/>
        <v>0</v>
      </c>
    </row>
    <row r="1950" spans="8:8" x14ac:dyDescent="0.3">
      <c r="H1950" s="10">
        <f t="shared" si="82"/>
        <v>0</v>
      </c>
    </row>
    <row r="1951" spans="8:8" x14ac:dyDescent="0.3">
      <c r="H1951" s="10">
        <f t="shared" si="82"/>
        <v>0</v>
      </c>
    </row>
    <row r="1952" spans="8:8" x14ac:dyDescent="0.3">
      <c r="H1952" s="10">
        <f t="shared" si="82"/>
        <v>0</v>
      </c>
    </row>
    <row r="1953" spans="8:8" x14ac:dyDescent="0.3">
      <c r="H1953" s="10">
        <f t="shared" si="82"/>
        <v>0</v>
      </c>
    </row>
    <row r="1954" spans="8:8" x14ac:dyDescent="0.3">
      <c r="H1954" s="10">
        <f t="shared" si="82"/>
        <v>0</v>
      </c>
    </row>
    <row r="1955" spans="8:8" x14ac:dyDescent="0.3">
      <c r="H1955" s="10">
        <f t="shared" si="82"/>
        <v>0</v>
      </c>
    </row>
    <row r="1956" spans="8:8" x14ac:dyDescent="0.3">
      <c r="H1956" s="10">
        <f t="shared" si="82"/>
        <v>0</v>
      </c>
    </row>
    <row r="1957" spans="8:8" x14ac:dyDescent="0.3">
      <c r="H1957" s="10">
        <f t="shared" si="82"/>
        <v>0</v>
      </c>
    </row>
    <row r="1958" spans="8:8" x14ac:dyDescent="0.3">
      <c r="H1958" s="10">
        <f t="shared" si="82"/>
        <v>0</v>
      </c>
    </row>
    <row r="1959" spans="8:8" x14ac:dyDescent="0.3">
      <c r="H1959" s="10">
        <f t="shared" si="82"/>
        <v>0</v>
      </c>
    </row>
    <row r="1960" spans="8:8" x14ac:dyDescent="0.3">
      <c r="H1960" s="10">
        <f t="shared" si="82"/>
        <v>0</v>
      </c>
    </row>
    <row r="1961" spans="8:8" x14ac:dyDescent="0.3">
      <c r="H1961" s="10">
        <f t="shared" si="82"/>
        <v>0</v>
      </c>
    </row>
    <row r="1962" spans="8:8" x14ac:dyDescent="0.3">
      <c r="H1962" s="10">
        <f t="shared" si="82"/>
        <v>0</v>
      </c>
    </row>
    <row r="1963" spans="8:8" x14ac:dyDescent="0.3">
      <c r="H1963" s="10">
        <f t="shared" si="82"/>
        <v>0</v>
      </c>
    </row>
    <row r="1964" spans="8:8" x14ac:dyDescent="0.3">
      <c r="H1964" s="10">
        <f t="shared" si="82"/>
        <v>0</v>
      </c>
    </row>
    <row r="1965" spans="8:8" x14ac:dyDescent="0.3">
      <c r="H1965" s="10">
        <f t="shared" si="82"/>
        <v>0</v>
      </c>
    </row>
    <row r="1966" spans="8:8" x14ac:dyDescent="0.3">
      <c r="H1966" s="10">
        <f t="shared" si="82"/>
        <v>0</v>
      </c>
    </row>
    <row r="1967" spans="8:8" x14ac:dyDescent="0.3">
      <c r="H1967" s="10">
        <f t="shared" si="82"/>
        <v>0</v>
      </c>
    </row>
    <row r="1968" spans="8:8" x14ac:dyDescent="0.3">
      <c r="H1968" s="10">
        <f t="shared" si="82"/>
        <v>0</v>
      </c>
    </row>
    <row r="1969" spans="8:8" x14ac:dyDescent="0.3">
      <c r="H1969" s="10">
        <f t="shared" si="82"/>
        <v>0</v>
      </c>
    </row>
    <row r="1970" spans="8:8" x14ac:dyDescent="0.3">
      <c r="H1970" s="10">
        <f t="shared" si="82"/>
        <v>0</v>
      </c>
    </row>
    <row r="1971" spans="8:8" x14ac:dyDescent="0.3">
      <c r="H1971" s="10">
        <f t="shared" si="82"/>
        <v>0</v>
      </c>
    </row>
    <row r="1972" spans="8:8" x14ac:dyDescent="0.3">
      <c r="H1972" s="10">
        <f t="shared" si="82"/>
        <v>0</v>
      </c>
    </row>
    <row r="1973" spans="8:8" x14ac:dyDescent="0.3">
      <c r="H1973" s="10">
        <f t="shared" si="82"/>
        <v>0</v>
      </c>
    </row>
    <row r="1974" spans="8:8" x14ac:dyDescent="0.3">
      <c r="H1974" s="10">
        <f t="shared" si="82"/>
        <v>0</v>
      </c>
    </row>
    <row r="1975" spans="8:8" x14ac:dyDescent="0.3">
      <c r="H1975" s="10">
        <f t="shared" si="82"/>
        <v>0</v>
      </c>
    </row>
    <row r="1976" spans="8:8" x14ac:dyDescent="0.3">
      <c r="H1976" s="10">
        <f t="shared" si="82"/>
        <v>0</v>
      </c>
    </row>
    <row r="1977" spans="8:8" x14ac:dyDescent="0.3">
      <c r="H1977" s="10">
        <f t="shared" si="82"/>
        <v>0</v>
      </c>
    </row>
    <row r="1978" spans="8:8" x14ac:dyDescent="0.3">
      <c r="H1978" s="10">
        <f t="shared" si="82"/>
        <v>0</v>
      </c>
    </row>
  </sheetData>
  <mergeCells count="23">
    <mergeCell ref="A710:H710"/>
    <mergeCell ref="A711:D711"/>
    <mergeCell ref="I718:R726"/>
    <mergeCell ref="I715:R716"/>
    <mergeCell ref="I717:R717"/>
    <mergeCell ref="F711:G711"/>
    <mergeCell ref="A713:D713"/>
    <mergeCell ref="F713:G713"/>
    <mergeCell ref="A712:C712"/>
    <mergeCell ref="A715:D715"/>
    <mergeCell ref="A716:D716"/>
    <mergeCell ref="E715:H715"/>
    <mergeCell ref="E716:H716"/>
    <mergeCell ref="A717:D722"/>
    <mergeCell ref="E717:H722"/>
    <mergeCell ref="A1:H1"/>
    <mergeCell ref="A7:B7"/>
    <mergeCell ref="A8:B8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EDD3-14C3-4B31-8F44-24555194B4C3}">
  <sheetPr codeName="Sheet2">
    <tabColor rgb="FFFFFF00"/>
    <pageSetUpPr fitToPage="1"/>
  </sheetPr>
  <dimension ref="A1:DF1756"/>
  <sheetViews>
    <sheetView showZeros="0" tabSelected="1" view="pageBreakPreview" topLeftCell="A477" zoomScale="85" zoomScaleNormal="100" zoomScaleSheetLayoutView="85" workbookViewId="0">
      <selection activeCell="I496" sqref="I496:R504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35" t="s">
        <v>23</v>
      </c>
      <c r="B1" s="35"/>
      <c r="C1" s="35"/>
      <c r="D1" s="35"/>
      <c r="E1" s="35"/>
      <c r="F1" s="35"/>
      <c r="G1" s="35"/>
      <c r="H1" s="35"/>
    </row>
    <row r="2" spans="1:110" s="5" customFormat="1" ht="24" customHeight="1" x14ac:dyDescent="0.3">
      <c r="A2" s="36" t="s">
        <v>1</v>
      </c>
      <c r="B2" s="3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36" t="s">
        <v>2</v>
      </c>
      <c r="B3" s="3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36" t="s">
        <v>243</v>
      </c>
      <c r="B4" s="3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36" t="s">
        <v>3</v>
      </c>
      <c r="B5" s="3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36" t="s">
        <v>4</v>
      </c>
      <c r="B6" s="3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36" t="s">
        <v>0</v>
      </c>
      <c r="B7" s="36"/>
      <c r="C7" s="8">
        <v>46058</v>
      </c>
      <c r="D7" s="6"/>
      <c r="E7" s="6"/>
      <c r="F7" s="6"/>
      <c r="G7" s="6"/>
      <c r="K7" s="6"/>
    </row>
    <row r="8" spans="1:110" s="5" customFormat="1" ht="15.6" x14ac:dyDescent="0.3">
      <c r="A8" s="37"/>
      <c r="B8" s="3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0.29872685185185183</v>
      </c>
      <c r="D10" s="4">
        <v>0.29886574074074074</v>
      </c>
      <c r="E10" s="2">
        <v>11.629999999999999</v>
      </c>
      <c r="F10" s="62">
        <v>11.739999999999998</v>
      </c>
      <c r="G10" s="1" t="s">
        <v>26</v>
      </c>
      <c r="H10" s="4">
        <f>D10-C10</f>
        <v>1.388888888889106E-4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0.29912037037037037</v>
      </c>
      <c r="D11" s="4">
        <v>0.29929398148148151</v>
      </c>
      <c r="E11" s="2">
        <v>11.629999999999999</v>
      </c>
      <c r="F11" s="62">
        <v>11.68</v>
      </c>
      <c r="G11" s="1" t="s">
        <v>26</v>
      </c>
      <c r="H11" s="4">
        <f t="shared" ref="H11:H74" si="2">D11-C11</f>
        <v>1.7361111111113825E-4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0.29958333333333337</v>
      </c>
      <c r="D12" s="4">
        <v>0.29972222222222228</v>
      </c>
      <c r="E12" s="2">
        <v>11.629999999999999</v>
      </c>
      <c r="F12" s="62">
        <v>11.68</v>
      </c>
      <c r="G12" s="1" t="s">
        <v>26</v>
      </c>
      <c r="H12" s="4">
        <f t="shared" si="2"/>
        <v>1.388888888889106E-4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0.29996527777777782</v>
      </c>
      <c r="D13" s="4">
        <v>0.30011574074074077</v>
      </c>
      <c r="E13" s="2">
        <v>11.629999999999999</v>
      </c>
      <c r="F13" s="62">
        <v>11.78</v>
      </c>
      <c r="G13" s="1" t="s">
        <v>26</v>
      </c>
      <c r="H13" s="4">
        <f t="shared" si="2"/>
        <v>1.5046296296294948E-4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0.30038194444444449</v>
      </c>
      <c r="D14" s="4">
        <v>0.3005208333333334</v>
      </c>
      <c r="E14" s="2">
        <v>11.629999999999999</v>
      </c>
      <c r="F14" s="62">
        <v>11.749999999999998</v>
      </c>
      <c r="G14" s="1" t="s">
        <v>26</v>
      </c>
      <c r="H14" s="4">
        <f t="shared" si="2"/>
        <v>1.388888888889106E-4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0.30078703703703713</v>
      </c>
      <c r="D15" s="4">
        <v>0.30096064814814827</v>
      </c>
      <c r="E15" s="2">
        <v>11.629999999999999</v>
      </c>
      <c r="F15" s="62">
        <v>11.659999999999998</v>
      </c>
      <c r="G15" s="1" t="s">
        <v>26</v>
      </c>
      <c r="H15" s="4">
        <f t="shared" si="2"/>
        <v>1.7361111111113825E-4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0.301226851851852</v>
      </c>
      <c r="D16" s="4">
        <v>0.30137731481481494</v>
      </c>
      <c r="E16" s="2">
        <v>11.629999999999999</v>
      </c>
      <c r="F16" s="62">
        <v>11.69</v>
      </c>
      <c r="G16" s="1" t="s">
        <v>26</v>
      </c>
      <c r="H16" s="4">
        <f t="shared" si="2"/>
        <v>1.5046296296294948E-4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0.30163194444444458</v>
      </c>
      <c r="D17" s="4">
        <v>0.30177083333333349</v>
      </c>
      <c r="E17" s="2">
        <v>11.629999999999999</v>
      </c>
      <c r="F17" s="62">
        <v>11.669999999999998</v>
      </c>
      <c r="G17" s="1" t="s">
        <v>26</v>
      </c>
      <c r="H17" s="4">
        <f t="shared" si="2"/>
        <v>1.388888888889106E-4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0.30203703703703721</v>
      </c>
      <c r="D18" s="4">
        <v>0.30219907407407426</v>
      </c>
      <c r="E18" s="2">
        <v>11.629999999999999</v>
      </c>
      <c r="F18" s="62">
        <v>11.659999999999998</v>
      </c>
      <c r="G18" s="1" t="s">
        <v>26</v>
      </c>
      <c r="H18" s="4">
        <f t="shared" si="2"/>
        <v>1.6203703703704386E-4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0.30248842592592612</v>
      </c>
      <c r="D19" s="4">
        <v>0.30262731481481503</v>
      </c>
      <c r="E19" s="2">
        <v>11.629999999999999</v>
      </c>
      <c r="F19" s="62">
        <v>11.69</v>
      </c>
      <c r="G19" s="1" t="s">
        <v>26</v>
      </c>
      <c r="H19" s="4">
        <f t="shared" si="2"/>
        <v>1.388888888889106E-4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0.30287037037037057</v>
      </c>
      <c r="D20" s="4">
        <v>0.30302083333333352</v>
      </c>
      <c r="E20" s="2">
        <v>11.629999999999999</v>
      </c>
      <c r="F20" s="62">
        <v>11.7</v>
      </c>
      <c r="G20" s="1" t="s">
        <v>26</v>
      </c>
      <c r="H20" s="4">
        <f t="shared" si="2"/>
        <v>1.5046296296294948E-4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0.30328703703703724</v>
      </c>
      <c r="D21" s="4">
        <v>0.30346064814814838</v>
      </c>
      <c r="E21" s="2">
        <v>11.629999999999999</v>
      </c>
      <c r="F21" s="62">
        <v>11.709999999999999</v>
      </c>
      <c r="G21" s="1" t="s">
        <v>26</v>
      </c>
      <c r="H21" s="4">
        <f t="shared" si="2"/>
        <v>1.7361111111113825E-4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0.30369212962962988</v>
      </c>
      <c r="D22" s="4">
        <v>0.30386574074074102</v>
      </c>
      <c r="E22" s="2">
        <v>11.629999999999999</v>
      </c>
      <c r="F22" s="62">
        <v>11.749999999999998</v>
      </c>
      <c r="G22" s="1" t="s">
        <v>26</v>
      </c>
      <c r="H22" s="4">
        <f t="shared" si="2"/>
        <v>1.7361111111113825E-4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0.30409722222222252</v>
      </c>
      <c r="D23" s="4">
        <v>0.30425925925925956</v>
      </c>
      <c r="E23" s="2">
        <v>11.629999999999999</v>
      </c>
      <c r="F23" s="62">
        <v>11.709999999999999</v>
      </c>
      <c r="G23" s="1" t="s">
        <v>26</v>
      </c>
      <c r="H23" s="4">
        <f t="shared" si="2"/>
        <v>1.6203703703704386E-4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0.30449074074074106</v>
      </c>
      <c r="D24" s="4">
        <v>0.30464120370370401</v>
      </c>
      <c r="E24" s="2">
        <v>11.629999999999999</v>
      </c>
      <c r="F24" s="62">
        <v>11.649999999999999</v>
      </c>
      <c r="G24" s="1" t="s">
        <v>26</v>
      </c>
      <c r="H24" s="4">
        <f t="shared" si="2"/>
        <v>1.5046296296294948E-4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0.30490740740740774</v>
      </c>
      <c r="D25" s="4">
        <v>0.30508101851851888</v>
      </c>
      <c r="E25" s="2">
        <v>11.629999999999999</v>
      </c>
      <c r="F25" s="62">
        <v>11.7</v>
      </c>
      <c r="G25" s="1" t="s">
        <v>26</v>
      </c>
      <c r="H25" s="4">
        <f t="shared" si="2"/>
        <v>1.7361111111113825E-4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0.30537037037037074</v>
      </c>
      <c r="D26" s="4">
        <v>0.30550925925925965</v>
      </c>
      <c r="E26" s="2">
        <v>11.629999999999999</v>
      </c>
      <c r="F26" s="62">
        <v>11.709999999999999</v>
      </c>
      <c r="G26" s="1" t="s">
        <v>26</v>
      </c>
      <c r="H26" s="4">
        <f t="shared" si="2"/>
        <v>1.388888888889106E-4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0.30574074074074115</v>
      </c>
      <c r="D27" s="4">
        <v>0.30590277777777819</v>
      </c>
      <c r="E27" s="2">
        <v>11.629999999999999</v>
      </c>
      <c r="F27" s="62">
        <v>11.659999999999998</v>
      </c>
      <c r="G27" s="1" t="s">
        <v>26</v>
      </c>
      <c r="H27" s="4">
        <f t="shared" si="2"/>
        <v>1.6203703703704386E-4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0.30618055555555596</v>
      </c>
      <c r="D28" s="4">
        <v>0.306342592592593</v>
      </c>
      <c r="E28" s="2">
        <v>11.629999999999999</v>
      </c>
      <c r="F28" s="62">
        <v>11.669999999999998</v>
      </c>
      <c r="G28" s="1" t="s">
        <v>26</v>
      </c>
      <c r="H28" s="4">
        <f t="shared" si="2"/>
        <v>1.6203703703704386E-4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0.30658564814814854</v>
      </c>
      <c r="D29" s="4">
        <v>0.30672453703703745</v>
      </c>
      <c r="E29" s="2">
        <v>11.629999999999999</v>
      </c>
      <c r="F29" s="62">
        <v>11.749999999999998</v>
      </c>
      <c r="G29" s="1" t="s">
        <v>26</v>
      </c>
      <c r="H29" s="4">
        <f t="shared" si="2"/>
        <v>1.388888888889106E-4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0.30697916666666708</v>
      </c>
      <c r="D30" s="4">
        <v>0.30715277777777822</v>
      </c>
      <c r="E30" s="2">
        <v>11.629999999999999</v>
      </c>
      <c r="F30" s="62">
        <v>11.729999999999999</v>
      </c>
      <c r="G30" s="1" t="s">
        <v>26</v>
      </c>
      <c r="H30" s="4">
        <f t="shared" si="2"/>
        <v>1.7361111111113825E-4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0.30738425925925972</v>
      </c>
      <c r="D31" s="4">
        <v>0.30753472222222267</v>
      </c>
      <c r="E31" s="2">
        <v>11.629999999999999</v>
      </c>
      <c r="F31" s="62">
        <v>11.7</v>
      </c>
      <c r="G31" s="1" t="s">
        <v>26</v>
      </c>
      <c r="H31" s="4">
        <f t="shared" si="2"/>
        <v>1.5046296296294948E-4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0.30776620370370417</v>
      </c>
      <c r="D32" s="4">
        <v>0.3079398148148153</v>
      </c>
      <c r="E32" s="2">
        <v>11.629999999999999</v>
      </c>
      <c r="F32" s="62">
        <v>11.709999999999999</v>
      </c>
      <c r="G32" s="1" t="s">
        <v>26</v>
      </c>
      <c r="H32" s="4">
        <f t="shared" si="2"/>
        <v>1.7361111111113825E-4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0.30820601851851903</v>
      </c>
      <c r="D33" s="4">
        <v>0.30837962962963017</v>
      </c>
      <c r="E33" s="2">
        <v>11.629999999999999</v>
      </c>
      <c r="F33" s="62">
        <v>11.749999999999998</v>
      </c>
      <c r="G33" s="1" t="s">
        <v>26</v>
      </c>
      <c r="H33" s="4">
        <f t="shared" si="2"/>
        <v>1.7361111111113825E-4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0.30866898148148203</v>
      </c>
      <c r="D34" s="4">
        <v>0.30881944444444498</v>
      </c>
      <c r="E34" s="2">
        <v>11.629999999999999</v>
      </c>
      <c r="F34" s="62">
        <v>11.729999999999999</v>
      </c>
      <c r="G34" s="1" t="s">
        <v>26</v>
      </c>
      <c r="H34" s="4">
        <f t="shared" si="2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0.30908564814814871</v>
      </c>
      <c r="D35" s="4">
        <v>0.30925925925925984</v>
      </c>
      <c r="E35" s="2">
        <v>11.629999999999999</v>
      </c>
      <c r="F35" s="62">
        <v>11.7</v>
      </c>
      <c r="G35" s="1" t="s">
        <v>26</v>
      </c>
      <c r="H35" s="4">
        <f t="shared" si="2"/>
        <v>1.7361111111113825E-4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0.30949074074074134</v>
      </c>
      <c r="D36" s="4">
        <v>0.30962962962963025</v>
      </c>
      <c r="E36" s="2">
        <v>11.629999999999999</v>
      </c>
      <c r="F36" s="62">
        <v>11.739999999999998</v>
      </c>
      <c r="G36" s="1" t="s">
        <v>26</v>
      </c>
      <c r="H36" s="4">
        <f t="shared" si="2"/>
        <v>1.388888888889106E-4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0.30990740740740802</v>
      </c>
      <c r="D37" s="4">
        <v>0.31004629629629693</v>
      </c>
      <c r="E37" s="2">
        <v>11.629999999999999</v>
      </c>
      <c r="F37" s="62">
        <v>11.669999999999998</v>
      </c>
      <c r="G37" s="1" t="s">
        <v>26</v>
      </c>
      <c r="H37" s="4">
        <f t="shared" si="2"/>
        <v>1.388888888889106E-4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0.31027777777777843</v>
      </c>
      <c r="D38" s="4">
        <v>0.31043981481481547</v>
      </c>
      <c r="E38" s="2">
        <v>11.629999999999999</v>
      </c>
      <c r="F38" s="62">
        <v>11.78</v>
      </c>
      <c r="G38" s="1" t="s">
        <v>26</v>
      </c>
      <c r="H38" s="4">
        <f t="shared" si="2"/>
        <v>1.6203703703704386E-4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0.3107060185185192</v>
      </c>
      <c r="D39" s="4">
        <v>0.31086805555555624</v>
      </c>
      <c r="E39" s="2">
        <v>11.629999999999999</v>
      </c>
      <c r="F39" s="62">
        <v>11.709999999999999</v>
      </c>
      <c r="G39" s="1" t="s">
        <v>26</v>
      </c>
      <c r="H39" s="4">
        <f t="shared" si="2"/>
        <v>1.6203703703704386E-4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0.31109953703703774</v>
      </c>
      <c r="D40" s="4">
        <v>0.31123842592592665</v>
      </c>
      <c r="E40" s="2">
        <v>11.629999999999999</v>
      </c>
      <c r="F40" s="62">
        <v>11.709999999999999</v>
      </c>
      <c r="G40" s="1" t="s">
        <v>26</v>
      </c>
      <c r="H40" s="4">
        <f t="shared" si="2"/>
        <v>1.388888888889106E-4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0.31152777777777851</v>
      </c>
      <c r="D41" s="4">
        <v>0.31167824074074146</v>
      </c>
      <c r="E41" s="2">
        <v>11.629999999999999</v>
      </c>
      <c r="F41" s="62">
        <v>11.7</v>
      </c>
      <c r="G41" s="1" t="s">
        <v>26</v>
      </c>
      <c r="H41" s="4">
        <f t="shared" si="2"/>
        <v>1.5046296296294948E-4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0.31190972222222296</v>
      </c>
      <c r="D42" s="4">
        <v>0.31207175925926001</v>
      </c>
      <c r="E42" s="2">
        <v>11.629999999999999</v>
      </c>
      <c r="F42" s="62">
        <v>11.639999999999999</v>
      </c>
      <c r="G42" s="1" t="s">
        <v>26</v>
      </c>
      <c r="H42" s="4">
        <f t="shared" si="2"/>
        <v>1.6203703703704386E-4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0.31236111111111187</v>
      </c>
      <c r="D43" s="4">
        <v>0.31251157407407482</v>
      </c>
      <c r="E43" s="2">
        <v>11.629999999999999</v>
      </c>
      <c r="F43" s="62">
        <v>11.649999999999999</v>
      </c>
      <c r="G43" s="1" t="s">
        <v>26</v>
      </c>
      <c r="H43" s="4">
        <f t="shared" si="2"/>
        <v>1.5046296296294948E-4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0.31276620370370445</v>
      </c>
      <c r="D44" s="4">
        <v>0.31292824074074149</v>
      </c>
      <c r="E44" s="2">
        <v>11.629999999999999</v>
      </c>
      <c r="F44" s="62">
        <v>11.69</v>
      </c>
      <c r="G44" s="1" t="s">
        <v>26</v>
      </c>
      <c r="H44" s="4">
        <f t="shared" si="2"/>
        <v>1.6203703703704386E-4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0.31320601851851926</v>
      </c>
      <c r="D45" s="4">
        <v>0.3133796296296304</v>
      </c>
      <c r="E45" s="2">
        <v>11.629999999999999</v>
      </c>
      <c r="F45" s="62">
        <v>11.749999999999998</v>
      </c>
      <c r="G45" s="1" t="s">
        <v>26</v>
      </c>
      <c r="H45" s="4">
        <f t="shared" si="2"/>
        <v>1.7361111111113825E-4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0.31362268518518593</v>
      </c>
      <c r="D46" s="4">
        <v>0.31377314814814888</v>
      </c>
      <c r="E46" s="2">
        <v>11.629999999999999</v>
      </c>
      <c r="F46" s="62">
        <v>11.739999999999998</v>
      </c>
      <c r="G46" s="1" t="s">
        <v>26</v>
      </c>
      <c r="H46" s="4">
        <f t="shared" si="2"/>
        <v>1.5046296296294948E-4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0.31401620370370442</v>
      </c>
      <c r="D47" s="4">
        <v>0.31415509259259333</v>
      </c>
      <c r="E47" s="2">
        <v>11.629999999999999</v>
      </c>
      <c r="F47" s="62">
        <v>11.719999999999999</v>
      </c>
      <c r="G47" s="1" t="s">
        <v>26</v>
      </c>
      <c r="H47" s="4">
        <f t="shared" si="2"/>
        <v>1.388888888889106E-4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0.31438657407407483</v>
      </c>
      <c r="D48" s="4">
        <v>0.31452546296296374</v>
      </c>
      <c r="E48" s="2">
        <v>11.629999999999999</v>
      </c>
      <c r="F48" s="62">
        <v>11.649999999999999</v>
      </c>
      <c r="G48" s="1" t="s">
        <v>26</v>
      </c>
      <c r="H48" s="4">
        <f t="shared" si="2"/>
        <v>1.388888888889106E-4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0.31476851851851928</v>
      </c>
      <c r="D49" s="4">
        <v>0.31493055555555632</v>
      </c>
      <c r="E49" s="2">
        <v>11.629999999999999</v>
      </c>
      <c r="F49" s="62">
        <v>11.669999999999998</v>
      </c>
      <c r="G49" s="1" t="s">
        <v>26</v>
      </c>
      <c r="H49" s="4">
        <f t="shared" si="2"/>
        <v>1.6203703703704386E-4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0.31519675925926005</v>
      </c>
      <c r="D50" s="4">
        <v>0.31537037037037119</v>
      </c>
      <c r="E50" s="2">
        <v>11.629999999999999</v>
      </c>
      <c r="F50" s="62">
        <v>11.68</v>
      </c>
      <c r="G50" s="1" t="s">
        <v>26</v>
      </c>
      <c r="H50" s="4">
        <f t="shared" si="2"/>
        <v>1.7361111111113825E-4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0.31560185185185269</v>
      </c>
      <c r="D51" s="4">
        <v>0.31575231481481564</v>
      </c>
      <c r="E51" s="2">
        <v>11.629999999999999</v>
      </c>
      <c r="F51" s="62">
        <v>11.77</v>
      </c>
      <c r="G51" s="1" t="s">
        <v>26</v>
      </c>
      <c r="H51" s="4">
        <f t="shared" si="2"/>
        <v>1.5046296296294948E-4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0.31599537037037118</v>
      </c>
      <c r="D52" s="4">
        <v>0.31616898148148231</v>
      </c>
      <c r="E52" s="2">
        <v>11.629999999999999</v>
      </c>
      <c r="F52" s="62">
        <v>11.69</v>
      </c>
      <c r="G52" s="1" t="s">
        <v>26</v>
      </c>
      <c r="H52" s="4">
        <f t="shared" si="2"/>
        <v>1.7361111111113825E-4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0.31645833333333417</v>
      </c>
      <c r="D53" s="4">
        <v>0.31663194444444531</v>
      </c>
      <c r="E53" s="2">
        <v>11.629999999999999</v>
      </c>
      <c r="F53" s="62">
        <v>11.719999999999999</v>
      </c>
      <c r="G53" s="1" t="s">
        <v>26</v>
      </c>
      <c r="H53" s="4">
        <f t="shared" si="2"/>
        <v>1.7361111111113825E-4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0.31688657407407494</v>
      </c>
      <c r="D54" s="4">
        <v>0.31704861111111199</v>
      </c>
      <c r="E54" s="2">
        <v>11.629999999999999</v>
      </c>
      <c r="F54" s="62">
        <v>11.68</v>
      </c>
      <c r="G54" s="1" t="s">
        <v>26</v>
      </c>
      <c r="H54" s="4">
        <f t="shared" si="2"/>
        <v>1.6203703703704386E-4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0.31728009259259349</v>
      </c>
      <c r="D55" s="4">
        <v>0.31743055555555644</v>
      </c>
      <c r="E55" s="2">
        <v>11.629999999999999</v>
      </c>
      <c r="F55" s="62">
        <v>11.719999999999999</v>
      </c>
      <c r="G55" s="1" t="s">
        <v>26</v>
      </c>
      <c r="H55" s="4">
        <f t="shared" si="2"/>
        <v>1.5046296296294948E-4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0.31767361111111198</v>
      </c>
      <c r="D56" s="4">
        <v>0.31783564814814902</v>
      </c>
      <c r="E56" s="2">
        <v>11.629999999999999</v>
      </c>
      <c r="F56" s="62">
        <v>11.76</v>
      </c>
      <c r="G56" s="1" t="s">
        <v>26</v>
      </c>
      <c r="H56" s="4">
        <f t="shared" si="2"/>
        <v>1.6203703703704386E-4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0.31811342592592678</v>
      </c>
      <c r="D57" s="4">
        <v>0.31827546296296383</v>
      </c>
      <c r="E57" s="2">
        <v>11.629999999999999</v>
      </c>
      <c r="F57" s="62">
        <v>11.77</v>
      </c>
      <c r="G57" s="1" t="s">
        <v>26</v>
      </c>
      <c r="H57" s="4">
        <f t="shared" si="2"/>
        <v>1.6203703703704386E-4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0.31855324074074159</v>
      </c>
      <c r="D58" s="4">
        <v>0.31871527777777864</v>
      </c>
      <c r="E58" s="2">
        <v>11.629999999999999</v>
      </c>
      <c r="F58" s="62">
        <v>11.76</v>
      </c>
      <c r="G58" s="1" t="s">
        <v>26</v>
      </c>
      <c r="H58" s="4">
        <f t="shared" si="2"/>
        <v>1.6203703703704386E-4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0.31894675925926014</v>
      </c>
      <c r="D59" s="4">
        <v>0.31912037037037128</v>
      </c>
      <c r="E59" s="2">
        <v>11.629999999999999</v>
      </c>
      <c r="F59" s="62">
        <v>11.68</v>
      </c>
      <c r="G59" s="1" t="s">
        <v>26</v>
      </c>
      <c r="H59" s="4">
        <f t="shared" si="2"/>
        <v>1.7361111111113825E-4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0.31936342592592681</v>
      </c>
      <c r="D60" s="4">
        <v>0.31950231481481572</v>
      </c>
      <c r="E60" s="2">
        <v>11.629999999999999</v>
      </c>
      <c r="F60" s="62">
        <v>11.77</v>
      </c>
      <c r="G60" s="1" t="s">
        <v>26</v>
      </c>
      <c r="H60" s="4">
        <f t="shared" si="2"/>
        <v>1.388888888889106E-4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0.31978009259259349</v>
      </c>
      <c r="D61" s="4">
        <v>0.31994212962963053</v>
      </c>
      <c r="E61" s="2">
        <v>11.629999999999999</v>
      </c>
      <c r="F61" s="62">
        <v>11.68</v>
      </c>
      <c r="G61" s="1" t="s">
        <v>26</v>
      </c>
      <c r="H61" s="4">
        <f t="shared" si="2"/>
        <v>1.6203703703704386E-4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0.32017361111111203</v>
      </c>
      <c r="D62" s="4">
        <v>0.32032407407407498</v>
      </c>
      <c r="E62" s="2">
        <v>11.629999999999999</v>
      </c>
      <c r="F62" s="62">
        <v>11.69</v>
      </c>
      <c r="G62" s="1" t="s">
        <v>26</v>
      </c>
      <c r="H62" s="4">
        <f t="shared" si="2"/>
        <v>1.5046296296294948E-4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0.32057870370370461</v>
      </c>
      <c r="D63" s="4">
        <v>0.32075231481481575</v>
      </c>
      <c r="E63" s="2">
        <v>11.629999999999999</v>
      </c>
      <c r="F63" s="62">
        <v>11.649999999999999</v>
      </c>
      <c r="G63" s="1" t="s">
        <v>26</v>
      </c>
      <c r="H63" s="4">
        <f t="shared" si="2"/>
        <v>1.7361111111113825E-4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0.32100694444444539</v>
      </c>
      <c r="D64" s="4">
        <v>0.32115740740740834</v>
      </c>
      <c r="E64" s="2">
        <v>11.629999999999999</v>
      </c>
      <c r="F64" s="62">
        <v>11.729999999999999</v>
      </c>
      <c r="G64" s="1" t="s">
        <v>26</v>
      </c>
      <c r="H64" s="4">
        <f t="shared" si="2"/>
        <v>1.5046296296294948E-4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0.32140046296296387</v>
      </c>
      <c r="D65" s="4">
        <v>0.32157407407407501</v>
      </c>
      <c r="E65" s="2">
        <v>11.629999999999999</v>
      </c>
      <c r="F65" s="62">
        <v>11.639999999999999</v>
      </c>
      <c r="G65" s="1" t="s">
        <v>26</v>
      </c>
      <c r="H65" s="4">
        <f t="shared" si="2"/>
        <v>1.7361111111113825E-4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0.32185185185185278</v>
      </c>
      <c r="D66" s="4">
        <v>0.32201388888888982</v>
      </c>
      <c r="E66" s="2">
        <v>11.629999999999999</v>
      </c>
      <c r="F66" s="62">
        <v>11.77</v>
      </c>
      <c r="G66" s="1" t="s">
        <v>26</v>
      </c>
      <c r="H66" s="4">
        <f t="shared" si="2"/>
        <v>1.6203703703704386E-4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0.32224537037037132</v>
      </c>
      <c r="D67" s="4">
        <v>0.32241898148148246</v>
      </c>
      <c r="E67" s="2">
        <v>11.629999999999999</v>
      </c>
      <c r="F67" s="62">
        <v>11.7</v>
      </c>
      <c r="G67" s="1" t="s">
        <v>26</v>
      </c>
      <c r="H67" s="4">
        <f t="shared" si="2"/>
        <v>1.7361111111113825E-4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0.32268518518518619</v>
      </c>
      <c r="D68" s="4">
        <v>0.3228240740740751</v>
      </c>
      <c r="E68" s="2">
        <v>11.629999999999999</v>
      </c>
      <c r="F68" s="62">
        <v>11.78</v>
      </c>
      <c r="G68" s="1" t="s">
        <v>26</v>
      </c>
      <c r="H68" s="4">
        <f t="shared" si="2"/>
        <v>1.388888888889106E-4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0.32307870370370473</v>
      </c>
      <c r="D69" s="4">
        <v>0.32325231481481587</v>
      </c>
      <c r="E69" s="2">
        <v>11.629999999999999</v>
      </c>
      <c r="F69" s="62">
        <v>11.719999999999999</v>
      </c>
      <c r="G69" s="1" t="s">
        <v>26</v>
      </c>
      <c r="H69" s="4">
        <f t="shared" si="2"/>
        <v>1.7361111111113825E-4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0.32351851851851959</v>
      </c>
      <c r="D70" s="4">
        <v>0.32366898148148254</v>
      </c>
      <c r="E70" s="2">
        <v>11.629999999999999</v>
      </c>
      <c r="F70" s="62">
        <v>11.749999999999998</v>
      </c>
      <c r="G70" s="1" t="s">
        <v>26</v>
      </c>
      <c r="H70" s="4">
        <f t="shared" si="2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0.32392361111111218</v>
      </c>
      <c r="D71" s="4">
        <v>0.32406250000000109</v>
      </c>
      <c r="E71" s="2">
        <v>11.629999999999999</v>
      </c>
      <c r="F71" s="62">
        <v>11.69</v>
      </c>
      <c r="G71" s="1" t="s">
        <v>26</v>
      </c>
      <c r="H71" s="4">
        <f t="shared" si="2"/>
        <v>1.388888888889106E-4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0.32429398148148258</v>
      </c>
      <c r="D72" s="4">
        <v>0.32444444444444553</v>
      </c>
      <c r="E72" s="2">
        <v>11.629999999999999</v>
      </c>
      <c r="F72" s="62">
        <v>11.76</v>
      </c>
      <c r="G72" s="1" t="s">
        <v>26</v>
      </c>
      <c r="H72" s="4">
        <f t="shared" si="2"/>
        <v>1.5046296296294948E-4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0.32473379629629739</v>
      </c>
      <c r="D73" s="4">
        <v>0.32489583333333444</v>
      </c>
      <c r="E73" s="2">
        <v>11.629999999999999</v>
      </c>
      <c r="F73" s="62">
        <v>11.77</v>
      </c>
      <c r="G73" s="1" t="s">
        <v>26</v>
      </c>
      <c r="H73" s="4">
        <f t="shared" si="2"/>
        <v>1.6203703703704386E-4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0.3251851851851863</v>
      </c>
      <c r="D74" s="4">
        <v>0.32534722222222334</v>
      </c>
      <c r="E74" s="2">
        <v>11.629999999999999</v>
      </c>
      <c r="F74" s="62">
        <v>11.659999999999998</v>
      </c>
      <c r="G74" s="1" t="s">
        <v>26</v>
      </c>
      <c r="H74" s="4">
        <f t="shared" si="2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0.32561342592592707</v>
      </c>
      <c r="D75" s="4">
        <v>0.32577546296296411</v>
      </c>
      <c r="E75" s="2">
        <v>11.629999999999999</v>
      </c>
      <c r="F75" s="62">
        <v>11.68</v>
      </c>
      <c r="G75" s="1" t="s">
        <v>26</v>
      </c>
      <c r="H75" s="4">
        <f t="shared" ref="H75:H138" si="4">D75-C75</f>
        <v>1.6203703703704386E-4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0.32601851851851965</v>
      </c>
      <c r="D76" s="4">
        <v>0.3261689814814826</v>
      </c>
      <c r="E76" s="2">
        <v>11.629999999999999</v>
      </c>
      <c r="F76" s="62">
        <v>11.739999999999998</v>
      </c>
      <c r="G76" s="1" t="s">
        <v>26</v>
      </c>
      <c r="H76" s="4">
        <f t="shared" si="4"/>
        <v>1.5046296296294948E-4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0.32642361111111223</v>
      </c>
      <c r="D77" s="4">
        <v>0.32657407407407518</v>
      </c>
      <c r="E77" s="2">
        <v>11.629999999999999</v>
      </c>
      <c r="F77" s="62">
        <v>11.77</v>
      </c>
      <c r="G77" s="1" t="s">
        <v>26</v>
      </c>
      <c r="H77" s="4">
        <f t="shared" si="4"/>
        <v>1.5046296296294948E-4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0.32681712962963072</v>
      </c>
      <c r="D78" s="4">
        <v>0.32697916666666776</v>
      </c>
      <c r="E78" s="2">
        <v>11.629999999999999</v>
      </c>
      <c r="F78" s="62">
        <v>11.739999999999998</v>
      </c>
      <c r="G78" s="1" t="s">
        <v>26</v>
      </c>
      <c r="H78" s="4">
        <f t="shared" si="4"/>
        <v>1.6203703703704386E-4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0.32724537037037149</v>
      </c>
      <c r="D79" s="4">
        <v>0.32739583333333444</v>
      </c>
      <c r="E79" s="2">
        <v>11.629999999999999</v>
      </c>
      <c r="F79" s="62">
        <v>11.729999999999999</v>
      </c>
      <c r="G79" s="1" t="s">
        <v>26</v>
      </c>
      <c r="H79" s="4">
        <f t="shared" si="4"/>
        <v>1.5046296296294948E-4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0.32762731481481594</v>
      </c>
      <c r="D80" s="4">
        <v>0.32776620370370485</v>
      </c>
      <c r="E80" s="2">
        <v>11.629999999999999</v>
      </c>
      <c r="F80" s="62">
        <v>11.68</v>
      </c>
      <c r="G80" s="1" t="s">
        <v>26</v>
      </c>
      <c r="H80" s="4">
        <f t="shared" si="4"/>
        <v>1.388888888889106E-4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0.32803240740740858</v>
      </c>
      <c r="D81" s="4">
        <v>0.32819444444444562</v>
      </c>
      <c r="E81" s="2">
        <v>11.629999999999999</v>
      </c>
      <c r="F81" s="62">
        <v>11.68</v>
      </c>
      <c r="G81" s="1" t="s">
        <v>26</v>
      </c>
      <c r="H81" s="4">
        <f t="shared" si="4"/>
        <v>1.6203703703704386E-4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0.32843750000000116</v>
      </c>
      <c r="D82" s="4">
        <v>0.3286111111111123</v>
      </c>
      <c r="E82" s="2">
        <v>11.629999999999999</v>
      </c>
      <c r="F82" s="62">
        <v>11.68</v>
      </c>
      <c r="G82" s="1" t="s">
        <v>26</v>
      </c>
      <c r="H82" s="4">
        <f t="shared" si="4"/>
        <v>1.7361111111113825E-4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0.3288425925925938</v>
      </c>
      <c r="D83" s="4">
        <v>0.32899305555555675</v>
      </c>
      <c r="E83" s="2">
        <v>11.629999999999999</v>
      </c>
      <c r="F83" s="62">
        <v>11.659999999999998</v>
      </c>
      <c r="G83" s="1" t="s">
        <v>26</v>
      </c>
      <c r="H83" s="4">
        <f t="shared" si="4"/>
        <v>1.5046296296294948E-4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0.32925925925926047</v>
      </c>
      <c r="D84" s="4">
        <v>0.32940972222222342</v>
      </c>
      <c r="E84" s="2">
        <v>11.629999999999999</v>
      </c>
      <c r="F84" s="62">
        <v>11.639999999999999</v>
      </c>
      <c r="G84" s="1" t="s">
        <v>26</v>
      </c>
      <c r="H84" s="4">
        <f t="shared" si="4"/>
        <v>1.5046296296294948E-4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0.32969907407407528</v>
      </c>
      <c r="D85" s="4">
        <v>0.32984953703703823</v>
      </c>
      <c r="E85" s="2">
        <v>11.629999999999999</v>
      </c>
      <c r="F85" s="62">
        <v>11.739999999999998</v>
      </c>
      <c r="G85" s="1" t="s">
        <v>26</v>
      </c>
      <c r="H85" s="4">
        <f t="shared" si="4"/>
        <v>1.5046296296294948E-4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0.33008101851851973</v>
      </c>
      <c r="D86" s="4">
        <v>0.33024305555555677</v>
      </c>
      <c r="E86" s="2">
        <v>11.629999999999999</v>
      </c>
      <c r="F86" s="62">
        <v>11.78</v>
      </c>
      <c r="G86" s="1" t="s">
        <v>26</v>
      </c>
      <c r="H86" s="4">
        <f t="shared" si="4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0.33053240740740863</v>
      </c>
      <c r="D87" s="4">
        <v>0.33067129629629755</v>
      </c>
      <c r="E87" s="2">
        <v>11.629999999999999</v>
      </c>
      <c r="F87" s="62">
        <v>11.749999999999998</v>
      </c>
      <c r="G87" s="1" t="s">
        <v>26</v>
      </c>
      <c r="H87" s="4">
        <f t="shared" si="4"/>
        <v>1.388888888889106E-4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0.33093750000000127</v>
      </c>
      <c r="D88" s="4">
        <v>0.33111111111111241</v>
      </c>
      <c r="E88" s="2">
        <v>11.629999999999999</v>
      </c>
      <c r="F88" s="62">
        <v>11.659999999999998</v>
      </c>
      <c r="G88" s="1" t="s">
        <v>26</v>
      </c>
      <c r="H88" s="4">
        <f t="shared" si="4"/>
        <v>1.7361111111113825E-4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0.33134259259259391</v>
      </c>
      <c r="D89" s="4">
        <v>0.33149305555555686</v>
      </c>
      <c r="E89" s="2">
        <v>11.629999999999999</v>
      </c>
      <c r="F89" s="62">
        <v>11.719999999999999</v>
      </c>
      <c r="G89" s="1" t="s">
        <v>26</v>
      </c>
      <c r="H89" s="4">
        <f t="shared" si="4"/>
        <v>1.5046296296294948E-4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0.3317361111111124</v>
      </c>
      <c r="D90" s="4">
        <v>0.33187500000000131</v>
      </c>
      <c r="E90" s="2">
        <v>11.629999999999999</v>
      </c>
      <c r="F90" s="62">
        <v>11.749999999999998</v>
      </c>
      <c r="G90" s="1" t="s">
        <v>26</v>
      </c>
      <c r="H90" s="4">
        <f t="shared" si="4"/>
        <v>1.388888888889106E-4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0.33214120370370503</v>
      </c>
      <c r="D91" s="4">
        <v>0.33229166666666798</v>
      </c>
      <c r="E91" s="2">
        <v>11.629999999999999</v>
      </c>
      <c r="F91" s="62">
        <v>11.749999999999998</v>
      </c>
      <c r="G91" s="1" t="s">
        <v>26</v>
      </c>
      <c r="H91" s="4">
        <f t="shared" si="4"/>
        <v>1.5046296296294948E-4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0.33256944444444575</v>
      </c>
      <c r="D92" s="4">
        <v>0.3327199074074087</v>
      </c>
      <c r="E92" s="2">
        <v>11.629999999999999</v>
      </c>
      <c r="F92" s="62">
        <v>11.76</v>
      </c>
      <c r="G92" s="1" t="s">
        <v>26</v>
      </c>
      <c r="H92" s="4">
        <f t="shared" si="4"/>
        <v>1.5046296296294948E-4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0.33299768518518646</v>
      </c>
      <c r="D93" s="4">
        <v>0.33313657407407538</v>
      </c>
      <c r="E93" s="2">
        <v>11.629999999999999</v>
      </c>
      <c r="F93" s="62">
        <v>11.739999999999998</v>
      </c>
      <c r="G93" s="1" t="s">
        <v>26</v>
      </c>
      <c r="H93" s="4">
        <f t="shared" si="4"/>
        <v>1.388888888889106E-4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0.33337962962963091</v>
      </c>
      <c r="D94" s="4">
        <v>0.33355324074074205</v>
      </c>
      <c r="E94" s="2">
        <v>11.629999999999999</v>
      </c>
      <c r="F94" s="62">
        <v>11.78</v>
      </c>
      <c r="G94" s="1" t="s">
        <v>26</v>
      </c>
      <c r="H94" s="4">
        <f t="shared" si="4"/>
        <v>1.7361111111113825E-4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0.33381944444444578</v>
      </c>
      <c r="D95" s="4">
        <v>0.33396990740740873</v>
      </c>
      <c r="E95" s="2">
        <v>11.629999999999999</v>
      </c>
      <c r="F95" s="62">
        <v>11.669999999999998</v>
      </c>
      <c r="G95" s="1" t="s">
        <v>26</v>
      </c>
      <c r="H95" s="4">
        <f t="shared" si="4"/>
        <v>1.5046296296294948E-4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0.33421296296296427</v>
      </c>
      <c r="D96" s="4">
        <v>0.3343865740740754</v>
      </c>
      <c r="E96" s="2">
        <v>11.629999999999999</v>
      </c>
      <c r="F96" s="62">
        <v>11.719999999999999</v>
      </c>
      <c r="G96" s="1" t="s">
        <v>26</v>
      </c>
      <c r="H96" s="4">
        <f t="shared" si="4"/>
        <v>1.7361111111113825E-4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0.33465277777777913</v>
      </c>
      <c r="D97" s="4">
        <v>0.33482638888889027</v>
      </c>
      <c r="E97" s="2">
        <v>11.629999999999999</v>
      </c>
      <c r="F97" s="62">
        <v>11.68</v>
      </c>
      <c r="G97" s="1" t="s">
        <v>26</v>
      </c>
      <c r="H97" s="4">
        <f t="shared" si="4"/>
        <v>1.7361111111113825E-4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0.335092592592594</v>
      </c>
      <c r="D98" s="4">
        <v>0.33523148148148291</v>
      </c>
      <c r="E98" s="2">
        <v>11.629999999999999</v>
      </c>
      <c r="F98" s="62">
        <v>11.76</v>
      </c>
      <c r="G98" s="1" t="s">
        <v>26</v>
      </c>
      <c r="H98" s="4">
        <f t="shared" si="4"/>
        <v>1.388888888889106E-4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0.33549768518518663</v>
      </c>
      <c r="D99" s="4">
        <v>0.33567129629629777</v>
      </c>
      <c r="E99" s="2">
        <v>11.629999999999999</v>
      </c>
      <c r="F99" s="62">
        <v>11.709999999999999</v>
      </c>
      <c r="G99" s="1" t="s">
        <v>26</v>
      </c>
      <c r="H99" s="4">
        <f t="shared" si="4"/>
        <v>1.7361111111113825E-4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0.33596064814814963</v>
      </c>
      <c r="D100" s="4">
        <v>0.33609953703703854</v>
      </c>
      <c r="E100" s="2">
        <v>11.629999999999999</v>
      </c>
      <c r="F100" s="62">
        <v>11.68</v>
      </c>
      <c r="G100" s="1" t="s">
        <v>26</v>
      </c>
      <c r="H100" s="4">
        <f t="shared" si="4"/>
        <v>1.388888888889106E-4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0.33635416666666818</v>
      </c>
      <c r="D101" s="4">
        <v>0.33652777777777931</v>
      </c>
      <c r="E101" s="2">
        <v>11.629999999999999</v>
      </c>
      <c r="F101" s="62">
        <v>11.649999999999999</v>
      </c>
      <c r="G101" s="1" t="s">
        <v>26</v>
      </c>
      <c r="H101" s="4">
        <f t="shared" si="4"/>
        <v>1.7361111111113825E-4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0.33680555555555708</v>
      </c>
      <c r="D102" s="4">
        <v>0.33694444444444599</v>
      </c>
      <c r="E102" s="2">
        <v>11.629999999999999</v>
      </c>
      <c r="F102" s="62">
        <v>11.669999999999998</v>
      </c>
      <c r="G102" s="1" t="s">
        <v>26</v>
      </c>
      <c r="H102" s="4">
        <f t="shared" si="4"/>
        <v>1.388888888889106E-4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0.33722222222222376</v>
      </c>
      <c r="D103" s="4">
        <v>0.3373726851851867</v>
      </c>
      <c r="E103" s="2">
        <v>11.629999999999999</v>
      </c>
      <c r="F103" s="62">
        <v>11.739999999999998</v>
      </c>
      <c r="G103" s="1" t="s">
        <v>26</v>
      </c>
      <c r="H103" s="4">
        <f t="shared" si="4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0.33761574074074224</v>
      </c>
      <c r="D104" s="4">
        <v>0.33776620370370519</v>
      </c>
      <c r="E104" s="2">
        <v>11.629999999999999</v>
      </c>
      <c r="F104" s="62">
        <v>11.719999999999999</v>
      </c>
      <c r="G104" s="1" t="s">
        <v>26</v>
      </c>
      <c r="H104" s="4">
        <f t="shared" si="4"/>
        <v>1.5046296296294948E-4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0.33800925925926073</v>
      </c>
      <c r="D105" s="4">
        <v>0.33814814814814964</v>
      </c>
      <c r="E105" s="2">
        <v>11.629999999999999</v>
      </c>
      <c r="F105" s="62">
        <v>11.68</v>
      </c>
      <c r="G105" s="1" t="s">
        <v>26</v>
      </c>
      <c r="H105" s="4">
        <f t="shared" si="4"/>
        <v>1.388888888889106E-4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0.33837962962963114</v>
      </c>
      <c r="D106" s="4">
        <v>0.33855324074074228</v>
      </c>
      <c r="E106" s="2">
        <v>11.629999999999999</v>
      </c>
      <c r="F106" s="62">
        <v>11.649999999999999</v>
      </c>
      <c r="G106" s="1" t="s">
        <v>26</v>
      </c>
      <c r="H106" s="4">
        <f t="shared" si="4"/>
        <v>1.7361111111113825E-4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0.33878472222222378</v>
      </c>
      <c r="D107" s="4">
        <v>0.33894675925926082</v>
      </c>
      <c r="E107" s="2">
        <v>11.629999999999999</v>
      </c>
      <c r="F107" s="62">
        <v>11.77</v>
      </c>
      <c r="G107" s="1" t="s">
        <v>26</v>
      </c>
      <c r="H107" s="4">
        <f t="shared" si="4"/>
        <v>1.6203703703704386E-4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0.33922453703703859</v>
      </c>
      <c r="D108" s="4">
        <v>0.33937500000000154</v>
      </c>
      <c r="E108" s="2">
        <v>11.629999999999999</v>
      </c>
      <c r="F108" s="62">
        <v>11.649999999999999</v>
      </c>
      <c r="G108" s="1" t="s">
        <v>26</v>
      </c>
      <c r="H108" s="4">
        <f t="shared" si="4"/>
        <v>1.5046296296294948E-4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0.33962962962963117</v>
      </c>
      <c r="D109" s="4">
        <v>0.33978009259259412</v>
      </c>
      <c r="E109" s="2">
        <v>11.629999999999999</v>
      </c>
      <c r="F109" s="62">
        <v>11.739999999999998</v>
      </c>
      <c r="G109" s="1" t="s">
        <v>26</v>
      </c>
      <c r="H109" s="4">
        <f t="shared" si="4"/>
        <v>1.5046296296294948E-4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0.34006944444444598</v>
      </c>
      <c r="D110" s="4">
        <v>0.34024305555555712</v>
      </c>
      <c r="E110" s="2">
        <v>11.629999999999999</v>
      </c>
      <c r="F110" s="62">
        <v>11.7</v>
      </c>
      <c r="G110" s="1" t="s">
        <v>26</v>
      </c>
      <c r="H110" s="4">
        <f t="shared" si="4"/>
        <v>1.7361111111113825E-4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0.34053240740740898</v>
      </c>
      <c r="D111" s="4">
        <v>0.34067129629629789</v>
      </c>
      <c r="E111" s="2">
        <v>11.629999999999999</v>
      </c>
      <c r="F111" s="62">
        <v>11.709999999999999</v>
      </c>
      <c r="G111" s="1" t="s">
        <v>26</v>
      </c>
      <c r="H111" s="4">
        <f t="shared" si="4"/>
        <v>1.388888888889106E-4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0.34091435185185343</v>
      </c>
      <c r="D112" s="4">
        <v>0.34107638888889047</v>
      </c>
      <c r="E112" s="2">
        <v>11.629999999999999</v>
      </c>
      <c r="F112" s="62">
        <v>11.719999999999999</v>
      </c>
      <c r="G112" s="1" t="s">
        <v>26</v>
      </c>
      <c r="H112" s="4">
        <f t="shared" si="4"/>
        <v>1.6203703703704386E-4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0.34136574074074233</v>
      </c>
      <c r="D113" s="4">
        <v>0.34152777777777937</v>
      </c>
      <c r="E113" s="2">
        <v>11.629999999999999</v>
      </c>
      <c r="F113" s="62">
        <v>11.729999999999999</v>
      </c>
      <c r="G113" s="1" t="s">
        <v>26</v>
      </c>
      <c r="H113" s="4">
        <f t="shared" si="4"/>
        <v>1.6203703703704386E-4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0.3417939814814831</v>
      </c>
      <c r="D114" s="4">
        <v>0.34193287037037201</v>
      </c>
      <c r="E114" s="2">
        <v>11.629999999999999</v>
      </c>
      <c r="F114" s="62">
        <v>11.78</v>
      </c>
      <c r="G114" s="1" t="s">
        <v>26</v>
      </c>
      <c r="H114" s="4">
        <f t="shared" si="4"/>
        <v>1.388888888889106E-4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0.34222222222222387</v>
      </c>
      <c r="D115" s="4">
        <v>0.34236111111111278</v>
      </c>
      <c r="E115" s="2">
        <v>11.629999999999999</v>
      </c>
      <c r="F115" s="62">
        <v>11.649999999999999</v>
      </c>
      <c r="G115" s="1" t="s">
        <v>26</v>
      </c>
      <c r="H115" s="4">
        <f t="shared" si="4"/>
        <v>1.388888888889106E-4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0.34262731481481651</v>
      </c>
      <c r="D116" s="4">
        <v>0.34280092592592765</v>
      </c>
      <c r="E116" s="2">
        <v>11.629999999999999</v>
      </c>
      <c r="F116" s="62">
        <v>11.69</v>
      </c>
      <c r="G116" s="1" t="s">
        <v>26</v>
      </c>
      <c r="H116" s="4">
        <f t="shared" si="4"/>
        <v>1.7361111111113825E-4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0.34304398148148318</v>
      </c>
      <c r="D117" s="4">
        <v>0.34321759259259432</v>
      </c>
      <c r="E117" s="2">
        <v>11.629999999999999</v>
      </c>
      <c r="F117" s="62">
        <v>11.719999999999999</v>
      </c>
      <c r="G117" s="1" t="s">
        <v>26</v>
      </c>
      <c r="H117" s="4">
        <f t="shared" si="4"/>
        <v>1.7361111111113825E-4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0.34346064814814986</v>
      </c>
      <c r="D118" s="4">
        <v>0.34359953703703877</v>
      </c>
      <c r="E118" s="2">
        <v>11.629999999999999</v>
      </c>
      <c r="F118" s="62">
        <v>11.76</v>
      </c>
      <c r="G118" s="1" t="s">
        <v>26</v>
      </c>
      <c r="H118" s="4">
        <f t="shared" si="4"/>
        <v>1.388888888889106E-4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0.34384259259259431</v>
      </c>
      <c r="D119" s="4">
        <v>0.34398148148148322</v>
      </c>
      <c r="E119" s="2">
        <v>11.629999999999999</v>
      </c>
      <c r="F119" s="62">
        <v>11.68</v>
      </c>
      <c r="G119" s="1" t="s">
        <v>26</v>
      </c>
      <c r="H119" s="4">
        <f t="shared" si="4"/>
        <v>1.388888888889106E-4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0.34423611111111285</v>
      </c>
      <c r="D120" s="4">
        <v>0.34437500000000176</v>
      </c>
      <c r="E120" s="2">
        <v>11.629999999999999</v>
      </c>
      <c r="F120" s="62">
        <v>11.729999999999999</v>
      </c>
      <c r="G120" s="1" t="s">
        <v>26</v>
      </c>
      <c r="H120" s="4">
        <f t="shared" si="4"/>
        <v>1.388888888889106E-4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0.3446296296296314</v>
      </c>
      <c r="D121" s="4">
        <v>0.34479166666666844</v>
      </c>
      <c r="E121" s="2">
        <v>11.629999999999999</v>
      </c>
      <c r="F121" s="62">
        <v>11.669999999999998</v>
      </c>
      <c r="G121" s="1" t="s">
        <v>26</v>
      </c>
      <c r="H121" s="4">
        <f t="shared" si="4"/>
        <v>1.6203703703704386E-4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0.34506944444444621</v>
      </c>
      <c r="D122" s="4">
        <v>0.34523148148148325</v>
      </c>
      <c r="E122" s="2">
        <v>11.629999999999999</v>
      </c>
      <c r="F122" s="62">
        <v>11.669999999999998</v>
      </c>
      <c r="G122" s="1" t="s">
        <v>26</v>
      </c>
      <c r="H122" s="4">
        <f t="shared" si="4"/>
        <v>1.6203703703704386E-4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0.34549768518518698</v>
      </c>
      <c r="D123" s="4">
        <v>0.34567129629629811</v>
      </c>
      <c r="E123" s="2">
        <v>11.629999999999999</v>
      </c>
      <c r="F123" s="62">
        <v>11.77</v>
      </c>
      <c r="G123" s="1" t="s">
        <v>26</v>
      </c>
      <c r="H123" s="4">
        <f t="shared" si="4"/>
        <v>1.7361111111113825E-4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0.34596064814814997</v>
      </c>
      <c r="D124" s="4">
        <v>0.34612268518518702</v>
      </c>
      <c r="E124" s="2">
        <v>11.629999999999999</v>
      </c>
      <c r="F124" s="62">
        <v>11.69</v>
      </c>
      <c r="G124" s="1" t="s">
        <v>26</v>
      </c>
      <c r="H124" s="4">
        <f t="shared" si="4"/>
        <v>1.6203703703704386E-4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0.34635416666666852</v>
      </c>
      <c r="D125" s="4">
        <v>0.34651620370370556</v>
      </c>
      <c r="E125" s="2">
        <v>11.629999999999999</v>
      </c>
      <c r="F125" s="62">
        <v>11.68</v>
      </c>
      <c r="G125" s="1" t="s">
        <v>26</v>
      </c>
      <c r="H125" s="4">
        <f t="shared" si="4"/>
        <v>1.6203703703704386E-4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0.34678240740740929</v>
      </c>
      <c r="D126" s="4">
        <v>0.34695601851852043</v>
      </c>
      <c r="E126" s="2">
        <v>11.629999999999999</v>
      </c>
      <c r="F126" s="62">
        <v>11.669999999999998</v>
      </c>
      <c r="G126" s="1" t="s">
        <v>26</v>
      </c>
      <c r="H126" s="4">
        <f t="shared" si="4"/>
        <v>1.7361111111113825E-4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0.34721064814815006</v>
      </c>
      <c r="D127" s="4">
        <v>0.3473842592592612</v>
      </c>
      <c r="E127" s="2">
        <v>11.629999999999999</v>
      </c>
      <c r="F127" s="62">
        <v>11.709999999999999</v>
      </c>
      <c r="G127" s="1" t="s">
        <v>26</v>
      </c>
      <c r="H127" s="4">
        <f t="shared" si="4"/>
        <v>1.7361111111113825E-4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0.34762731481481673</v>
      </c>
      <c r="D128" s="4">
        <v>0.34780092592592787</v>
      </c>
      <c r="E128" s="2">
        <v>11.629999999999999</v>
      </c>
      <c r="F128" s="62">
        <v>11.709999999999999</v>
      </c>
      <c r="G128" s="1" t="s">
        <v>26</v>
      </c>
      <c r="H128" s="4">
        <f t="shared" si="4"/>
        <v>1.7361111111113825E-4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0.3480671296296316</v>
      </c>
      <c r="D129" s="4">
        <v>0.34824074074074274</v>
      </c>
      <c r="E129" s="2">
        <v>11.629999999999999</v>
      </c>
      <c r="F129" s="62">
        <v>11.749999999999998</v>
      </c>
      <c r="G129" s="1" t="s">
        <v>26</v>
      </c>
      <c r="H129" s="4">
        <f t="shared" si="4"/>
        <v>1.7361111111113825E-4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0.34847222222222424</v>
      </c>
      <c r="D130" s="4">
        <v>0.34861111111111315</v>
      </c>
      <c r="E130" s="2">
        <v>11.629999999999999</v>
      </c>
      <c r="F130" s="62">
        <v>11.749999999999998</v>
      </c>
      <c r="G130" s="1" t="s">
        <v>26</v>
      </c>
      <c r="H130" s="4">
        <f t="shared" si="4"/>
        <v>1.388888888889106E-4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0.34890046296296501</v>
      </c>
      <c r="D131" s="4">
        <v>0.34907407407407615</v>
      </c>
      <c r="E131" s="2">
        <v>11.629999999999999</v>
      </c>
      <c r="F131" s="62">
        <v>11.729999999999999</v>
      </c>
      <c r="G131" s="1" t="s">
        <v>26</v>
      </c>
      <c r="H131" s="4">
        <f t="shared" si="4"/>
        <v>1.7361111111113825E-4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0.34935185185185391</v>
      </c>
      <c r="D132" s="4">
        <v>0.34949074074074282</v>
      </c>
      <c r="E132" s="2">
        <v>11.629999999999999</v>
      </c>
      <c r="F132" s="62">
        <v>11.77</v>
      </c>
      <c r="G132" s="1" t="s">
        <v>26</v>
      </c>
      <c r="H132" s="4">
        <f t="shared" si="4"/>
        <v>1.388888888889106E-4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0.34975694444444655</v>
      </c>
      <c r="D133" s="4">
        <v>0.34993055555555769</v>
      </c>
      <c r="E133" s="2">
        <v>11.629999999999999</v>
      </c>
      <c r="F133" s="62">
        <v>11.78</v>
      </c>
      <c r="G133" s="1" t="s">
        <v>26</v>
      </c>
      <c r="H133" s="4">
        <f t="shared" si="4"/>
        <v>1.7361111111113825E-4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0.35016203703703919</v>
      </c>
      <c r="D134" s="4">
        <v>0.35031250000000214</v>
      </c>
      <c r="E134" s="2">
        <v>11.629999999999999</v>
      </c>
      <c r="F134" s="62">
        <v>11.659999999999998</v>
      </c>
      <c r="G134" s="1" t="s">
        <v>26</v>
      </c>
      <c r="H134" s="4">
        <f t="shared" si="4"/>
        <v>1.5046296296294948E-4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0.35055555555555767</v>
      </c>
      <c r="D135" s="4">
        <v>0.35069444444444658</v>
      </c>
      <c r="E135" s="2">
        <v>11.629999999999999</v>
      </c>
      <c r="F135" s="62">
        <v>11.659999999999998</v>
      </c>
      <c r="G135" s="1" t="s">
        <v>26</v>
      </c>
      <c r="H135" s="4">
        <f t="shared" si="4"/>
        <v>1.388888888889106E-4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0.35092592592592808</v>
      </c>
      <c r="D136" s="4">
        <v>0.35109953703703922</v>
      </c>
      <c r="E136" s="2">
        <v>11.629999999999999</v>
      </c>
      <c r="F136" s="62">
        <v>11.639999999999999</v>
      </c>
      <c r="G136" s="1" t="s">
        <v>26</v>
      </c>
      <c r="H136" s="4">
        <f t="shared" si="4"/>
        <v>1.7361111111113825E-4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0.35137731481481699</v>
      </c>
      <c r="D137" s="4">
        <v>0.3515162037037059</v>
      </c>
      <c r="E137" s="2">
        <v>11.629999999999999</v>
      </c>
      <c r="F137" s="62">
        <v>11.68</v>
      </c>
      <c r="G137" s="1" t="s">
        <v>26</v>
      </c>
      <c r="H137" s="4">
        <f t="shared" si="4"/>
        <v>1.388888888889106E-4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0.35179398148148366</v>
      </c>
      <c r="D138" s="4">
        <v>0.35194444444444661</v>
      </c>
      <c r="E138" s="2">
        <v>11.629999999999999</v>
      </c>
      <c r="F138" s="62">
        <v>11.659999999999998</v>
      </c>
      <c r="G138" s="1" t="s">
        <v>26</v>
      </c>
      <c r="H138" s="4">
        <f t="shared" si="4"/>
        <v>1.5046296296294948E-4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0.35223379629629847</v>
      </c>
      <c r="D139" s="4">
        <v>0.35237268518518738</v>
      </c>
      <c r="E139" s="2">
        <v>11.629999999999999</v>
      </c>
      <c r="F139" s="62">
        <v>11.69</v>
      </c>
      <c r="G139" s="1" t="s">
        <v>26</v>
      </c>
      <c r="H139" s="4">
        <f t="shared" ref="H139:H202" si="6">D139-C139</f>
        <v>1.388888888889106E-4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0.35260416666666888</v>
      </c>
      <c r="D140" s="4">
        <v>0.35274305555555779</v>
      </c>
      <c r="E140" s="2">
        <v>11.629999999999999</v>
      </c>
      <c r="F140" s="62">
        <v>11.76</v>
      </c>
      <c r="G140" s="1" t="s">
        <v>26</v>
      </c>
      <c r="H140" s="4">
        <f t="shared" si="6"/>
        <v>1.388888888889106E-4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0.35300925925926152</v>
      </c>
      <c r="D141" s="4">
        <v>0.35315972222222447</v>
      </c>
      <c r="E141" s="2">
        <v>11.629999999999999</v>
      </c>
      <c r="F141" s="62">
        <v>11.659999999999998</v>
      </c>
      <c r="G141" s="1" t="s">
        <v>26</v>
      </c>
      <c r="H141" s="4">
        <f t="shared" si="6"/>
        <v>1.5046296296294948E-4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0.35343750000000224</v>
      </c>
      <c r="D142" s="4">
        <v>0.35359953703703928</v>
      </c>
      <c r="E142" s="2">
        <v>11.629999999999999</v>
      </c>
      <c r="F142" s="62">
        <v>11.78</v>
      </c>
      <c r="G142" s="1" t="s">
        <v>26</v>
      </c>
      <c r="H142" s="4">
        <f t="shared" si="6"/>
        <v>1.6203703703704386E-4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0.35386574074074301</v>
      </c>
      <c r="D143" s="4">
        <v>0.35403935185185414</v>
      </c>
      <c r="E143" s="2">
        <v>11.629999999999999</v>
      </c>
      <c r="F143" s="62">
        <v>11.639999999999999</v>
      </c>
      <c r="G143" s="1" t="s">
        <v>26</v>
      </c>
      <c r="H143" s="4">
        <f t="shared" si="6"/>
        <v>1.7361111111113825E-4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0.35427083333333564</v>
      </c>
      <c r="D144" s="4">
        <v>0.35440972222222455</v>
      </c>
      <c r="E144" s="2">
        <v>11.629999999999999</v>
      </c>
      <c r="F144" s="62">
        <v>11.649999999999999</v>
      </c>
      <c r="G144" s="1" t="s">
        <v>26</v>
      </c>
      <c r="H144" s="4">
        <f t="shared" si="6"/>
        <v>1.388888888889106E-4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0.35468750000000232</v>
      </c>
      <c r="D145" s="4">
        <v>0.35486111111111346</v>
      </c>
      <c r="E145" s="2">
        <v>11.629999999999999</v>
      </c>
      <c r="F145" s="62">
        <v>11.749999999999998</v>
      </c>
      <c r="G145" s="1" t="s">
        <v>26</v>
      </c>
      <c r="H145" s="4">
        <f t="shared" si="6"/>
        <v>1.7361111111113825E-4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0.35513888888889122</v>
      </c>
      <c r="D146" s="4">
        <v>0.35527777777778013</v>
      </c>
      <c r="E146" s="2">
        <v>11.629999999999999</v>
      </c>
      <c r="F146" s="62">
        <v>11.68</v>
      </c>
      <c r="G146" s="1" t="s">
        <v>26</v>
      </c>
      <c r="H146" s="4">
        <f t="shared" si="6"/>
        <v>1.388888888889106E-4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0.35556712962963199</v>
      </c>
      <c r="D147" s="4">
        <v>0.35570601851852091</v>
      </c>
      <c r="E147" s="2">
        <v>11.629999999999999</v>
      </c>
      <c r="F147" s="62">
        <v>11.78</v>
      </c>
      <c r="G147" s="1" t="s">
        <v>26</v>
      </c>
      <c r="H147" s="4">
        <f t="shared" si="6"/>
        <v>1.388888888889106E-4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0.3559375000000024</v>
      </c>
      <c r="D148" s="4">
        <v>0.35608796296296535</v>
      </c>
      <c r="E148" s="2">
        <v>11.629999999999999</v>
      </c>
      <c r="F148" s="62">
        <v>11.739999999999998</v>
      </c>
      <c r="G148" s="1" t="s">
        <v>26</v>
      </c>
      <c r="H148" s="4">
        <f t="shared" si="6"/>
        <v>1.5046296296294948E-4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0.35634259259259499</v>
      </c>
      <c r="D149" s="4">
        <v>0.35649305555555794</v>
      </c>
      <c r="E149" s="2">
        <v>11.629999999999999</v>
      </c>
      <c r="F149" s="62">
        <v>11.749999999999998</v>
      </c>
      <c r="G149" s="1" t="s">
        <v>26</v>
      </c>
      <c r="H149" s="4">
        <f t="shared" si="6"/>
        <v>1.5046296296294948E-4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0.35675925925926166</v>
      </c>
      <c r="D150" s="4">
        <v>0.3569328703703728</v>
      </c>
      <c r="E150" s="2">
        <v>11.629999999999999</v>
      </c>
      <c r="F150" s="62">
        <v>11.659999999999998</v>
      </c>
      <c r="G150" s="1" t="s">
        <v>26</v>
      </c>
      <c r="H150" s="4">
        <f t="shared" si="6"/>
        <v>1.7361111111113825E-4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0.35721064814815057</v>
      </c>
      <c r="D151" s="4">
        <v>0.35737268518518761</v>
      </c>
      <c r="E151" s="2">
        <v>11.629999999999999</v>
      </c>
      <c r="F151" s="62">
        <v>11.739999999999998</v>
      </c>
      <c r="G151" s="1" t="s">
        <v>26</v>
      </c>
      <c r="H151" s="4">
        <f t="shared" si="6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0.35766203703703947</v>
      </c>
      <c r="D152" s="4">
        <v>0.35783564814815061</v>
      </c>
      <c r="E152" s="2">
        <v>11.629999999999999</v>
      </c>
      <c r="F152" s="62">
        <v>11.7</v>
      </c>
      <c r="G152" s="1" t="s">
        <v>26</v>
      </c>
      <c r="H152" s="4">
        <f t="shared" si="6"/>
        <v>1.7361111111113825E-4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0.35810185185185434</v>
      </c>
      <c r="D153" s="4">
        <v>0.35825231481481729</v>
      </c>
      <c r="E153" s="2">
        <v>11.629999999999999</v>
      </c>
      <c r="F153" s="62">
        <v>11.77</v>
      </c>
      <c r="G153" s="1" t="s">
        <v>26</v>
      </c>
      <c r="H153" s="4">
        <f t="shared" si="6"/>
        <v>1.5046296296294948E-4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0.35848379629629878</v>
      </c>
      <c r="D154" s="4">
        <v>0.35865740740740992</v>
      </c>
      <c r="E154" s="2">
        <v>11.629999999999999</v>
      </c>
      <c r="F154" s="62">
        <v>11.76</v>
      </c>
      <c r="G154" s="1" t="s">
        <v>26</v>
      </c>
      <c r="H154" s="4">
        <f t="shared" si="6"/>
        <v>1.7361111111113825E-4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0.35893518518518769</v>
      </c>
      <c r="D155" s="4">
        <v>0.35908564814815064</v>
      </c>
      <c r="E155" s="2">
        <v>11.629999999999999</v>
      </c>
      <c r="F155" s="62">
        <v>11.749999999999998</v>
      </c>
      <c r="G155" s="1" t="s">
        <v>26</v>
      </c>
      <c r="H155" s="4">
        <f t="shared" si="6"/>
        <v>1.5046296296294948E-4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0.35932870370370618</v>
      </c>
      <c r="D156" s="4">
        <v>0.35949074074074322</v>
      </c>
      <c r="E156" s="2">
        <v>11.629999999999999</v>
      </c>
      <c r="F156" s="62">
        <v>11.78</v>
      </c>
      <c r="G156" s="1" t="s">
        <v>26</v>
      </c>
      <c r="H156" s="4">
        <f t="shared" si="6"/>
        <v>1.6203703703704386E-4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0.35974537037037285</v>
      </c>
      <c r="D157" s="4">
        <v>0.3599074074074099</v>
      </c>
      <c r="E157" s="2">
        <v>11.629999999999999</v>
      </c>
      <c r="F157" s="62">
        <v>11.76</v>
      </c>
      <c r="G157" s="1" t="s">
        <v>26</v>
      </c>
      <c r="H157" s="4">
        <f t="shared" si="6"/>
        <v>1.6203703703704386E-4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0.3601388888888914</v>
      </c>
      <c r="D158" s="4">
        <v>0.36030092592592844</v>
      </c>
      <c r="E158" s="2">
        <v>11.629999999999999</v>
      </c>
      <c r="F158" s="62">
        <v>11.68</v>
      </c>
      <c r="G158" s="1" t="s">
        <v>26</v>
      </c>
      <c r="H158" s="4">
        <f t="shared" si="6"/>
        <v>1.6203703703704386E-4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0.3605902777777803</v>
      </c>
      <c r="D159" s="4">
        <v>0.36072916666666921</v>
      </c>
      <c r="E159" s="2">
        <v>11.629999999999999</v>
      </c>
      <c r="F159" s="62">
        <v>11.69</v>
      </c>
      <c r="G159" s="1" t="s">
        <v>26</v>
      </c>
      <c r="H159" s="4">
        <f t="shared" si="6"/>
        <v>1.388888888889106E-4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0.36097222222222475</v>
      </c>
      <c r="D160" s="4">
        <v>0.36113425925926179</v>
      </c>
      <c r="E160" s="2">
        <v>11.629999999999999</v>
      </c>
      <c r="F160" s="62">
        <v>11.659999999999998</v>
      </c>
      <c r="G160" s="1" t="s">
        <v>26</v>
      </c>
      <c r="H160" s="4">
        <f t="shared" si="6"/>
        <v>1.6203703703704386E-4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0.36138888888889142</v>
      </c>
      <c r="D161" s="4">
        <v>0.36156250000000256</v>
      </c>
      <c r="E161" s="2">
        <v>11.629999999999999</v>
      </c>
      <c r="F161" s="62">
        <v>11.659999999999998</v>
      </c>
      <c r="G161" s="1" t="s">
        <v>26</v>
      </c>
      <c r="H161" s="4">
        <f t="shared" si="6"/>
        <v>1.7361111111113825E-4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0.36181712962963219</v>
      </c>
      <c r="D162" s="4">
        <v>0.36195601851852111</v>
      </c>
      <c r="E162" s="2">
        <v>11.629999999999999</v>
      </c>
      <c r="F162" s="62">
        <v>11.669999999999998</v>
      </c>
      <c r="G162" s="1" t="s">
        <v>26</v>
      </c>
      <c r="H162" s="4">
        <f t="shared" si="6"/>
        <v>1.388888888889106E-4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0.36224537037037297</v>
      </c>
      <c r="D163" s="4">
        <v>0.36238425925926188</v>
      </c>
      <c r="E163" s="2">
        <v>11.629999999999999</v>
      </c>
      <c r="F163" s="62">
        <v>11.649999999999999</v>
      </c>
      <c r="G163" s="1" t="s">
        <v>26</v>
      </c>
      <c r="H163" s="4">
        <f t="shared" si="6"/>
        <v>1.388888888889106E-4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0.3626504629629656</v>
      </c>
      <c r="D164" s="4">
        <v>0.36278935185185451</v>
      </c>
      <c r="E164" s="2">
        <v>11.629999999999999</v>
      </c>
      <c r="F164" s="62">
        <v>11.78</v>
      </c>
      <c r="G164" s="1" t="s">
        <v>26</v>
      </c>
      <c r="H164" s="4">
        <f t="shared" si="6"/>
        <v>1.388888888889106E-4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0.36305555555555824</v>
      </c>
      <c r="D165" s="4">
        <v>0.36322916666666938</v>
      </c>
      <c r="E165" s="2">
        <v>11.629999999999999</v>
      </c>
      <c r="F165" s="62">
        <v>11.669999999999998</v>
      </c>
      <c r="G165" s="1" t="s">
        <v>26</v>
      </c>
      <c r="H165" s="4">
        <f t="shared" si="6"/>
        <v>1.7361111111113825E-4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0.36351851851852124</v>
      </c>
      <c r="D166" s="4">
        <v>0.36366898148148419</v>
      </c>
      <c r="E166" s="2">
        <v>11.629999999999999</v>
      </c>
      <c r="F166" s="62">
        <v>11.739999999999998</v>
      </c>
      <c r="G166" s="1" t="s">
        <v>26</v>
      </c>
      <c r="H166" s="4">
        <f t="shared" si="6"/>
        <v>1.5046296296294948E-4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0.36395833333333605</v>
      </c>
      <c r="D167" s="4">
        <v>0.36412037037037309</v>
      </c>
      <c r="E167" s="2">
        <v>11.629999999999999</v>
      </c>
      <c r="F167" s="62">
        <v>11.78</v>
      </c>
      <c r="G167" s="1" t="s">
        <v>26</v>
      </c>
      <c r="H167" s="4">
        <f t="shared" si="6"/>
        <v>1.6203703703704386E-4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0.36436342592592863</v>
      </c>
      <c r="D168" s="4">
        <v>0.36452546296296567</v>
      </c>
      <c r="E168" s="2">
        <v>11.629999999999999</v>
      </c>
      <c r="F168" s="62">
        <v>11.76</v>
      </c>
      <c r="G168" s="1" t="s">
        <v>26</v>
      </c>
      <c r="H168" s="4">
        <f t="shared" si="6"/>
        <v>1.6203703703704386E-4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0.36478009259259531</v>
      </c>
      <c r="D169" s="4">
        <v>0.36491898148148422</v>
      </c>
      <c r="E169" s="2">
        <v>11.629999999999999</v>
      </c>
      <c r="F169" s="62">
        <v>11.669999999999998</v>
      </c>
      <c r="G169" s="1" t="s">
        <v>26</v>
      </c>
      <c r="H169" s="4">
        <f t="shared" si="6"/>
        <v>1.388888888889106E-4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0.36517361111111385</v>
      </c>
      <c r="D170" s="4">
        <v>0.36533564814815089</v>
      </c>
      <c r="E170" s="2">
        <v>11.629999999999999</v>
      </c>
      <c r="F170" s="62">
        <v>11.639999999999999</v>
      </c>
      <c r="G170" s="1" t="s">
        <v>26</v>
      </c>
      <c r="H170" s="4">
        <f t="shared" si="6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0.36561342592592866</v>
      </c>
      <c r="D171" s="4">
        <v>0.3657870370370398</v>
      </c>
      <c r="E171" s="2">
        <v>11.629999999999999</v>
      </c>
      <c r="F171" s="62">
        <v>11.749999999999998</v>
      </c>
      <c r="G171" s="1" t="s">
        <v>26</v>
      </c>
      <c r="H171" s="4">
        <f t="shared" si="6"/>
        <v>1.7361111111113825E-4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0.36606481481481756</v>
      </c>
      <c r="D172" s="4">
        <v>0.36621527777778051</v>
      </c>
      <c r="E172" s="2">
        <v>11.629999999999999</v>
      </c>
      <c r="F172" s="62">
        <v>11.69</v>
      </c>
      <c r="G172" s="1" t="s">
        <v>26</v>
      </c>
      <c r="H172" s="4">
        <f t="shared" si="6"/>
        <v>1.5046296296294948E-4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0.36646990740741014</v>
      </c>
      <c r="D173" s="4">
        <v>0.36664351851852128</v>
      </c>
      <c r="E173" s="2">
        <v>11.629999999999999</v>
      </c>
      <c r="F173" s="62">
        <v>11.77</v>
      </c>
      <c r="G173" s="1" t="s">
        <v>26</v>
      </c>
      <c r="H173" s="4">
        <f t="shared" si="6"/>
        <v>1.7361111111113825E-4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0.36693287037037314</v>
      </c>
      <c r="D174" s="4">
        <v>0.36709490740741019</v>
      </c>
      <c r="E174" s="2">
        <v>11.629999999999999</v>
      </c>
      <c r="F174" s="62">
        <v>11.729999999999999</v>
      </c>
      <c r="G174" s="1" t="s">
        <v>26</v>
      </c>
      <c r="H174" s="4">
        <f t="shared" si="6"/>
        <v>1.6203703703704386E-4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0.36732638888889169</v>
      </c>
      <c r="D175" s="4">
        <v>0.36747685185185464</v>
      </c>
      <c r="E175" s="2">
        <v>11.629999999999999</v>
      </c>
      <c r="F175" s="62">
        <v>11.76</v>
      </c>
      <c r="G175" s="1" t="s">
        <v>26</v>
      </c>
      <c r="H175" s="4">
        <f t="shared" si="6"/>
        <v>1.5046296296294948E-4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0.36771990740741017</v>
      </c>
      <c r="D176" s="4">
        <v>0.36788194444444722</v>
      </c>
      <c r="E176" s="2">
        <v>11.629999999999999</v>
      </c>
      <c r="F176" s="62">
        <v>11.69</v>
      </c>
      <c r="G176" s="1" t="s">
        <v>26</v>
      </c>
      <c r="H176" s="4">
        <f t="shared" si="6"/>
        <v>1.6203703703704386E-4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0.36811342592592872</v>
      </c>
      <c r="D177" s="4">
        <v>0.36825231481481763</v>
      </c>
      <c r="E177" s="2">
        <v>11.629999999999999</v>
      </c>
      <c r="F177" s="62">
        <v>11.7</v>
      </c>
      <c r="G177" s="1" t="s">
        <v>26</v>
      </c>
      <c r="H177" s="4">
        <f t="shared" si="6"/>
        <v>1.388888888889106E-4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0.36851851851852135</v>
      </c>
      <c r="D178" s="4">
        <v>0.36865740740741026</v>
      </c>
      <c r="E178" s="2">
        <v>11.629999999999999</v>
      </c>
      <c r="F178" s="62">
        <v>11.68</v>
      </c>
      <c r="G178" s="1" t="s">
        <v>26</v>
      </c>
      <c r="H178" s="4">
        <f t="shared" si="6"/>
        <v>1.388888888889106E-4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0.3689120370370399</v>
      </c>
      <c r="D179" s="4">
        <v>0.36905092592592881</v>
      </c>
      <c r="E179" s="2">
        <v>11.629999999999999</v>
      </c>
      <c r="F179" s="62">
        <v>11.639999999999999</v>
      </c>
      <c r="G179" s="1" t="s">
        <v>26</v>
      </c>
      <c r="H179" s="4">
        <f t="shared" si="6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0.36932870370370657</v>
      </c>
      <c r="D180" s="4">
        <v>0.36950231481481771</v>
      </c>
      <c r="E180" s="2">
        <v>11.629999999999999</v>
      </c>
      <c r="F180" s="62">
        <v>11.7</v>
      </c>
      <c r="G180" s="1" t="s">
        <v>26</v>
      </c>
      <c r="H180" s="4">
        <f t="shared" si="6"/>
        <v>1.7361111111113825E-4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0.36975694444444734</v>
      </c>
      <c r="D181" s="4">
        <v>0.36990740740741029</v>
      </c>
      <c r="E181" s="2">
        <v>11.629999999999999</v>
      </c>
      <c r="F181" s="62">
        <v>11.729999999999999</v>
      </c>
      <c r="G181" s="1" t="s">
        <v>26</v>
      </c>
      <c r="H181" s="4">
        <f t="shared" si="6"/>
        <v>1.5046296296294948E-4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0.37013888888889179</v>
      </c>
      <c r="D182" s="4">
        <v>0.37031250000000293</v>
      </c>
      <c r="E182" s="2">
        <v>11.629999999999999</v>
      </c>
      <c r="F182" s="62">
        <v>11.7</v>
      </c>
      <c r="G182" s="1" t="s">
        <v>26</v>
      </c>
      <c r="H182" s="4">
        <f t="shared" si="6"/>
        <v>1.7361111111113825E-4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0.3705902777777807</v>
      </c>
      <c r="D183" s="4">
        <v>0.37076388888889183</v>
      </c>
      <c r="E183" s="2">
        <v>11.629999999999999</v>
      </c>
      <c r="F183" s="62">
        <v>11.709999999999999</v>
      </c>
      <c r="G183" s="1" t="s">
        <v>26</v>
      </c>
      <c r="H183" s="4">
        <f t="shared" si="6"/>
        <v>1.7361111111113825E-4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0.37103009259259556</v>
      </c>
      <c r="D184" s="4">
        <v>0.37116898148148447</v>
      </c>
      <c r="E184" s="2">
        <v>11.629999999999999</v>
      </c>
      <c r="F184" s="62">
        <v>11.719999999999999</v>
      </c>
      <c r="G184" s="1" t="s">
        <v>26</v>
      </c>
      <c r="H184" s="4">
        <f t="shared" si="6"/>
        <v>1.388888888889106E-4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0.37140046296296597</v>
      </c>
      <c r="D185" s="4">
        <v>0.37157407407407711</v>
      </c>
      <c r="E185" s="2">
        <v>11.629999999999999</v>
      </c>
      <c r="F185" s="62">
        <v>11.709999999999999</v>
      </c>
      <c r="G185" s="1" t="s">
        <v>26</v>
      </c>
      <c r="H185" s="4">
        <f t="shared" si="6"/>
        <v>1.7361111111113825E-4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0.37184027777778084</v>
      </c>
      <c r="D186" s="4">
        <v>0.37201388888889197</v>
      </c>
      <c r="E186" s="2">
        <v>11.629999999999999</v>
      </c>
      <c r="F186" s="62">
        <v>11.729999999999999</v>
      </c>
      <c r="G186" s="1" t="s">
        <v>26</v>
      </c>
      <c r="H186" s="4">
        <f t="shared" si="6"/>
        <v>1.7361111111113825E-4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0.37224537037037347</v>
      </c>
      <c r="D187" s="4">
        <v>0.37238425925926238</v>
      </c>
      <c r="E187" s="2">
        <v>11.629999999999999</v>
      </c>
      <c r="F187" s="62">
        <v>11.669999999999998</v>
      </c>
      <c r="G187" s="1" t="s">
        <v>26</v>
      </c>
      <c r="H187" s="4">
        <f t="shared" si="6"/>
        <v>1.388888888889106E-4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0.37263888888889202</v>
      </c>
      <c r="D188" s="4">
        <v>0.37281250000000316</v>
      </c>
      <c r="E188" s="2">
        <v>11.629999999999999</v>
      </c>
      <c r="F188" s="62">
        <v>11.709999999999999</v>
      </c>
      <c r="G188" s="1" t="s">
        <v>26</v>
      </c>
      <c r="H188" s="4">
        <f t="shared" si="6"/>
        <v>1.7361111111113825E-4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0.37309027777778092</v>
      </c>
      <c r="D189" s="4">
        <v>0.37325231481481796</v>
      </c>
      <c r="E189" s="2">
        <v>11.629999999999999</v>
      </c>
      <c r="F189" s="62">
        <v>11.639999999999999</v>
      </c>
      <c r="G189" s="1" t="s">
        <v>26</v>
      </c>
      <c r="H189" s="4">
        <f t="shared" si="6"/>
        <v>1.6203703703704386E-4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0.37348379629629946</v>
      </c>
      <c r="D190" s="4">
        <v>0.37363425925926241</v>
      </c>
      <c r="E190" s="2">
        <v>11.629999999999999</v>
      </c>
      <c r="F190" s="62">
        <v>11.669999999999998</v>
      </c>
      <c r="G190" s="1" t="s">
        <v>26</v>
      </c>
      <c r="H190" s="4">
        <f t="shared" si="6"/>
        <v>1.5046296296294948E-4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0.37386574074074391</v>
      </c>
      <c r="D191" s="4">
        <v>0.37400462962963282</v>
      </c>
      <c r="E191" s="2">
        <v>11.629999999999999</v>
      </c>
      <c r="F191" s="62">
        <v>11.659999999999998</v>
      </c>
      <c r="G191" s="1" t="s">
        <v>26</v>
      </c>
      <c r="H191" s="4">
        <f t="shared" si="6"/>
        <v>1.388888888889106E-4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0.37425925925926246</v>
      </c>
      <c r="D192" s="4">
        <v>0.3744212962962995</v>
      </c>
      <c r="E192" s="2">
        <v>11.629999999999999</v>
      </c>
      <c r="F192" s="62">
        <v>11.78</v>
      </c>
      <c r="G192" s="1" t="s">
        <v>26</v>
      </c>
      <c r="H192" s="4">
        <f t="shared" si="6"/>
        <v>1.6203703703704386E-4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0.37469907407407727</v>
      </c>
      <c r="D193" s="4">
        <v>0.3748726851851884</v>
      </c>
      <c r="E193" s="2">
        <v>11.629999999999999</v>
      </c>
      <c r="F193" s="62">
        <v>11.719999999999999</v>
      </c>
      <c r="G193" s="1" t="s">
        <v>26</v>
      </c>
      <c r="H193" s="4">
        <f t="shared" si="6"/>
        <v>1.7361111111113825E-4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0.37513888888889213</v>
      </c>
      <c r="D194" s="4">
        <v>0.37528935185185508</v>
      </c>
      <c r="E194" s="2">
        <v>11.629999999999999</v>
      </c>
      <c r="F194" s="62">
        <v>11.709999999999999</v>
      </c>
      <c r="G194" s="1" t="s">
        <v>26</v>
      </c>
      <c r="H194" s="4">
        <f t="shared" si="6"/>
        <v>1.5046296296294948E-4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0.37554398148148471</v>
      </c>
      <c r="D195" s="4">
        <v>0.37571759259259585</v>
      </c>
      <c r="E195" s="2">
        <v>11.629999999999999</v>
      </c>
      <c r="F195" s="62">
        <v>11.649999999999999</v>
      </c>
      <c r="G195" s="1" t="s">
        <v>26</v>
      </c>
      <c r="H195" s="4">
        <f t="shared" si="6"/>
        <v>1.7361111111113825E-4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0.37600694444444771</v>
      </c>
      <c r="D196" s="4">
        <v>0.37615740740741066</v>
      </c>
      <c r="E196" s="2">
        <v>11.629999999999999</v>
      </c>
      <c r="F196" s="62">
        <v>11.719999999999999</v>
      </c>
      <c r="G196" s="1" t="s">
        <v>26</v>
      </c>
      <c r="H196" s="4">
        <f t="shared" si="6"/>
        <v>1.5046296296294948E-4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0.37643518518518843</v>
      </c>
      <c r="D197" s="4">
        <v>0.37659722222222547</v>
      </c>
      <c r="E197" s="2">
        <v>11.629999999999999</v>
      </c>
      <c r="F197" s="62">
        <v>11.68</v>
      </c>
      <c r="G197" s="1" t="s">
        <v>26</v>
      </c>
      <c r="H197" s="4">
        <f t="shared" si="6"/>
        <v>1.6203703703704386E-4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0.37688657407407733</v>
      </c>
      <c r="D198" s="4">
        <v>0.37704861111111437</v>
      </c>
      <c r="E198" s="2">
        <v>11.629999999999999</v>
      </c>
      <c r="F198" s="62">
        <v>11.78</v>
      </c>
      <c r="G198" s="1" t="s">
        <v>26</v>
      </c>
      <c r="H198" s="4">
        <f t="shared" si="6"/>
        <v>1.6203703703704386E-4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0.3773148148148181</v>
      </c>
      <c r="D199" s="4">
        <v>0.37748842592592924</v>
      </c>
      <c r="E199" s="2">
        <v>11.629999999999999</v>
      </c>
      <c r="F199" s="62">
        <v>11.639999999999999</v>
      </c>
      <c r="G199" s="1" t="s">
        <v>26</v>
      </c>
      <c r="H199" s="4">
        <f t="shared" si="6"/>
        <v>1.7361111111113825E-4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0.377766203703707</v>
      </c>
      <c r="D200" s="4">
        <v>0.37792824074074405</v>
      </c>
      <c r="E200" s="2">
        <v>11.629999999999999</v>
      </c>
      <c r="F200" s="62">
        <v>11.639999999999999</v>
      </c>
      <c r="G200" s="1" t="s">
        <v>26</v>
      </c>
      <c r="H200" s="4">
        <f t="shared" si="6"/>
        <v>1.6203703703704386E-4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0.37820601851852181</v>
      </c>
      <c r="D201" s="4">
        <v>0.37834490740741072</v>
      </c>
      <c r="E201" s="2">
        <v>11.629999999999999</v>
      </c>
      <c r="F201" s="62">
        <v>11.77</v>
      </c>
      <c r="G201" s="1" t="s">
        <v>26</v>
      </c>
      <c r="H201" s="4">
        <f t="shared" si="6"/>
        <v>1.388888888889106E-4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0.37857638888889222</v>
      </c>
      <c r="D202" s="4">
        <v>0.37871527777778113</v>
      </c>
      <c r="E202" s="2">
        <v>11.629999999999999</v>
      </c>
      <c r="F202" s="62">
        <v>11.729999999999999</v>
      </c>
      <c r="G202" s="1" t="s">
        <v>26</v>
      </c>
      <c r="H202" s="4">
        <f t="shared" si="6"/>
        <v>1.388888888889106E-4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0.37898148148148486</v>
      </c>
      <c r="D203" s="4">
        <v>0.379155092592596</v>
      </c>
      <c r="E203" s="2">
        <v>11.629999999999999</v>
      </c>
      <c r="F203" s="62">
        <v>11.76</v>
      </c>
      <c r="G203" s="1" t="s">
        <v>26</v>
      </c>
      <c r="H203" s="4">
        <f t="shared" ref="H203:H266" si="8">D203-C203</f>
        <v>1.7361111111113825E-4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0.3793865740740775</v>
      </c>
      <c r="D204" s="4">
        <v>0.37954861111111454</v>
      </c>
      <c r="E204" s="2">
        <v>11.629999999999999</v>
      </c>
      <c r="F204" s="62">
        <v>11.719999999999999</v>
      </c>
      <c r="G204" s="1" t="s">
        <v>26</v>
      </c>
      <c r="H204" s="4">
        <f t="shared" si="8"/>
        <v>1.6203703703704386E-4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0.3798379629629664</v>
      </c>
      <c r="D205" s="4">
        <v>0.38000000000000345</v>
      </c>
      <c r="E205" s="2">
        <v>11.629999999999999</v>
      </c>
      <c r="F205" s="62">
        <v>11.76</v>
      </c>
      <c r="G205" s="1" t="s">
        <v>26</v>
      </c>
      <c r="H205" s="4">
        <f t="shared" si="8"/>
        <v>1.6203703703704386E-4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0.38028935185185531</v>
      </c>
      <c r="D206" s="4">
        <v>0.38042824074074422</v>
      </c>
      <c r="E206" s="2">
        <v>11.629999999999999</v>
      </c>
      <c r="F206" s="62">
        <v>11.669999999999998</v>
      </c>
      <c r="G206" s="1" t="s">
        <v>26</v>
      </c>
      <c r="H206" s="4">
        <f t="shared" si="8"/>
        <v>1.388888888889106E-4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0.38069444444444794</v>
      </c>
      <c r="D207" s="4">
        <v>0.38086805555555908</v>
      </c>
      <c r="E207" s="2">
        <v>11.629999999999999</v>
      </c>
      <c r="F207" s="62">
        <v>11.78</v>
      </c>
      <c r="G207" s="1" t="s">
        <v>26</v>
      </c>
      <c r="H207" s="4">
        <f t="shared" si="8"/>
        <v>1.7361111111113825E-4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0.38112268518518871</v>
      </c>
      <c r="D208" s="4">
        <v>0.38127314814815166</v>
      </c>
      <c r="E208" s="2">
        <v>11.629999999999999</v>
      </c>
      <c r="F208" s="62">
        <v>11.7</v>
      </c>
      <c r="G208" s="1" t="s">
        <v>26</v>
      </c>
      <c r="H208" s="4">
        <f t="shared" si="8"/>
        <v>1.5046296296294948E-4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0.38153935185185539</v>
      </c>
      <c r="D209" s="4">
        <v>0.38171296296296653</v>
      </c>
      <c r="E209" s="2">
        <v>11.629999999999999</v>
      </c>
      <c r="F209" s="62">
        <v>11.76</v>
      </c>
      <c r="G209" s="1" t="s">
        <v>26</v>
      </c>
      <c r="H209" s="4">
        <f t="shared" si="8"/>
        <v>1.7361111111113825E-4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0.38194444444444803</v>
      </c>
      <c r="D210" s="4">
        <v>0.38211805555555917</v>
      </c>
      <c r="E210" s="2">
        <v>11.629999999999999</v>
      </c>
      <c r="F210" s="62">
        <v>11.78</v>
      </c>
      <c r="G210" s="1" t="s">
        <v>26</v>
      </c>
      <c r="H210" s="4">
        <f t="shared" si="8"/>
        <v>1.7361111111113825E-4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0.3823611111111147</v>
      </c>
      <c r="D211" s="4">
        <v>0.38251157407407765</v>
      </c>
      <c r="E211" s="2">
        <v>11.629999999999999</v>
      </c>
      <c r="F211" s="62">
        <v>11.749999999999998</v>
      </c>
      <c r="G211" s="1" t="s">
        <v>26</v>
      </c>
      <c r="H211" s="4">
        <f t="shared" si="8"/>
        <v>1.5046296296294948E-4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0.38277777777778138</v>
      </c>
      <c r="D212" s="4">
        <v>0.38295138888889252</v>
      </c>
      <c r="E212" s="2">
        <v>11.629999999999999</v>
      </c>
      <c r="F212" s="62">
        <v>11.749999999999998</v>
      </c>
      <c r="G212" s="1" t="s">
        <v>26</v>
      </c>
      <c r="H212" s="4">
        <f t="shared" si="8"/>
        <v>1.7361111111113825E-4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0.38324074074074438</v>
      </c>
      <c r="D213" s="4">
        <v>0.38340277777778142</v>
      </c>
      <c r="E213" s="2">
        <v>11.629999999999999</v>
      </c>
      <c r="F213" s="62">
        <v>11.739999999999998</v>
      </c>
      <c r="G213" s="1" t="s">
        <v>26</v>
      </c>
      <c r="H213" s="4">
        <f t="shared" si="8"/>
        <v>1.6203703703704386E-4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0.38365740740741106</v>
      </c>
      <c r="D214" s="4">
        <v>0.383807870370374</v>
      </c>
      <c r="E214" s="2">
        <v>11.629999999999999</v>
      </c>
      <c r="F214" s="62">
        <v>11.649999999999999</v>
      </c>
      <c r="G214" s="1" t="s">
        <v>26</v>
      </c>
      <c r="H214" s="4">
        <f t="shared" si="8"/>
        <v>1.5046296296294948E-4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0.38405092592592954</v>
      </c>
      <c r="D215" s="4">
        <v>0.38420138888889249</v>
      </c>
      <c r="E215" s="2">
        <v>11.629999999999999</v>
      </c>
      <c r="F215" s="62">
        <v>11.649999999999999</v>
      </c>
      <c r="G215" s="1" t="s">
        <v>26</v>
      </c>
      <c r="H215" s="4">
        <f t="shared" si="8"/>
        <v>1.5046296296294948E-4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0.38447916666667026</v>
      </c>
      <c r="D216" s="4">
        <v>0.3846527777777814</v>
      </c>
      <c r="E216" s="2">
        <v>11.629999999999999</v>
      </c>
      <c r="F216" s="62">
        <v>11.749999999999998</v>
      </c>
      <c r="G216" s="1" t="s">
        <v>26</v>
      </c>
      <c r="H216" s="4">
        <f t="shared" si="8"/>
        <v>1.7361111111113825E-4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0.3848842592592629</v>
      </c>
      <c r="D217" s="4">
        <v>0.38502314814815181</v>
      </c>
      <c r="E217" s="2">
        <v>11.629999999999999</v>
      </c>
      <c r="F217" s="62">
        <v>11.729999999999999</v>
      </c>
      <c r="G217" s="1" t="s">
        <v>26</v>
      </c>
      <c r="H217" s="4">
        <f t="shared" si="8"/>
        <v>1.388888888889106E-4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0.38525462962963331</v>
      </c>
      <c r="D218" s="4">
        <v>0.38541666666667035</v>
      </c>
      <c r="E218" s="2">
        <v>11.629999999999999</v>
      </c>
      <c r="F218" s="62">
        <v>11.77</v>
      </c>
      <c r="G218" s="1" t="s">
        <v>26</v>
      </c>
      <c r="H218" s="4">
        <f t="shared" si="8"/>
        <v>1.6203703703704386E-4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0.38570601851852221</v>
      </c>
      <c r="D219" s="4">
        <v>0.38587962962963335</v>
      </c>
      <c r="E219" s="2">
        <v>11.629999999999999</v>
      </c>
      <c r="F219" s="62">
        <v>11.709999999999999</v>
      </c>
      <c r="G219" s="1" t="s">
        <v>26</v>
      </c>
      <c r="H219" s="4">
        <f t="shared" si="8"/>
        <v>1.7361111111113825E-4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0.38614583333333707</v>
      </c>
      <c r="D220" s="4">
        <v>0.38631944444444821</v>
      </c>
      <c r="E220" s="2">
        <v>11.629999999999999</v>
      </c>
      <c r="F220" s="62">
        <v>11.749999999999998</v>
      </c>
      <c r="G220" s="1" t="s">
        <v>26</v>
      </c>
      <c r="H220" s="4">
        <f t="shared" si="8"/>
        <v>1.7361111111113825E-4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0.38658564814815194</v>
      </c>
      <c r="D221" s="4">
        <v>0.38673611111111489</v>
      </c>
      <c r="E221" s="2">
        <v>11.629999999999999</v>
      </c>
      <c r="F221" s="62">
        <v>11.739999999999998</v>
      </c>
      <c r="G221" s="1" t="s">
        <v>26</v>
      </c>
      <c r="H221" s="4">
        <f t="shared" si="8"/>
        <v>1.5046296296294948E-4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0.38699074074074452</v>
      </c>
      <c r="D222" s="4">
        <v>0.38716435185185566</v>
      </c>
      <c r="E222" s="2">
        <v>11.629999999999999</v>
      </c>
      <c r="F222" s="62">
        <v>11.709999999999999</v>
      </c>
      <c r="G222" s="1" t="s">
        <v>26</v>
      </c>
      <c r="H222" s="4">
        <f t="shared" si="8"/>
        <v>1.7361111111113825E-4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0.3874074074074112</v>
      </c>
      <c r="D223" s="4">
        <v>0.38756944444444824</v>
      </c>
      <c r="E223" s="2">
        <v>11.629999999999999</v>
      </c>
      <c r="F223" s="62">
        <v>11.739999999999998</v>
      </c>
      <c r="G223" s="1" t="s">
        <v>26</v>
      </c>
      <c r="H223" s="4">
        <f t="shared" si="8"/>
        <v>1.6203703703704386E-4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0.38782407407407787</v>
      </c>
      <c r="D224" s="4">
        <v>0.38796296296296678</v>
      </c>
      <c r="E224" s="2">
        <v>11.629999999999999</v>
      </c>
      <c r="F224" s="62">
        <v>11.649999999999999</v>
      </c>
      <c r="G224" s="1" t="s">
        <v>26</v>
      </c>
      <c r="H224" s="4">
        <f t="shared" si="8"/>
        <v>1.388888888889106E-4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0.38825231481481864</v>
      </c>
      <c r="D225" s="4">
        <v>0.38841435185185569</v>
      </c>
      <c r="E225" s="2">
        <v>11.629999999999999</v>
      </c>
      <c r="F225" s="62">
        <v>11.749999999999998</v>
      </c>
      <c r="G225" s="1" t="s">
        <v>26</v>
      </c>
      <c r="H225" s="4">
        <f t="shared" si="8"/>
        <v>1.6203703703704386E-4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0.38870370370370755</v>
      </c>
      <c r="D226" s="4">
        <v>0.38887731481481869</v>
      </c>
      <c r="E226" s="2">
        <v>11.629999999999999</v>
      </c>
      <c r="F226" s="62">
        <v>11.69</v>
      </c>
      <c r="G226" s="1" t="s">
        <v>26</v>
      </c>
      <c r="H226" s="4">
        <f t="shared" si="8"/>
        <v>1.7361111111113825E-4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0.38916666666667055</v>
      </c>
      <c r="D227" s="4">
        <v>0.3893171296296335</v>
      </c>
      <c r="E227" s="2">
        <v>11.629999999999999</v>
      </c>
      <c r="F227" s="62">
        <v>11.649999999999999</v>
      </c>
      <c r="G227" s="1" t="s">
        <v>26</v>
      </c>
      <c r="H227" s="4">
        <f t="shared" si="8"/>
        <v>1.5046296296294948E-4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0.38956018518518903</v>
      </c>
      <c r="D228" s="4">
        <v>0.38971064814815198</v>
      </c>
      <c r="E228" s="2">
        <v>11.629999999999999</v>
      </c>
      <c r="F228" s="62">
        <v>11.69</v>
      </c>
      <c r="G228" s="1" t="s">
        <v>26</v>
      </c>
      <c r="H228" s="4">
        <f t="shared" si="8"/>
        <v>1.5046296296294948E-4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0.38996527777778162</v>
      </c>
      <c r="D229" s="4">
        <v>0.39010416666667053</v>
      </c>
      <c r="E229" s="2">
        <v>11.629999999999999</v>
      </c>
      <c r="F229" s="62">
        <v>11.77</v>
      </c>
      <c r="G229" s="1" t="s">
        <v>26</v>
      </c>
      <c r="H229" s="4">
        <f t="shared" si="8"/>
        <v>1.388888888889106E-4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0.39034722222222606</v>
      </c>
      <c r="D230" s="4">
        <v>0.39048611111111498</v>
      </c>
      <c r="E230" s="2">
        <v>11.629999999999999</v>
      </c>
      <c r="F230" s="62">
        <v>11.739999999999998</v>
      </c>
      <c r="G230" s="1" t="s">
        <v>26</v>
      </c>
      <c r="H230" s="4">
        <f t="shared" si="8"/>
        <v>1.388888888889106E-4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0.39077546296296684</v>
      </c>
      <c r="D231" s="4">
        <v>0.39094907407407797</v>
      </c>
      <c r="E231" s="2">
        <v>11.629999999999999</v>
      </c>
      <c r="F231" s="62">
        <v>11.729999999999999</v>
      </c>
      <c r="G231" s="1" t="s">
        <v>26</v>
      </c>
      <c r="H231" s="4">
        <f t="shared" si="8"/>
        <v>1.7361111111113825E-4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0.39120370370370761</v>
      </c>
      <c r="D232" s="4">
        <v>0.39137731481481874</v>
      </c>
      <c r="E232" s="2">
        <v>11.629999999999999</v>
      </c>
      <c r="F232" s="62">
        <v>11.709999999999999</v>
      </c>
      <c r="G232" s="1" t="s">
        <v>26</v>
      </c>
      <c r="H232" s="4">
        <f t="shared" si="8"/>
        <v>1.7361111111113825E-4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0.39160879629630024</v>
      </c>
      <c r="D233" s="4">
        <v>0.39174768518518915</v>
      </c>
      <c r="E233" s="2">
        <v>11.629999999999999</v>
      </c>
      <c r="F233" s="62">
        <v>11.749999999999998</v>
      </c>
      <c r="G233" s="1" t="s">
        <v>26</v>
      </c>
      <c r="H233" s="4">
        <f t="shared" si="8"/>
        <v>1.388888888889106E-4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0.39197916666667065</v>
      </c>
      <c r="D234" s="4">
        <v>0.3921296296296336</v>
      </c>
      <c r="E234" s="2">
        <v>11.629999999999999</v>
      </c>
      <c r="F234" s="62">
        <v>11.669999999999998</v>
      </c>
      <c r="G234" s="1" t="s">
        <v>26</v>
      </c>
      <c r="H234" s="4">
        <f t="shared" si="8"/>
        <v>1.5046296296294948E-4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0.39240740740741137</v>
      </c>
      <c r="D235" s="4">
        <v>0.39254629629630028</v>
      </c>
      <c r="E235" s="2">
        <v>11.629999999999999</v>
      </c>
      <c r="F235" s="62">
        <v>11.649999999999999</v>
      </c>
      <c r="G235" s="1" t="s">
        <v>26</v>
      </c>
      <c r="H235" s="4">
        <f t="shared" si="8"/>
        <v>1.388888888889106E-4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0.39278935185185582</v>
      </c>
      <c r="D236" s="4">
        <v>0.39293981481481877</v>
      </c>
      <c r="E236" s="2">
        <v>11.629999999999999</v>
      </c>
      <c r="F236" s="62">
        <v>11.69</v>
      </c>
      <c r="G236" s="1" t="s">
        <v>26</v>
      </c>
      <c r="H236" s="4">
        <f t="shared" si="8"/>
        <v>1.5046296296294948E-4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0.39317129629630027</v>
      </c>
      <c r="D237" s="4">
        <v>0.39332175925926322</v>
      </c>
      <c r="E237" s="2">
        <v>11.629999999999999</v>
      </c>
      <c r="F237" s="62">
        <v>11.77</v>
      </c>
      <c r="G237" s="1" t="s">
        <v>26</v>
      </c>
      <c r="H237" s="4">
        <f t="shared" si="8"/>
        <v>1.5046296296294948E-4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0.39361111111111508</v>
      </c>
      <c r="D238" s="4">
        <v>0.39375000000000399</v>
      </c>
      <c r="E238" s="2">
        <v>11.629999999999999</v>
      </c>
      <c r="F238" s="62">
        <v>11.659999999999998</v>
      </c>
      <c r="G238" s="1" t="s">
        <v>26</v>
      </c>
      <c r="H238" s="4">
        <f t="shared" si="8"/>
        <v>1.388888888889106E-4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0.39403935185185585</v>
      </c>
      <c r="D239" s="4">
        <v>0.3941898148148188</v>
      </c>
      <c r="E239" s="2">
        <v>11.629999999999999</v>
      </c>
      <c r="F239" s="62">
        <v>11.669999999999998</v>
      </c>
      <c r="G239" s="1" t="s">
        <v>26</v>
      </c>
      <c r="H239" s="4">
        <f t="shared" si="8"/>
        <v>1.5046296296294948E-4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0.39446759259259656</v>
      </c>
      <c r="D240" s="4">
        <v>0.39461805555555951</v>
      </c>
      <c r="E240" s="2">
        <v>11.629999999999999</v>
      </c>
      <c r="F240" s="62">
        <v>11.649999999999999</v>
      </c>
      <c r="G240" s="1" t="s">
        <v>26</v>
      </c>
      <c r="H240" s="4">
        <f t="shared" si="8"/>
        <v>1.5046296296294948E-4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0.39490740740741137</v>
      </c>
      <c r="D241" s="4">
        <v>0.39508101851852251</v>
      </c>
      <c r="E241" s="2">
        <v>11.629999999999999</v>
      </c>
      <c r="F241" s="62">
        <v>11.669999999999998</v>
      </c>
      <c r="G241" s="1" t="s">
        <v>26</v>
      </c>
      <c r="H241" s="4">
        <f t="shared" si="8"/>
        <v>1.7361111111113825E-4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0.39537037037037437</v>
      </c>
      <c r="D242" s="4">
        <v>0.39550925925926328</v>
      </c>
      <c r="E242" s="2">
        <v>11.629999999999999</v>
      </c>
      <c r="F242" s="62">
        <v>11.7</v>
      </c>
      <c r="G242" s="1" t="s">
        <v>26</v>
      </c>
      <c r="H242" s="4">
        <f t="shared" si="8"/>
        <v>1.388888888889106E-4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0.39574074074074478</v>
      </c>
      <c r="D243" s="4">
        <v>0.39589120370370773</v>
      </c>
      <c r="E243" s="2">
        <v>11.629999999999999</v>
      </c>
      <c r="F243" s="62">
        <v>11.68</v>
      </c>
      <c r="G243" s="1" t="s">
        <v>26</v>
      </c>
      <c r="H243" s="4">
        <f t="shared" si="8"/>
        <v>1.5046296296294948E-4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0.39616898148148549</v>
      </c>
      <c r="D244" s="4">
        <v>0.3963078703703744</v>
      </c>
      <c r="E244" s="2">
        <v>11.629999999999999</v>
      </c>
      <c r="F244" s="62">
        <v>11.669999999999998</v>
      </c>
      <c r="G244" s="1" t="s">
        <v>26</v>
      </c>
      <c r="H244" s="4">
        <f t="shared" si="8"/>
        <v>1.388888888889106E-4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0.39658564814815217</v>
      </c>
      <c r="D245" s="4">
        <v>0.39673611111111512</v>
      </c>
      <c r="E245" s="2">
        <v>11.629999999999999</v>
      </c>
      <c r="F245" s="62">
        <v>11.639999999999999</v>
      </c>
      <c r="G245" s="1" t="s">
        <v>26</v>
      </c>
      <c r="H245" s="4">
        <f t="shared" si="8"/>
        <v>1.5046296296294948E-4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0.39699074074074475</v>
      </c>
      <c r="D246" s="4">
        <v>0.3971412037037077</v>
      </c>
      <c r="E246" s="2">
        <v>11.629999999999999</v>
      </c>
      <c r="F246" s="62">
        <v>11.7</v>
      </c>
      <c r="G246" s="1" t="s">
        <v>26</v>
      </c>
      <c r="H246" s="4">
        <f t="shared" si="8"/>
        <v>1.5046296296294948E-4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0.39739583333333733</v>
      </c>
      <c r="D247" s="4">
        <v>0.39756944444444847</v>
      </c>
      <c r="E247" s="2">
        <v>11.629999999999999</v>
      </c>
      <c r="F247" s="62">
        <v>11.729999999999999</v>
      </c>
      <c r="G247" s="1" t="s">
        <v>26</v>
      </c>
      <c r="H247" s="4">
        <f t="shared" si="8"/>
        <v>1.7361111111113825E-4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0.39784722222222624</v>
      </c>
      <c r="D248" s="4">
        <v>0.39800925925926328</v>
      </c>
      <c r="E248" s="2">
        <v>11.629999999999999</v>
      </c>
      <c r="F248" s="62">
        <v>11.649999999999999</v>
      </c>
      <c r="G248" s="1" t="s">
        <v>26</v>
      </c>
      <c r="H248" s="4">
        <f t="shared" si="8"/>
        <v>1.6203703703704386E-4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0.39826388888889291</v>
      </c>
      <c r="D249" s="4">
        <v>0.39840277777778182</v>
      </c>
      <c r="E249" s="2">
        <v>11.629999999999999</v>
      </c>
      <c r="F249" s="62">
        <v>11.77</v>
      </c>
      <c r="G249" s="1" t="s">
        <v>26</v>
      </c>
      <c r="H249" s="4">
        <f t="shared" si="8"/>
        <v>1.388888888889106E-4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0.39869212962963368</v>
      </c>
      <c r="D250" s="4">
        <v>0.3988310185185226</v>
      </c>
      <c r="E250" s="2">
        <v>11.629999999999999</v>
      </c>
      <c r="F250" s="62">
        <v>11.729999999999999</v>
      </c>
      <c r="G250" s="1" t="s">
        <v>26</v>
      </c>
      <c r="H250" s="4">
        <f t="shared" si="8"/>
        <v>1.388888888889106E-4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0.39907407407407813</v>
      </c>
      <c r="D251" s="4">
        <v>0.39922453703704108</v>
      </c>
      <c r="E251" s="2">
        <v>11.629999999999999</v>
      </c>
      <c r="F251" s="62">
        <v>11.739999999999998</v>
      </c>
      <c r="G251" s="1" t="s">
        <v>26</v>
      </c>
      <c r="H251" s="4">
        <f t="shared" si="8"/>
        <v>1.5046296296294948E-4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0.39949074074074481</v>
      </c>
      <c r="D252" s="4">
        <v>0.39966435185185595</v>
      </c>
      <c r="E252" s="2">
        <v>11.629999999999999</v>
      </c>
      <c r="F252" s="62">
        <v>11.719999999999999</v>
      </c>
      <c r="G252" s="1" t="s">
        <v>26</v>
      </c>
      <c r="H252" s="4">
        <f t="shared" si="8"/>
        <v>1.7361111111113825E-4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0.39989583333333745</v>
      </c>
      <c r="D253" s="4">
        <v>0.40003472222222636</v>
      </c>
      <c r="E253" s="2">
        <v>11.629999999999999</v>
      </c>
      <c r="F253" s="62">
        <v>11.639999999999999</v>
      </c>
      <c r="G253" s="1" t="s">
        <v>26</v>
      </c>
      <c r="H253" s="4">
        <f t="shared" si="8"/>
        <v>1.388888888889106E-4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0.40032407407407822</v>
      </c>
      <c r="D254" s="4">
        <v>0.40046296296296713</v>
      </c>
      <c r="E254" s="2">
        <v>11.629999999999999</v>
      </c>
      <c r="F254" s="62">
        <v>11.719999999999999</v>
      </c>
      <c r="G254" s="1" t="s">
        <v>26</v>
      </c>
      <c r="H254" s="4">
        <f t="shared" si="8"/>
        <v>1.388888888889106E-4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0.40069444444444863</v>
      </c>
      <c r="D255" s="4">
        <v>0.40086805555555977</v>
      </c>
      <c r="E255" s="2">
        <v>11.629999999999999</v>
      </c>
      <c r="F255" s="62">
        <v>11.729999999999999</v>
      </c>
      <c r="G255" s="1" t="s">
        <v>26</v>
      </c>
      <c r="H255" s="4">
        <f t="shared" si="8"/>
        <v>1.7361111111113825E-4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0.40114583333333753</v>
      </c>
      <c r="D256" s="4">
        <v>0.40129629629630048</v>
      </c>
      <c r="E256" s="2">
        <v>11.629999999999999</v>
      </c>
      <c r="F256" s="62">
        <v>11.78</v>
      </c>
      <c r="G256" s="1" t="s">
        <v>26</v>
      </c>
      <c r="H256" s="4">
        <f t="shared" si="8"/>
        <v>1.5046296296294948E-4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0.40157407407407825</v>
      </c>
      <c r="D257" s="4">
        <v>0.40174768518518938</v>
      </c>
      <c r="E257" s="2">
        <v>11.629999999999999</v>
      </c>
      <c r="F257" s="62">
        <v>11.649999999999999</v>
      </c>
      <c r="G257" s="1" t="s">
        <v>26</v>
      </c>
      <c r="H257" s="4">
        <f t="shared" si="8"/>
        <v>1.7361111111113825E-4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0.40201388888889311</v>
      </c>
      <c r="D258" s="4">
        <v>0.40216435185185606</v>
      </c>
      <c r="E258" s="2">
        <v>11.629999999999999</v>
      </c>
      <c r="F258" s="62">
        <v>11.669999999999998</v>
      </c>
      <c r="G258" s="1" t="s">
        <v>26</v>
      </c>
      <c r="H258" s="4">
        <f t="shared" si="8"/>
        <v>1.5046296296294948E-4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0.40243055555555979</v>
      </c>
      <c r="D259" s="4">
        <v>0.40258101851852274</v>
      </c>
      <c r="E259" s="2">
        <v>11.629999999999999</v>
      </c>
      <c r="F259" s="62">
        <v>11.669999999999998</v>
      </c>
      <c r="G259" s="1" t="s">
        <v>26</v>
      </c>
      <c r="H259" s="4">
        <f t="shared" si="8"/>
        <v>1.5046296296294948E-4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0.40284722222222646</v>
      </c>
      <c r="D260" s="4">
        <v>0.40300925925926351</v>
      </c>
      <c r="E260" s="2">
        <v>11.629999999999999</v>
      </c>
      <c r="F260" s="62">
        <v>11.729999999999999</v>
      </c>
      <c r="G260" s="1" t="s">
        <v>26</v>
      </c>
      <c r="H260" s="4">
        <f t="shared" si="8"/>
        <v>1.6203703703704386E-4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0.40327546296296723</v>
      </c>
      <c r="D261" s="4">
        <v>0.40341435185185615</v>
      </c>
      <c r="E261" s="2">
        <v>11.629999999999999</v>
      </c>
      <c r="F261" s="62">
        <v>11.749999999999998</v>
      </c>
      <c r="G261" s="1" t="s">
        <v>26</v>
      </c>
      <c r="H261" s="4">
        <f t="shared" si="8"/>
        <v>1.388888888889106E-4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0.40368055555555987</v>
      </c>
      <c r="D262" s="4">
        <v>0.40383101851852282</v>
      </c>
      <c r="E262" s="2">
        <v>11.629999999999999</v>
      </c>
      <c r="F262" s="62">
        <v>11.649999999999999</v>
      </c>
      <c r="G262" s="1" t="s">
        <v>26</v>
      </c>
      <c r="H262" s="4">
        <f t="shared" si="8"/>
        <v>1.5046296296294948E-4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0.40407407407407836</v>
      </c>
      <c r="D263" s="4">
        <v>0.4042361111111154</v>
      </c>
      <c r="E263" s="2">
        <v>11.629999999999999</v>
      </c>
      <c r="F263" s="62">
        <v>11.7</v>
      </c>
      <c r="G263" s="1" t="s">
        <v>26</v>
      </c>
      <c r="H263" s="4">
        <f t="shared" si="8"/>
        <v>1.6203703703704386E-4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0.40449074074074504</v>
      </c>
      <c r="D264" s="4">
        <v>0.40464120370370799</v>
      </c>
      <c r="E264" s="2">
        <v>11.629999999999999</v>
      </c>
      <c r="F264" s="62">
        <v>11.669999999999998</v>
      </c>
      <c r="G264" s="1" t="s">
        <v>26</v>
      </c>
      <c r="H264" s="4">
        <f t="shared" si="8"/>
        <v>1.5046296296294948E-4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0.40489583333333762</v>
      </c>
      <c r="D265" s="4">
        <v>0.40506944444444876</v>
      </c>
      <c r="E265" s="2">
        <v>11.629999999999999</v>
      </c>
      <c r="F265" s="62">
        <v>11.76</v>
      </c>
      <c r="G265" s="1" t="s">
        <v>26</v>
      </c>
      <c r="H265" s="4">
        <f t="shared" si="8"/>
        <v>1.7361111111113825E-4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0.40535879629630062</v>
      </c>
      <c r="D266" s="4">
        <v>0.40552083333333766</v>
      </c>
      <c r="E266" s="2">
        <v>11.629999999999999</v>
      </c>
      <c r="F266" s="62">
        <v>11.639999999999999</v>
      </c>
      <c r="G266" s="1" t="s">
        <v>26</v>
      </c>
      <c r="H266" s="4">
        <f t="shared" si="8"/>
        <v>1.6203703703704386E-4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0.4057638888888932</v>
      </c>
      <c r="D267" s="4">
        <v>0.40593750000000434</v>
      </c>
      <c r="E267" s="2">
        <v>11.629999999999999</v>
      </c>
      <c r="F267" s="62">
        <v>11.69</v>
      </c>
      <c r="G267" s="1" t="s">
        <v>26</v>
      </c>
      <c r="H267" s="4">
        <f t="shared" ref="H267:H330" si="11">D267-C267</f>
        <v>1.7361111111113825E-4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0.4062152777777821</v>
      </c>
      <c r="D268" s="4">
        <v>0.40637731481481915</v>
      </c>
      <c r="E268" s="2">
        <v>11.629999999999999</v>
      </c>
      <c r="F268" s="62">
        <v>11.709999999999999</v>
      </c>
      <c r="G268" s="1" t="s">
        <v>26</v>
      </c>
      <c r="H268" s="4">
        <f t="shared" si="11"/>
        <v>1.6203703703704386E-4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0.40664351851852287</v>
      </c>
      <c r="D269" s="4">
        <v>0.40680555555555992</v>
      </c>
      <c r="E269" s="2">
        <v>11.629999999999999</v>
      </c>
      <c r="F269" s="62">
        <v>11.649999999999999</v>
      </c>
      <c r="G269" s="1" t="s">
        <v>26</v>
      </c>
      <c r="H269" s="4">
        <f t="shared" si="11"/>
        <v>1.6203703703704386E-4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0.40703703703704142</v>
      </c>
      <c r="D270" s="4">
        <v>0.40717592592593033</v>
      </c>
      <c r="E270" s="2">
        <v>11.629999999999999</v>
      </c>
      <c r="F270" s="62">
        <v>11.669999999999998</v>
      </c>
      <c r="G270" s="1" t="s">
        <v>26</v>
      </c>
      <c r="H270" s="4">
        <f t="shared" si="11"/>
        <v>1.388888888889106E-4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0.40740740740741183</v>
      </c>
      <c r="D271" s="4">
        <v>0.40756944444444887</v>
      </c>
      <c r="E271" s="2">
        <v>11.629999999999999</v>
      </c>
      <c r="F271" s="62">
        <v>11.659999999999998</v>
      </c>
      <c r="G271" s="1" t="s">
        <v>26</v>
      </c>
      <c r="H271" s="4">
        <f t="shared" si="11"/>
        <v>1.6203703703704386E-4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0.40785879629630073</v>
      </c>
      <c r="D272" s="4">
        <v>0.40803240740741187</v>
      </c>
      <c r="E272" s="2">
        <v>11.629999999999999</v>
      </c>
      <c r="F272" s="62">
        <v>11.78</v>
      </c>
      <c r="G272" s="1" t="s">
        <v>26</v>
      </c>
      <c r="H272" s="4">
        <f t="shared" si="11"/>
        <v>1.7361111111113825E-4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0.40831018518518963</v>
      </c>
      <c r="D273" s="4">
        <v>0.40844907407407854</v>
      </c>
      <c r="E273" s="2">
        <v>11.629999999999999</v>
      </c>
      <c r="F273" s="62">
        <v>11.77</v>
      </c>
      <c r="G273" s="1" t="s">
        <v>26</v>
      </c>
      <c r="H273" s="4">
        <f t="shared" si="11"/>
        <v>1.388888888889106E-4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0.4087384259259304</v>
      </c>
      <c r="D274" s="4">
        <v>0.40887731481481931</v>
      </c>
      <c r="E274" s="2">
        <v>11.629999999999999</v>
      </c>
      <c r="F274" s="62">
        <v>11.77</v>
      </c>
      <c r="G274" s="1" t="s">
        <v>26</v>
      </c>
      <c r="H274" s="4">
        <f t="shared" si="11"/>
        <v>1.388888888889106E-4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0.40915509259259708</v>
      </c>
      <c r="D275" s="4">
        <v>0.40932870370370822</v>
      </c>
      <c r="E275" s="2">
        <v>11.629999999999999</v>
      </c>
      <c r="F275" s="62">
        <v>11.69</v>
      </c>
      <c r="G275" s="1" t="s">
        <v>26</v>
      </c>
      <c r="H275" s="4">
        <f t="shared" si="11"/>
        <v>1.7361111111113825E-4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0.40960648148148598</v>
      </c>
      <c r="D276" s="4">
        <v>0.4097453703703749</v>
      </c>
      <c r="E276" s="2">
        <v>11.629999999999999</v>
      </c>
      <c r="F276" s="62">
        <v>11.669999999999998</v>
      </c>
      <c r="G276" s="1" t="s">
        <v>26</v>
      </c>
      <c r="H276" s="4">
        <f t="shared" si="11"/>
        <v>1.388888888889106E-4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0.41000000000000453</v>
      </c>
      <c r="D277" s="4">
        <v>0.41013888888889344</v>
      </c>
      <c r="E277" s="2">
        <v>11.629999999999999</v>
      </c>
      <c r="F277" s="62">
        <v>11.659999999999998</v>
      </c>
      <c r="G277" s="1" t="s">
        <v>26</v>
      </c>
      <c r="H277" s="4">
        <f t="shared" si="11"/>
        <v>1.388888888889106E-4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0.4104282407407453</v>
      </c>
      <c r="D278" s="4">
        <v>0.41057870370370825</v>
      </c>
      <c r="E278" s="2">
        <v>11.629999999999999</v>
      </c>
      <c r="F278" s="62">
        <v>11.739999999999998</v>
      </c>
      <c r="G278" s="1" t="s">
        <v>26</v>
      </c>
      <c r="H278" s="4">
        <f t="shared" si="11"/>
        <v>1.5046296296294948E-4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0.41086805555556011</v>
      </c>
      <c r="D279" s="4">
        <v>0.41100694444444902</v>
      </c>
      <c r="E279" s="2">
        <v>11.629999999999999</v>
      </c>
      <c r="F279" s="62">
        <v>11.76</v>
      </c>
      <c r="G279" s="1" t="s">
        <v>26</v>
      </c>
      <c r="H279" s="4">
        <f t="shared" si="11"/>
        <v>1.388888888889106E-4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0.41127314814815275</v>
      </c>
      <c r="D280" s="4">
        <v>0.41142361111111569</v>
      </c>
      <c r="E280" s="2">
        <v>11.629999999999999</v>
      </c>
      <c r="F280" s="62">
        <v>11.659999999999998</v>
      </c>
      <c r="G280" s="1" t="s">
        <v>26</v>
      </c>
      <c r="H280" s="4">
        <f t="shared" si="11"/>
        <v>1.5046296296294948E-4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0.41171296296296755</v>
      </c>
      <c r="D281" s="4">
        <v>0.4118750000000046</v>
      </c>
      <c r="E281" s="2">
        <v>11.629999999999999</v>
      </c>
      <c r="F281" s="62">
        <v>11.669999999999998</v>
      </c>
      <c r="G281" s="1" t="s">
        <v>26</v>
      </c>
      <c r="H281" s="4">
        <f t="shared" si="11"/>
        <v>1.6203703703704386E-4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0.41215277777778236</v>
      </c>
      <c r="D282" s="4">
        <v>0.4123263888888935</v>
      </c>
      <c r="E282" s="2">
        <v>11.629999999999999</v>
      </c>
      <c r="F282" s="62">
        <v>11.69</v>
      </c>
      <c r="G282" s="1" t="s">
        <v>26</v>
      </c>
      <c r="H282" s="4">
        <f t="shared" si="11"/>
        <v>1.7361111111113825E-4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0.41260416666667127</v>
      </c>
      <c r="D283" s="4">
        <v>0.41275462962963422</v>
      </c>
      <c r="E283" s="2">
        <v>11.629999999999999</v>
      </c>
      <c r="F283" s="62">
        <v>11.719999999999999</v>
      </c>
      <c r="G283" s="1" t="s">
        <v>26</v>
      </c>
      <c r="H283" s="4">
        <f t="shared" si="11"/>
        <v>1.5046296296294948E-4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0.41304398148148608</v>
      </c>
      <c r="D284" s="4">
        <v>0.41319444444444903</v>
      </c>
      <c r="E284" s="2">
        <v>11.629999999999999</v>
      </c>
      <c r="F284" s="62">
        <v>11.659999999999998</v>
      </c>
      <c r="G284" s="1" t="s">
        <v>26</v>
      </c>
      <c r="H284" s="4">
        <f t="shared" si="11"/>
        <v>1.5046296296294948E-4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0.41348379629630089</v>
      </c>
      <c r="D285" s="4">
        <v>0.41364583333333793</v>
      </c>
      <c r="E285" s="2">
        <v>11.629999999999999</v>
      </c>
      <c r="F285" s="62">
        <v>11.69</v>
      </c>
      <c r="G285" s="1" t="s">
        <v>26</v>
      </c>
      <c r="H285" s="4">
        <f t="shared" si="11"/>
        <v>1.6203703703704386E-4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0.41387731481481943</v>
      </c>
      <c r="D286" s="4">
        <v>0.41402777777778238</v>
      </c>
      <c r="E286" s="2">
        <v>11.629999999999999</v>
      </c>
      <c r="F286" s="62">
        <v>11.739999999999998</v>
      </c>
      <c r="G286" s="1" t="s">
        <v>26</v>
      </c>
      <c r="H286" s="4">
        <f t="shared" si="11"/>
        <v>1.5046296296294948E-4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0.41429398148148611</v>
      </c>
      <c r="D287" s="4">
        <v>0.41444444444444906</v>
      </c>
      <c r="E287" s="2">
        <v>11.629999999999999</v>
      </c>
      <c r="F287" s="62">
        <v>11.7</v>
      </c>
      <c r="G287" s="1" t="s">
        <v>26</v>
      </c>
      <c r="H287" s="4">
        <f t="shared" si="11"/>
        <v>1.5046296296294948E-4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0.41471064814815278</v>
      </c>
      <c r="D288" s="4">
        <v>0.41488425925926392</v>
      </c>
      <c r="E288" s="2">
        <v>11.629999999999999</v>
      </c>
      <c r="F288" s="62">
        <v>11.749999999999998</v>
      </c>
      <c r="G288" s="1" t="s">
        <v>26</v>
      </c>
      <c r="H288" s="4">
        <f t="shared" si="11"/>
        <v>1.7361111111113825E-4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0.41513888888889355</v>
      </c>
      <c r="D289" s="4">
        <v>0.4152893518518565</v>
      </c>
      <c r="E289" s="2">
        <v>11.629999999999999</v>
      </c>
      <c r="F289" s="62">
        <v>11.7</v>
      </c>
      <c r="G289" s="1" t="s">
        <v>26</v>
      </c>
      <c r="H289" s="4">
        <f t="shared" si="11"/>
        <v>1.5046296296294948E-4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0.415520833333338</v>
      </c>
      <c r="D290" s="4">
        <v>0.41567129629630095</v>
      </c>
      <c r="E290" s="2">
        <v>11.629999999999999</v>
      </c>
      <c r="F290" s="62">
        <v>11.649999999999999</v>
      </c>
      <c r="G290" s="1" t="s">
        <v>26</v>
      </c>
      <c r="H290" s="4">
        <f t="shared" si="11"/>
        <v>1.5046296296294948E-4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0.41592592592593058</v>
      </c>
      <c r="D291" s="4">
        <v>0.41609953703704172</v>
      </c>
      <c r="E291" s="2">
        <v>11.629999999999999</v>
      </c>
      <c r="F291" s="62">
        <v>11.669999999999998</v>
      </c>
      <c r="G291" s="1" t="s">
        <v>26</v>
      </c>
      <c r="H291" s="4">
        <f t="shared" si="11"/>
        <v>1.7361111111113825E-4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0.41635416666667135</v>
      </c>
      <c r="D292" s="4">
        <v>0.41649305555556027</v>
      </c>
      <c r="E292" s="2">
        <v>11.629999999999999</v>
      </c>
      <c r="F292" s="62">
        <v>11.739999999999998</v>
      </c>
      <c r="G292" s="1" t="s">
        <v>26</v>
      </c>
      <c r="H292" s="4">
        <f t="shared" si="11"/>
        <v>1.388888888889106E-4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0.41678240740741213</v>
      </c>
      <c r="D293" s="4">
        <v>0.41695601851852326</v>
      </c>
      <c r="E293" s="2">
        <v>11.629999999999999</v>
      </c>
      <c r="F293" s="62">
        <v>11.76</v>
      </c>
      <c r="G293" s="1" t="s">
        <v>26</v>
      </c>
      <c r="H293" s="4">
        <f t="shared" si="11"/>
        <v>1.7361111111113825E-4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0.41718750000000476</v>
      </c>
      <c r="D294" s="4">
        <v>0.41732638888889367</v>
      </c>
      <c r="E294" s="2">
        <v>11.629999999999999</v>
      </c>
      <c r="F294" s="62">
        <v>11.749999999999998</v>
      </c>
      <c r="G294" s="1" t="s">
        <v>26</v>
      </c>
      <c r="H294" s="4">
        <f t="shared" si="11"/>
        <v>1.388888888889106E-4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0.41755787037037517</v>
      </c>
      <c r="D295" s="4">
        <v>0.41769675925926408</v>
      </c>
      <c r="E295" s="2">
        <v>11.629999999999999</v>
      </c>
      <c r="F295" s="62">
        <v>11.749999999999998</v>
      </c>
      <c r="G295" s="1" t="s">
        <v>26</v>
      </c>
      <c r="H295" s="4">
        <f t="shared" si="11"/>
        <v>1.388888888889106E-4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0.41798611111111594</v>
      </c>
      <c r="D296" s="4">
        <v>0.41814814814815299</v>
      </c>
      <c r="E296" s="2">
        <v>11.629999999999999</v>
      </c>
      <c r="F296" s="62">
        <v>11.69</v>
      </c>
      <c r="G296" s="1" t="s">
        <v>26</v>
      </c>
      <c r="H296" s="4">
        <f t="shared" si="11"/>
        <v>1.6203703703704386E-4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0.41840277777778262</v>
      </c>
      <c r="D297" s="4">
        <v>0.41857638888889376</v>
      </c>
      <c r="E297" s="2">
        <v>11.629999999999999</v>
      </c>
      <c r="F297" s="62">
        <v>11.76</v>
      </c>
      <c r="G297" s="1" t="s">
        <v>26</v>
      </c>
      <c r="H297" s="4">
        <f t="shared" si="11"/>
        <v>1.7361111111113825E-4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0.41884259259259748</v>
      </c>
      <c r="D298" s="4">
        <v>0.41900462962963453</v>
      </c>
      <c r="E298" s="2">
        <v>11.629999999999999</v>
      </c>
      <c r="F298" s="62">
        <v>11.68</v>
      </c>
      <c r="G298" s="1" t="s">
        <v>26</v>
      </c>
      <c r="H298" s="4">
        <f t="shared" si="11"/>
        <v>1.6203703703704386E-4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0.41928240740741229</v>
      </c>
      <c r="D299" s="4">
        <v>0.4194212962963012</v>
      </c>
      <c r="E299" s="2">
        <v>11.629999999999999</v>
      </c>
      <c r="F299" s="62">
        <v>11.729999999999999</v>
      </c>
      <c r="G299" s="1" t="s">
        <v>26</v>
      </c>
      <c r="H299" s="4">
        <f t="shared" si="11"/>
        <v>1.388888888889106E-4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0.4196527777777827</v>
      </c>
      <c r="D300" s="4">
        <v>0.41982638888889384</v>
      </c>
      <c r="E300" s="2">
        <v>11.629999999999999</v>
      </c>
      <c r="F300" s="62">
        <v>11.68</v>
      </c>
      <c r="G300" s="1" t="s">
        <v>26</v>
      </c>
      <c r="H300" s="4">
        <f t="shared" si="11"/>
        <v>1.7361111111113825E-4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0.4201157407407457</v>
      </c>
      <c r="D301" s="4">
        <v>0.42026620370370865</v>
      </c>
      <c r="E301" s="2">
        <v>11.629999999999999</v>
      </c>
      <c r="F301" s="62">
        <v>11.709999999999999</v>
      </c>
      <c r="G301" s="1" t="s">
        <v>26</v>
      </c>
      <c r="H301" s="4">
        <f t="shared" si="11"/>
        <v>1.5046296296294948E-4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0.42055555555556051</v>
      </c>
      <c r="D302" s="4">
        <v>0.42072916666667165</v>
      </c>
      <c r="E302" s="2">
        <v>11.629999999999999</v>
      </c>
      <c r="F302" s="62">
        <v>11.709999999999999</v>
      </c>
      <c r="G302" s="1" t="s">
        <v>26</v>
      </c>
      <c r="H302" s="4">
        <f t="shared" si="11"/>
        <v>1.7361111111113825E-4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0.42099537037037538</v>
      </c>
      <c r="D303" s="4">
        <v>0.42114583333333833</v>
      </c>
      <c r="E303" s="2">
        <v>11.629999999999999</v>
      </c>
      <c r="F303" s="62">
        <v>11.729999999999999</v>
      </c>
      <c r="G303" s="1" t="s">
        <v>26</v>
      </c>
      <c r="H303" s="4">
        <f t="shared" si="11"/>
        <v>1.5046296296294948E-4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0.42138888888889386</v>
      </c>
      <c r="D304" s="4">
        <v>0.42152777777778278</v>
      </c>
      <c r="E304" s="2">
        <v>11.629999999999999</v>
      </c>
      <c r="F304" s="62">
        <v>11.78</v>
      </c>
      <c r="G304" s="1" t="s">
        <v>26</v>
      </c>
      <c r="H304" s="4">
        <f t="shared" si="11"/>
        <v>1.388888888889106E-4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0.42181712962963464</v>
      </c>
      <c r="D305" s="4">
        <v>0.42199074074074577</v>
      </c>
      <c r="E305" s="2">
        <v>11.629999999999999</v>
      </c>
      <c r="F305" s="62">
        <v>11.639999999999999</v>
      </c>
      <c r="G305" s="1" t="s">
        <v>26</v>
      </c>
      <c r="H305" s="4">
        <f t="shared" si="11"/>
        <v>1.7361111111113825E-4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0.42223379629630131</v>
      </c>
      <c r="D306" s="4">
        <v>0.42238425925926426</v>
      </c>
      <c r="E306" s="2">
        <v>11.629999999999999</v>
      </c>
      <c r="F306" s="62">
        <v>11.78</v>
      </c>
      <c r="G306" s="1" t="s">
        <v>26</v>
      </c>
      <c r="H306" s="4">
        <f t="shared" si="11"/>
        <v>1.5046296296294948E-4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0.42266203703704203</v>
      </c>
      <c r="D307" s="4">
        <v>0.42280092592593094</v>
      </c>
      <c r="E307" s="2">
        <v>11.629999999999999</v>
      </c>
      <c r="F307" s="62">
        <v>11.68</v>
      </c>
      <c r="G307" s="1" t="s">
        <v>26</v>
      </c>
      <c r="H307" s="4">
        <f t="shared" si="11"/>
        <v>1.388888888889106E-4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0.42303240740741244</v>
      </c>
      <c r="D308" s="4">
        <v>0.42319444444444948</v>
      </c>
      <c r="E308" s="2">
        <v>11.629999999999999</v>
      </c>
      <c r="F308" s="62">
        <v>11.719999999999999</v>
      </c>
      <c r="G308" s="1" t="s">
        <v>26</v>
      </c>
      <c r="H308" s="4">
        <f t="shared" si="11"/>
        <v>1.6203703703704386E-4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0.42347222222222725</v>
      </c>
      <c r="D309" s="4">
        <v>0.42363425925926429</v>
      </c>
      <c r="E309" s="2">
        <v>11.629999999999999</v>
      </c>
      <c r="F309" s="62">
        <v>11.77</v>
      </c>
      <c r="G309" s="1" t="s">
        <v>26</v>
      </c>
      <c r="H309" s="4">
        <f t="shared" si="11"/>
        <v>1.6203703703704386E-4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0.42392361111111615</v>
      </c>
      <c r="D310" s="4">
        <v>0.42409722222222729</v>
      </c>
      <c r="E310" s="2">
        <v>11.629999999999999</v>
      </c>
      <c r="F310" s="62">
        <v>11.69</v>
      </c>
      <c r="G310" s="1" t="s">
        <v>26</v>
      </c>
      <c r="H310" s="4">
        <f t="shared" si="11"/>
        <v>1.7361111111113825E-4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0.42438657407407915</v>
      </c>
      <c r="D311" s="4">
        <v>0.42456018518519029</v>
      </c>
      <c r="E311" s="2">
        <v>11.629999999999999</v>
      </c>
      <c r="F311" s="62">
        <v>11.749999999999998</v>
      </c>
      <c r="G311" s="1" t="s">
        <v>26</v>
      </c>
      <c r="H311" s="4">
        <f t="shared" si="11"/>
        <v>1.7361111111113825E-4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0.42482638888889401</v>
      </c>
      <c r="D312" s="4">
        <v>0.42500000000000515</v>
      </c>
      <c r="E312" s="2">
        <v>11.629999999999999</v>
      </c>
      <c r="F312" s="62">
        <v>11.739999999999998</v>
      </c>
      <c r="G312" s="1" t="s">
        <v>26</v>
      </c>
      <c r="H312" s="4">
        <f t="shared" si="11"/>
        <v>1.7361111111113825E-4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0.42525462962963478</v>
      </c>
      <c r="D313" s="4">
        <v>0.42542824074074592</v>
      </c>
      <c r="E313" s="2">
        <v>11.629999999999999</v>
      </c>
      <c r="F313" s="62">
        <v>11.639999999999999</v>
      </c>
      <c r="G313" s="1" t="s">
        <v>26</v>
      </c>
      <c r="H313" s="4">
        <f t="shared" si="11"/>
        <v>1.7361111111113825E-4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0.42567129629630146</v>
      </c>
      <c r="D314" s="4">
        <v>0.4258449074074126</v>
      </c>
      <c r="E314" s="2">
        <v>11.629999999999999</v>
      </c>
      <c r="F314" s="62">
        <v>11.709999999999999</v>
      </c>
      <c r="G314" s="1" t="s">
        <v>26</v>
      </c>
      <c r="H314" s="4">
        <f t="shared" si="11"/>
        <v>1.7361111111113825E-4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0.42613425925926446</v>
      </c>
      <c r="D315" s="4">
        <v>0.4263078703703756</v>
      </c>
      <c r="E315" s="2">
        <v>11.629999999999999</v>
      </c>
      <c r="F315" s="62">
        <v>11.729999999999999</v>
      </c>
      <c r="G315" s="1" t="s">
        <v>26</v>
      </c>
      <c r="H315" s="4">
        <f t="shared" si="11"/>
        <v>1.7361111111113825E-4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0.42657407407407932</v>
      </c>
      <c r="D316" s="4">
        <v>0.42672453703704227</v>
      </c>
      <c r="E316" s="2">
        <v>11.629999999999999</v>
      </c>
      <c r="F316" s="62">
        <v>11.709999999999999</v>
      </c>
      <c r="G316" s="1" t="s">
        <v>26</v>
      </c>
      <c r="H316" s="4">
        <f t="shared" si="11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0.42700231481482004</v>
      </c>
      <c r="D317" s="4">
        <v>0.42714120370370895</v>
      </c>
      <c r="E317" s="2">
        <v>11.629999999999999</v>
      </c>
      <c r="F317" s="62">
        <v>11.739999999999998</v>
      </c>
      <c r="G317" s="1" t="s">
        <v>26</v>
      </c>
      <c r="H317" s="4">
        <f t="shared" si="11"/>
        <v>1.388888888889106E-4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0.42741898148148671</v>
      </c>
      <c r="D318" s="4">
        <v>0.42759259259259785</v>
      </c>
      <c r="E318" s="2">
        <v>11.629999999999999</v>
      </c>
      <c r="F318" s="62">
        <v>11.77</v>
      </c>
      <c r="G318" s="1" t="s">
        <v>26</v>
      </c>
      <c r="H318" s="4">
        <f t="shared" si="11"/>
        <v>1.7361111111113825E-4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0.42782407407407935</v>
      </c>
      <c r="D319" s="4">
        <v>0.4279861111111164</v>
      </c>
      <c r="E319" s="2">
        <v>11.629999999999999</v>
      </c>
      <c r="F319" s="62">
        <v>11.68</v>
      </c>
      <c r="G319" s="1" t="s">
        <v>26</v>
      </c>
      <c r="H319" s="4">
        <f t="shared" si="11"/>
        <v>1.6203703703704386E-4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0.42827546296296826</v>
      </c>
      <c r="D320" s="4">
        <v>0.42844907407407939</v>
      </c>
      <c r="E320" s="2">
        <v>11.629999999999999</v>
      </c>
      <c r="F320" s="62">
        <v>11.669999999999998</v>
      </c>
      <c r="G320" s="1" t="s">
        <v>26</v>
      </c>
      <c r="H320" s="4">
        <f t="shared" si="11"/>
        <v>1.7361111111113825E-4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0.42871527777778312</v>
      </c>
      <c r="D321" s="4">
        <v>0.42885416666667203</v>
      </c>
      <c r="E321" s="2">
        <v>11.629999999999999</v>
      </c>
      <c r="F321" s="62">
        <v>11.719999999999999</v>
      </c>
      <c r="G321" s="1" t="s">
        <v>26</v>
      </c>
      <c r="H321" s="4">
        <f t="shared" si="11"/>
        <v>1.388888888889106E-4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0.4291319444444498</v>
      </c>
      <c r="D322" s="4">
        <v>0.42928240740741275</v>
      </c>
      <c r="E322" s="2">
        <v>11.629999999999999</v>
      </c>
      <c r="F322" s="62">
        <v>11.639999999999999</v>
      </c>
      <c r="G322" s="1" t="s">
        <v>26</v>
      </c>
      <c r="H322" s="4">
        <f t="shared" si="11"/>
        <v>1.5046296296294948E-4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0.42951388888889425</v>
      </c>
      <c r="D323" s="4">
        <v>0.42965277777778316</v>
      </c>
      <c r="E323" s="2">
        <v>11.629999999999999</v>
      </c>
      <c r="F323" s="62">
        <v>11.68</v>
      </c>
      <c r="G323" s="1" t="s">
        <v>26</v>
      </c>
      <c r="H323" s="4">
        <f t="shared" si="11"/>
        <v>1.388888888889106E-4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0.42990740740741279</v>
      </c>
      <c r="D324" s="4">
        <v>0.43005787037037574</v>
      </c>
      <c r="E324" s="2">
        <v>11.629999999999999</v>
      </c>
      <c r="F324" s="62">
        <v>11.69</v>
      </c>
      <c r="G324" s="1" t="s">
        <v>26</v>
      </c>
      <c r="H324" s="4">
        <f t="shared" si="11"/>
        <v>1.5046296296294948E-4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0.43031250000000537</v>
      </c>
      <c r="D325" s="4">
        <v>0.43048611111111651</v>
      </c>
      <c r="E325" s="2">
        <v>11.629999999999999</v>
      </c>
      <c r="F325" s="62">
        <v>11.729999999999999</v>
      </c>
      <c r="G325" s="1" t="s">
        <v>26</v>
      </c>
      <c r="H325" s="4">
        <f t="shared" si="11"/>
        <v>1.7361111111113825E-4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0.43071759259259801</v>
      </c>
      <c r="D326" s="4">
        <v>0.43087962962963505</v>
      </c>
      <c r="E326" s="2">
        <v>11.629999999999999</v>
      </c>
      <c r="F326" s="62">
        <v>11.649999999999999</v>
      </c>
      <c r="G326" s="1" t="s">
        <v>26</v>
      </c>
      <c r="H326" s="4">
        <f t="shared" si="11"/>
        <v>1.6203703703704386E-4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0.43113425925926468</v>
      </c>
      <c r="D327" s="4">
        <v>0.43128472222222763</v>
      </c>
      <c r="E327" s="2">
        <v>11.629999999999999</v>
      </c>
      <c r="F327" s="62">
        <v>11.77</v>
      </c>
      <c r="G327" s="1" t="s">
        <v>26</v>
      </c>
      <c r="H327" s="4">
        <f t="shared" si="11"/>
        <v>1.5046296296294948E-4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0.43155092592593136</v>
      </c>
      <c r="D328" s="4">
        <v>0.43170138888889431</v>
      </c>
      <c r="E328" s="2">
        <v>11.629999999999999</v>
      </c>
      <c r="F328" s="62">
        <v>11.729999999999999</v>
      </c>
      <c r="G328" s="1" t="s">
        <v>26</v>
      </c>
      <c r="H328" s="4">
        <f t="shared" si="11"/>
        <v>1.5046296296294948E-4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0.43193287037037581</v>
      </c>
      <c r="D329" s="4">
        <v>0.43208333333333876</v>
      </c>
      <c r="E329" s="2">
        <v>11.629999999999999</v>
      </c>
      <c r="F329" s="62">
        <v>11.739999999999998</v>
      </c>
      <c r="G329" s="1" t="s">
        <v>26</v>
      </c>
      <c r="H329" s="4">
        <f t="shared" si="11"/>
        <v>1.5046296296294948E-4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0.43234953703704249</v>
      </c>
      <c r="D330" s="4">
        <v>0.4324884259259314</v>
      </c>
      <c r="E330" s="2">
        <v>11.629999999999999</v>
      </c>
      <c r="F330" s="62">
        <v>11.709999999999999</v>
      </c>
      <c r="G330" s="1" t="s">
        <v>26</v>
      </c>
      <c r="H330" s="4">
        <f t="shared" si="11"/>
        <v>1.388888888889106E-4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0.43273148148148693</v>
      </c>
      <c r="D331" s="4">
        <v>0.43287037037037585</v>
      </c>
      <c r="E331" s="2">
        <v>11.629999999999999</v>
      </c>
      <c r="F331" s="62">
        <v>11.639999999999999</v>
      </c>
      <c r="G331" s="1" t="s">
        <v>26</v>
      </c>
      <c r="H331" s="4">
        <f t="shared" ref="H331:H394" si="19">D331-C331</f>
        <v>1.388888888889106E-4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4">
        <v>0.43312500000000548</v>
      </c>
      <c r="D332" s="4">
        <v>0.43329861111111662</v>
      </c>
      <c r="E332" s="2">
        <v>11.629999999999999</v>
      </c>
      <c r="F332" s="62">
        <v>11.639999999999999</v>
      </c>
      <c r="G332" s="1" t="s">
        <v>26</v>
      </c>
      <c r="H332" s="4">
        <f t="shared" si="19"/>
        <v>1.7361111111113825E-4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0.43357638888889438</v>
      </c>
      <c r="D333" s="4">
        <v>0.43375000000000552</v>
      </c>
      <c r="E333" s="2">
        <v>11.629999999999999</v>
      </c>
      <c r="F333" s="62">
        <v>11.739999999999998</v>
      </c>
      <c r="G333" s="1" t="s">
        <v>26</v>
      </c>
      <c r="H333" s="4">
        <f t="shared" si="19"/>
        <v>1.7361111111113825E-4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0.43400462962963515</v>
      </c>
      <c r="D334" s="4">
        <v>0.4341550925925981</v>
      </c>
      <c r="E334" s="2">
        <v>11.629999999999999</v>
      </c>
      <c r="F334" s="62">
        <v>11.739999999999998</v>
      </c>
      <c r="G334" s="1" t="s">
        <v>26</v>
      </c>
      <c r="H334" s="4">
        <f t="shared" si="19"/>
        <v>1.5046296296294948E-4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0.43443287037037587</v>
      </c>
      <c r="D335" s="4">
        <v>0.43457175925926478</v>
      </c>
      <c r="E335" s="2">
        <v>11.629999999999999</v>
      </c>
      <c r="F335" s="62">
        <v>11.639999999999999</v>
      </c>
      <c r="G335" s="1" t="s">
        <v>26</v>
      </c>
      <c r="H335" s="4">
        <f t="shared" si="19"/>
        <v>1.388888888889106E-4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0.43486111111111664</v>
      </c>
      <c r="D336" s="4">
        <v>0.43500000000000555</v>
      </c>
      <c r="E336" s="2">
        <v>11.629999999999999</v>
      </c>
      <c r="F336" s="62">
        <v>11.749999999999998</v>
      </c>
      <c r="G336" s="1" t="s">
        <v>26</v>
      </c>
      <c r="H336" s="4">
        <f t="shared" si="19"/>
        <v>1.388888888889106E-4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0.43523148148148705</v>
      </c>
      <c r="D337" s="4">
        <v>0.43540509259259819</v>
      </c>
      <c r="E337" s="2">
        <v>11.629999999999999</v>
      </c>
      <c r="F337" s="62">
        <v>11.77</v>
      </c>
      <c r="G337" s="1" t="s">
        <v>26</v>
      </c>
      <c r="H337" s="4">
        <f t="shared" si="19"/>
        <v>1.7361111111113825E-4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0.43564814814815372</v>
      </c>
      <c r="D338" s="4">
        <v>0.43581018518519077</v>
      </c>
      <c r="E338" s="2">
        <v>11.629999999999999</v>
      </c>
      <c r="F338" s="62">
        <v>11.68</v>
      </c>
      <c r="G338" s="1" t="s">
        <v>26</v>
      </c>
      <c r="H338" s="4">
        <f t="shared" si="19"/>
        <v>1.6203703703704386E-4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0.43609953703704263</v>
      </c>
      <c r="D339" s="4">
        <v>0.43627314814815377</v>
      </c>
      <c r="E339" s="2">
        <v>11.629999999999999</v>
      </c>
      <c r="F339" s="62">
        <v>11.77</v>
      </c>
      <c r="G339" s="1" t="s">
        <v>26</v>
      </c>
      <c r="H339" s="4">
        <f t="shared" si="19"/>
        <v>1.7361111111113825E-4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0.43655092592593153</v>
      </c>
      <c r="D340" s="4">
        <v>0.43670138888889448</v>
      </c>
      <c r="E340" s="2">
        <v>11.629999999999999</v>
      </c>
      <c r="F340" s="62">
        <v>11.669999999999998</v>
      </c>
      <c r="G340" s="1" t="s">
        <v>26</v>
      </c>
      <c r="H340" s="4">
        <f t="shared" si="19"/>
        <v>1.5046296296294948E-4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0.43697916666667225</v>
      </c>
      <c r="D341" s="4">
        <v>0.4371296296296352</v>
      </c>
      <c r="E341" s="2">
        <v>11.629999999999999</v>
      </c>
      <c r="F341" s="62">
        <v>11.709999999999999</v>
      </c>
      <c r="G341" s="1" t="s">
        <v>26</v>
      </c>
      <c r="H341" s="4">
        <f t="shared" si="19"/>
        <v>1.5046296296294948E-4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0.43739583333333892</v>
      </c>
      <c r="D342" s="4">
        <v>0.43754629629630187</v>
      </c>
      <c r="E342" s="2">
        <v>11.629999999999999</v>
      </c>
      <c r="F342" s="62">
        <v>11.78</v>
      </c>
      <c r="G342" s="1" t="s">
        <v>26</v>
      </c>
      <c r="H342" s="4">
        <f t="shared" si="19"/>
        <v>1.5046296296294948E-4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0.43780092592593151</v>
      </c>
      <c r="D343" s="4">
        <v>0.43797453703704264</v>
      </c>
      <c r="E343" s="2">
        <v>11.629999999999999</v>
      </c>
      <c r="F343" s="62">
        <v>11.7</v>
      </c>
      <c r="G343" s="1" t="s">
        <v>26</v>
      </c>
      <c r="H343" s="4">
        <f t="shared" si="19"/>
        <v>1.7361111111113825E-4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0.43821759259259818</v>
      </c>
      <c r="D344" s="4">
        <v>0.43837962962963523</v>
      </c>
      <c r="E344" s="2">
        <v>11.629999999999999</v>
      </c>
      <c r="F344" s="62">
        <v>11.639999999999999</v>
      </c>
      <c r="G344" s="1" t="s">
        <v>26</v>
      </c>
      <c r="H344" s="4">
        <f t="shared" si="19"/>
        <v>1.6203703703704386E-4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0.43865740740741299</v>
      </c>
      <c r="D345" s="4">
        <v>0.43883101851852413</v>
      </c>
      <c r="E345" s="2">
        <v>11.629999999999999</v>
      </c>
      <c r="F345" s="62">
        <v>11.729999999999999</v>
      </c>
      <c r="G345" s="1" t="s">
        <v>26</v>
      </c>
      <c r="H345" s="4">
        <f t="shared" si="19"/>
        <v>1.7361111111113825E-4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0.43906250000000563</v>
      </c>
      <c r="D346" s="4">
        <v>0.43922453703704267</v>
      </c>
      <c r="E346" s="2">
        <v>11.629999999999999</v>
      </c>
      <c r="F346" s="62">
        <v>11.709999999999999</v>
      </c>
      <c r="G346" s="1" t="s">
        <v>26</v>
      </c>
      <c r="H346" s="4">
        <f t="shared" si="19"/>
        <v>1.6203703703704386E-4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0.43945601851852417</v>
      </c>
      <c r="D347" s="4">
        <v>0.43962962962963531</v>
      </c>
      <c r="E347" s="2">
        <v>11.629999999999999</v>
      </c>
      <c r="F347" s="62">
        <v>11.749999999999998</v>
      </c>
      <c r="G347" s="1" t="s">
        <v>26</v>
      </c>
      <c r="H347" s="4">
        <f t="shared" si="19"/>
        <v>1.7361111111113825E-4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0.43988425925926494</v>
      </c>
      <c r="D348" s="4">
        <v>0.44003472222222789</v>
      </c>
      <c r="E348" s="2">
        <v>11.629999999999999</v>
      </c>
      <c r="F348" s="62">
        <v>11.76</v>
      </c>
      <c r="G348" s="1" t="s">
        <v>26</v>
      </c>
      <c r="H348" s="4">
        <f t="shared" si="19"/>
        <v>1.5046296296294948E-4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0.44026620370370939</v>
      </c>
      <c r="D349" s="4">
        <v>0.44043981481482053</v>
      </c>
      <c r="E349" s="2">
        <v>11.629999999999999</v>
      </c>
      <c r="F349" s="62">
        <v>11.749999999999998</v>
      </c>
      <c r="G349" s="1" t="s">
        <v>26</v>
      </c>
      <c r="H349" s="4">
        <f t="shared" si="19"/>
        <v>1.7361111111113825E-4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0.44067129629630203</v>
      </c>
      <c r="D350" s="4">
        <v>0.44082175925926498</v>
      </c>
      <c r="E350" s="2">
        <v>11.629999999999999</v>
      </c>
      <c r="F350" s="62">
        <v>11.68</v>
      </c>
      <c r="G350" s="1" t="s">
        <v>26</v>
      </c>
      <c r="H350" s="4">
        <f t="shared" si="19"/>
        <v>1.5046296296294948E-4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0.44105324074074648</v>
      </c>
      <c r="D351" s="4">
        <v>0.44119212962963539</v>
      </c>
      <c r="E351" s="2">
        <v>11.629999999999999</v>
      </c>
      <c r="F351" s="62">
        <v>11.7</v>
      </c>
      <c r="G351" s="1" t="s">
        <v>26</v>
      </c>
      <c r="H351" s="4">
        <f t="shared" si="19"/>
        <v>1.388888888889106E-4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0.44146990740741315</v>
      </c>
      <c r="D352" s="4">
        <v>0.4416203703703761</v>
      </c>
      <c r="E352" s="2">
        <v>11.629999999999999</v>
      </c>
      <c r="F352" s="62">
        <v>11.709999999999999</v>
      </c>
      <c r="G352" s="1" t="s">
        <v>26</v>
      </c>
      <c r="H352" s="4">
        <f t="shared" si="19"/>
        <v>1.5046296296294948E-4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0.4418518518518576</v>
      </c>
      <c r="D353" s="4">
        <v>0.44199074074074651</v>
      </c>
      <c r="E353" s="2">
        <v>11.629999999999999</v>
      </c>
      <c r="F353" s="62">
        <v>11.709999999999999</v>
      </c>
      <c r="G353" s="1" t="s">
        <v>26</v>
      </c>
      <c r="H353" s="4">
        <f t="shared" si="19"/>
        <v>1.388888888889106E-4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0.44228009259259837</v>
      </c>
      <c r="D354" s="4">
        <v>0.44245370370370951</v>
      </c>
      <c r="E354" s="2">
        <v>11.629999999999999</v>
      </c>
      <c r="F354" s="62">
        <v>11.68</v>
      </c>
      <c r="G354" s="1" t="s">
        <v>26</v>
      </c>
      <c r="H354" s="4">
        <f t="shared" si="19"/>
        <v>1.7361111111113825E-4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0.44273148148148728</v>
      </c>
      <c r="D355" s="4">
        <v>0.44287037037037619</v>
      </c>
      <c r="E355" s="2">
        <v>11.629999999999999</v>
      </c>
      <c r="F355" s="62">
        <v>11.68</v>
      </c>
      <c r="G355" s="1" t="s">
        <v>26</v>
      </c>
      <c r="H355" s="4">
        <f t="shared" si="19"/>
        <v>1.388888888889106E-4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0.44314814814815395</v>
      </c>
      <c r="D356" s="4">
        <v>0.4432986111111169</v>
      </c>
      <c r="E356" s="2">
        <v>11.629999999999999</v>
      </c>
      <c r="F356" s="62">
        <v>11.729999999999999</v>
      </c>
      <c r="G356" s="1" t="s">
        <v>26</v>
      </c>
      <c r="H356" s="4">
        <f t="shared" si="19"/>
        <v>1.5046296296294948E-4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0.44355324074074653</v>
      </c>
      <c r="D357" s="4">
        <v>0.44371527777778358</v>
      </c>
      <c r="E357" s="2">
        <v>11.629999999999999</v>
      </c>
      <c r="F357" s="62">
        <v>11.659999999999998</v>
      </c>
      <c r="G357" s="1" t="s">
        <v>26</v>
      </c>
      <c r="H357" s="4">
        <f t="shared" si="19"/>
        <v>1.6203703703704386E-4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0.44394675925926508</v>
      </c>
      <c r="D358" s="4">
        <v>0.44410879629630212</v>
      </c>
      <c r="E358" s="2">
        <v>11.629999999999999</v>
      </c>
      <c r="F358" s="62">
        <v>11.78</v>
      </c>
      <c r="G358" s="1" t="s">
        <v>26</v>
      </c>
      <c r="H358" s="4">
        <f t="shared" si="19"/>
        <v>1.6203703703704386E-4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0.44437500000000585</v>
      </c>
      <c r="D359" s="4">
        <v>0.44453703703704289</v>
      </c>
      <c r="E359" s="2">
        <v>11.629999999999999</v>
      </c>
      <c r="F359" s="62">
        <v>11.78</v>
      </c>
      <c r="G359" s="1" t="s">
        <v>26</v>
      </c>
      <c r="H359" s="4">
        <f t="shared" si="19"/>
        <v>1.6203703703704386E-4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0.44479166666667252</v>
      </c>
      <c r="D360" s="4">
        <v>0.44494212962963547</v>
      </c>
      <c r="E360" s="2">
        <v>11.629999999999999</v>
      </c>
      <c r="F360" s="62">
        <v>11.659999999999998</v>
      </c>
      <c r="G360" s="1" t="s">
        <v>26</v>
      </c>
      <c r="H360" s="4">
        <f t="shared" si="19"/>
        <v>1.5046296296294948E-4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0.44519675925926511</v>
      </c>
      <c r="D361" s="4">
        <v>0.44537037037037625</v>
      </c>
      <c r="E361" s="2">
        <v>11.629999999999999</v>
      </c>
      <c r="F361" s="62">
        <v>11.76</v>
      </c>
      <c r="G361" s="1" t="s">
        <v>26</v>
      </c>
      <c r="H361" s="4">
        <f t="shared" si="19"/>
        <v>1.7361111111113825E-4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0.44563657407407997</v>
      </c>
      <c r="D362" s="4">
        <v>0.44581018518519111</v>
      </c>
      <c r="E362" s="2">
        <v>11.629999999999999</v>
      </c>
      <c r="F362" s="62">
        <v>11.7</v>
      </c>
      <c r="G362" s="1" t="s">
        <v>26</v>
      </c>
      <c r="H362" s="4">
        <f t="shared" si="19"/>
        <v>1.7361111111113825E-4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0.44609953703704297</v>
      </c>
      <c r="D363" s="4">
        <v>0.44626157407408001</v>
      </c>
      <c r="E363" s="2">
        <v>11.629999999999999</v>
      </c>
      <c r="F363" s="62">
        <v>11.77</v>
      </c>
      <c r="G363" s="1" t="s">
        <v>26</v>
      </c>
      <c r="H363" s="4">
        <f t="shared" si="19"/>
        <v>1.6203703703704386E-4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0.44649305555556151</v>
      </c>
      <c r="D364" s="4">
        <v>0.44665509259259856</v>
      </c>
      <c r="E364" s="2">
        <v>11.629999999999999</v>
      </c>
      <c r="F364" s="62">
        <v>11.639999999999999</v>
      </c>
      <c r="G364" s="1" t="s">
        <v>26</v>
      </c>
      <c r="H364" s="4">
        <f t="shared" si="19"/>
        <v>1.6203703703704386E-4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0.4468981481481541</v>
      </c>
      <c r="D365" s="4">
        <v>0.44706018518519114</v>
      </c>
      <c r="E365" s="2">
        <v>11.629999999999999</v>
      </c>
      <c r="F365" s="62">
        <v>11.78</v>
      </c>
      <c r="G365" s="1" t="s">
        <v>26</v>
      </c>
      <c r="H365" s="4">
        <f t="shared" si="19"/>
        <v>1.6203703703704386E-4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0.4473379629629689</v>
      </c>
      <c r="D366" s="4">
        <v>0.44751157407408004</v>
      </c>
      <c r="E366" s="2">
        <v>11.629999999999999</v>
      </c>
      <c r="F366" s="62">
        <v>11.719999999999999</v>
      </c>
      <c r="G366" s="1" t="s">
        <v>26</v>
      </c>
      <c r="H366" s="4">
        <f t="shared" si="19"/>
        <v>1.7361111111113825E-4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0.44776620370370968</v>
      </c>
      <c r="D367" s="4">
        <v>0.44791666666667262</v>
      </c>
      <c r="E367" s="2">
        <v>11.629999999999999</v>
      </c>
      <c r="F367" s="62">
        <v>11.77</v>
      </c>
      <c r="G367" s="1" t="s">
        <v>26</v>
      </c>
      <c r="H367" s="4">
        <f t="shared" si="19"/>
        <v>1.5046296296294948E-4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0.44818287037037635</v>
      </c>
      <c r="D368" s="4">
        <v>0.44835648148148749</v>
      </c>
      <c r="E368" s="2">
        <v>11.629999999999999</v>
      </c>
      <c r="F368" s="62">
        <v>11.649999999999999</v>
      </c>
      <c r="G368" s="1" t="s">
        <v>26</v>
      </c>
      <c r="H368" s="4">
        <f t="shared" si="19"/>
        <v>1.7361111111113825E-4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0.44862268518519122</v>
      </c>
      <c r="D369" s="4">
        <v>0.44877314814815417</v>
      </c>
      <c r="E369" s="2">
        <v>11.629999999999999</v>
      </c>
      <c r="F369" s="62">
        <v>11.669999999999998</v>
      </c>
      <c r="G369" s="1" t="s">
        <v>26</v>
      </c>
      <c r="H369" s="4">
        <f t="shared" si="19"/>
        <v>1.5046296296294948E-4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0.44903935185185789</v>
      </c>
      <c r="D370" s="4">
        <v>0.44921296296296903</v>
      </c>
      <c r="E370" s="2">
        <v>11.629999999999999</v>
      </c>
      <c r="F370" s="62">
        <v>11.78</v>
      </c>
      <c r="G370" s="1" t="s">
        <v>26</v>
      </c>
      <c r="H370" s="4">
        <f t="shared" si="19"/>
        <v>1.7361111111113825E-4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0.44946759259259866</v>
      </c>
      <c r="D371" s="4">
        <v>0.44961805555556161</v>
      </c>
      <c r="E371" s="2">
        <v>11.629999999999999</v>
      </c>
      <c r="F371" s="62">
        <v>11.639999999999999</v>
      </c>
      <c r="G371" s="1" t="s">
        <v>26</v>
      </c>
      <c r="H371" s="4">
        <f t="shared" si="19"/>
        <v>1.5046296296294948E-4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0.44987268518519125</v>
      </c>
      <c r="D372" s="4">
        <v>0.4500231481481542</v>
      </c>
      <c r="E372" s="2">
        <v>11.629999999999999</v>
      </c>
      <c r="F372" s="62">
        <v>11.749999999999998</v>
      </c>
      <c r="G372" s="1" t="s">
        <v>26</v>
      </c>
      <c r="H372" s="4">
        <f t="shared" si="19"/>
        <v>1.5046296296294948E-4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0.45028935185185792</v>
      </c>
      <c r="D373" s="4">
        <v>0.45042824074074683</v>
      </c>
      <c r="E373" s="2">
        <v>11.629999999999999</v>
      </c>
      <c r="F373" s="62">
        <v>11.69</v>
      </c>
      <c r="G373" s="1" t="s">
        <v>26</v>
      </c>
      <c r="H373" s="4">
        <f t="shared" si="19"/>
        <v>1.388888888889106E-4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0.45069444444445056</v>
      </c>
      <c r="D374" s="4">
        <v>0.45083333333333947</v>
      </c>
      <c r="E374" s="2">
        <v>11.629999999999999</v>
      </c>
      <c r="F374" s="62">
        <v>11.76</v>
      </c>
      <c r="G374" s="1" t="s">
        <v>26</v>
      </c>
      <c r="H374" s="4">
        <f t="shared" si="19"/>
        <v>1.388888888889106E-4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0.45112268518519133</v>
      </c>
      <c r="D375" s="4">
        <v>0.45126157407408024</v>
      </c>
      <c r="E375" s="2">
        <v>11.629999999999999</v>
      </c>
      <c r="F375" s="62">
        <v>11.729999999999999</v>
      </c>
      <c r="G375" s="1" t="s">
        <v>26</v>
      </c>
      <c r="H375" s="4">
        <f t="shared" si="19"/>
        <v>1.388888888889106E-4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0.45150462962963578</v>
      </c>
      <c r="D376" s="4">
        <v>0.45167824074074692</v>
      </c>
      <c r="E376" s="2">
        <v>11.629999999999999</v>
      </c>
      <c r="F376" s="62">
        <v>11.77</v>
      </c>
      <c r="G376" s="1" t="s">
        <v>26</v>
      </c>
      <c r="H376" s="4">
        <f t="shared" si="19"/>
        <v>1.7361111111113825E-4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0.45190972222222842</v>
      </c>
      <c r="D377" s="4">
        <v>0.45207175925926546</v>
      </c>
      <c r="E377" s="2">
        <v>11.629999999999999</v>
      </c>
      <c r="F377" s="62">
        <v>11.719999999999999</v>
      </c>
      <c r="G377" s="1" t="s">
        <v>26</v>
      </c>
      <c r="H377" s="4">
        <f t="shared" si="19"/>
        <v>1.6203703703704386E-4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0.45230324074074696</v>
      </c>
      <c r="D378" s="4">
        <v>0.452465277777784</v>
      </c>
      <c r="E378" s="2">
        <v>11.629999999999999</v>
      </c>
      <c r="F378" s="62">
        <v>11.719999999999999</v>
      </c>
      <c r="G378" s="1" t="s">
        <v>26</v>
      </c>
      <c r="H378" s="4">
        <f t="shared" si="19"/>
        <v>1.6203703703704386E-4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0.45273148148148773</v>
      </c>
      <c r="D379" s="4">
        <v>0.45288194444445068</v>
      </c>
      <c r="E379" s="2">
        <v>11.629999999999999</v>
      </c>
      <c r="F379" s="62">
        <v>11.729999999999999</v>
      </c>
      <c r="G379" s="1" t="s">
        <v>26</v>
      </c>
      <c r="H379" s="4">
        <f t="shared" si="19"/>
        <v>1.5046296296294948E-4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0.45315972222222844</v>
      </c>
      <c r="D380" s="4">
        <v>0.45329861111111736</v>
      </c>
      <c r="E380" s="2">
        <v>11.629999999999999</v>
      </c>
      <c r="F380" s="62">
        <v>11.749999999999998</v>
      </c>
      <c r="G380" s="1" t="s">
        <v>26</v>
      </c>
      <c r="H380" s="4">
        <f t="shared" si="19"/>
        <v>1.388888888889106E-4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0.45357638888889512</v>
      </c>
      <c r="D381" s="4">
        <v>0.45371527777778403</v>
      </c>
      <c r="E381" s="2">
        <v>11.629999999999999</v>
      </c>
      <c r="F381" s="62">
        <v>11.659999999999998</v>
      </c>
      <c r="G381" s="1" t="s">
        <v>26</v>
      </c>
      <c r="H381" s="4">
        <f t="shared" si="19"/>
        <v>1.388888888889106E-4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0.45398148148148776</v>
      </c>
      <c r="D382" s="4">
        <v>0.4541435185185248</v>
      </c>
      <c r="E382" s="2">
        <v>11.629999999999999</v>
      </c>
      <c r="F382" s="62">
        <v>11.639999999999999</v>
      </c>
      <c r="G382" s="1" t="s">
        <v>26</v>
      </c>
      <c r="H382" s="4">
        <f t="shared" si="19"/>
        <v>1.6203703703704386E-4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0.45440972222222853</v>
      </c>
      <c r="D383" s="4">
        <v>0.45457175925926557</v>
      </c>
      <c r="E383" s="2">
        <v>11.629999999999999</v>
      </c>
      <c r="F383" s="62">
        <v>11.77</v>
      </c>
      <c r="G383" s="1" t="s">
        <v>26</v>
      </c>
      <c r="H383" s="4">
        <f t="shared" si="19"/>
        <v>1.6203703703704386E-4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0.45486111111111743</v>
      </c>
      <c r="D384" s="4">
        <v>0.45502314814815448</v>
      </c>
      <c r="E384" s="2">
        <v>11.629999999999999</v>
      </c>
      <c r="F384" s="62">
        <v>11.76</v>
      </c>
      <c r="G384" s="1" t="s">
        <v>26</v>
      </c>
      <c r="H384" s="4">
        <f t="shared" si="19"/>
        <v>1.6203703703704386E-4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0.45527777777778411</v>
      </c>
      <c r="D385" s="4">
        <v>0.45543981481482115</v>
      </c>
      <c r="E385" s="2">
        <v>11.629999999999999</v>
      </c>
      <c r="F385" s="62">
        <v>11.729999999999999</v>
      </c>
      <c r="G385" s="1" t="s">
        <v>26</v>
      </c>
      <c r="H385" s="4">
        <f t="shared" si="19"/>
        <v>1.6203703703704386E-4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0.45567129629630265</v>
      </c>
      <c r="D386" s="4">
        <v>0.4558333333333397</v>
      </c>
      <c r="E386" s="2">
        <v>11.629999999999999</v>
      </c>
      <c r="F386" s="62">
        <v>11.639999999999999</v>
      </c>
      <c r="G386" s="1" t="s">
        <v>26</v>
      </c>
      <c r="H386" s="4">
        <f t="shared" si="19"/>
        <v>1.6203703703704386E-4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0.4560648148148212</v>
      </c>
      <c r="D387" s="4">
        <v>0.45620370370371011</v>
      </c>
      <c r="E387" s="2">
        <v>11.629999999999999</v>
      </c>
      <c r="F387" s="62">
        <v>11.739999999999998</v>
      </c>
      <c r="G387" s="1" t="s">
        <v>26</v>
      </c>
      <c r="H387" s="4">
        <f t="shared" si="19"/>
        <v>1.388888888889106E-4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0.45644675925926564</v>
      </c>
      <c r="D388" s="4">
        <v>0.45658564814815455</v>
      </c>
      <c r="E388" s="2">
        <v>11.629999999999999</v>
      </c>
      <c r="F388" s="62">
        <v>11.749999999999998</v>
      </c>
      <c r="G388" s="1" t="s">
        <v>26</v>
      </c>
      <c r="H388" s="4">
        <f t="shared" si="19"/>
        <v>1.388888888889106E-4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0.45687500000000641</v>
      </c>
      <c r="D389" s="4">
        <v>0.45704861111111755</v>
      </c>
      <c r="E389" s="2">
        <v>11.629999999999999</v>
      </c>
      <c r="F389" s="62">
        <v>11.68</v>
      </c>
      <c r="G389" s="1" t="s">
        <v>26</v>
      </c>
      <c r="H389" s="4">
        <f t="shared" si="19"/>
        <v>1.7361111111113825E-4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0.45728009259259905</v>
      </c>
      <c r="D390" s="4">
        <v>0.457430555555562</v>
      </c>
      <c r="E390" s="2">
        <v>11.629999999999999</v>
      </c>
      <c r="F390" s="62">
        <v>11.7</v>
      </c>
      <c r="G390" s="1" t="s">
        <v>26</v>
      </c>
      <c r="H390" s="4">
        <f t="shared" si="19"/>
        <v>1.5046296296294948E-4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0.45767361111111754</v>
      </c>
      <c r="D391" s="4">
        <v>0.45782407407408049</v>
      </c>
      <c r="E391" s="2">
        <v>11.629999999999999</v>
      </c>
      <c r="F391" s="62">
        <v>11.669999999999998</v>
      </c>
      <c r="G391" s="1" t="s">
        <v>26</v>
      </c>
      <c r="H391" s="4">
        <f t="shared" si="19"/>
        <v>1.5046296296294948E-4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0.45811342592593235</v>
      </c>
      <c r="D392" s="4">
        <v>0.45825231481482126</v>
      </c>
      <c r="E392" s="2">
        <v>11.629999999999999</v>
      </c>
      <c r="F392" s="62">
        <v>11.749999999999998</v>
      </c>
      <c r="G392" s="1" t="s">
        <v>26</v>
      </c>
      <c r="H392" s="4">
        <f t="shared" si="19"/>
        <v>1.388888888889106E-4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0.45853009259259903</v>
      </c>
      <c r="D393" s="4">
        <v>0.45870370370371016</v>
      </c>
      <c r="E393" s="2">
        <v>11.629999999999999</v>
      </c>
      <c r="F393" s="62">
        <v>11.78</v>
      </c>
      <c r="G393" s="1" t="s">
        <v>26</v>
      </c>
      <c r="H393" s="4">
        <f t="shared" si="19"/>
        <v>1.7361111111113825E-4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0.4589583333333398</v>
      </c>
      <c r="D394" s="4">
        <v>0.45910879629630275</v>
      </c>
      <c r="E394" s="2">
        <v>11.629999999999999</v>
      </c>
      <c r="F394" s="62">
        <v>11.729999999999999</v>
      </c>
      <c r="G394" s="1" t="s">
        <v>26</v>
      </c>
      <c r="H394" s="4">
        <f t="shared" si="19"/>
        <v>1.5046296296294948E-4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0.45939814814815461</v>
      </c>
      <c r="D395" s="4">
        <v>0.45956018518519165</v>
      </c>
      <c r="E395" s="2">
        <v>11.629999999999999</v>
      </c>
      <c r="F395" s="62">
        <v>11.77</v>
      </c>
      <c r="G395" s="1" t="s">
        <v>26</v>
      </c>
      <c r="H395" s="4">
        <f t="shared" ref="H395:H458" si="26">D395-C395</f>
        <v>1.6203703703704386E-4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4">
        <v>0.45980324074074719</v>
      </c>
      <c r="D396" s="4">
        <v>0.45997685185185833</v>
      </c>
      <c r="E396" s="2">
        <v>11.629999999999999</v>
      </c>
      <c r="F396" s="62">
        <v>11.68</v>
      </c>
      <c r="G396" s="1" t="s">
        <v>26</v>
      </c>
      <c r="H396" s="4">
        <f t="shared" si="26"/>
        <v>1.7361111111113825E-4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4">
        <v>0.46026620370371019</v>
      </c>
      <c r="D397" s="4">
        <v>0.46043981481482132</v>
      </c>
      <c r="E397" s="2">
        <v>11.629999999999999</v>
      </c>
      <c r="F397" s="62">
        <v>11.719999999999999</v>
      </c>
      <c r="G397" s="1" t="s">
        <v>26</v>
      </c>
      <c r="H397" s="4">
        <f t="shared" si="26"/>
        <v>1.7361111111113825E-4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4">
        <v>0.46069444444445096</v>
      </c>
      <c r="D398" s="4">
        <v>0.460856481481488</v>
      </c>
      <c r="E398" s="2">
        <v>11.629999999999999</v>
      </c>
      <c r="F398" s="62">
        <v>11.68</v>
      </c>
      <c r="G398" s="1" t="s">
        <v>26</v>
      </c>
      <c r="H398" s="4">
        <f t="shared" si="26"/>
        <v>1.6203703703704386E-4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4">
        <v>0.4610879629629695</v>
      </c>
      <c r="D399" s="4">
        <v>0.46125000000000654</v>
      </c>
      <c r="E399" s="2">
        <v>11.629999999999999</v>
      </c>
      <c r="F399" s="62">
        <v>11.739999999999998</v>
      </c>
      <c r="G399" s="1" t="s">
        <v>26</v>
      </c>
      <c r="H399" s="4">
        <f t="shared" si="26"/>
        <v>1.6203703703704386E-4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4">
        <v>0.4615393518518584</v>
      </c>
      <c r="D400" s="4">
        <v>0.46168981481482135</v>
      </c>
      <c r="E400" s="2">
        <v>11.629999999999999</v>
      </c>
      <c r="F400" s="62">
        <v>11.719999999999999</v>
      </c>
      <c r="G400" s="1" t="s">
        <v>26</v>
      </c>
      <c r="H400" s="4">
        <f t="shared" si="26"/>
        <v>1.5046296296294948E-4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4">
        <v>0.46194444444445099</v>
      </c>
      <c r="D401" s="4">
        <v>0.4620833333333399</v>
      </c>
      <c r="E401" s="2">
        <v>11.629999999999999</v>
      </c>
      <c r="F401" s="62">
        <v>11.669999999999998</v>
      </c>
      <c r="G401" s="1" t="s">
        <v>26</v>
      </c>
      <c r="H401" s="4">
        <f t="shared" si="26"/>
        <v>1.388888888889106E-4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4">
        <v>0.46236111111111766</v>
      </c>
      <c r="D402" s="4">
        <v>0.4625347222222288</v>
      </c>
      <c r="E402" s="2">
        <v>11.629999999999999</v>
      </c>
      <c r="F402" s="62">
        <v>11.719999999999999</v>
      </c>
      <c r="G402" s="1" t="s">
        <v>26</v>
      </c>
      <c r="H402" s="4">
        <f t="shared" si="26"/>
        <v>1.7361111111113825E-4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4">
        <v>0.46282407407408066</v>
      </c>
      <c r="D403" s="4">
        <v>0.46296296296296957</v>
      </c>
      <c r="E403" s="2">
        <v>11.629999999999999</v>
      </c>
      <c r="F403" s="62">
        <v>11.76</v>
      </c>
      <c r="G403" s="1" t="s">
        <v>26</v>
      </c>
      <c r="H403" s="4">
        <f t="shared" si="26"/>
        <v>1.388888888889106E-4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4">
        <v>0.46320601851852511</v>
      </c>
      <c r="D404" s="4">
        <v>0.46335648148148806</v>
      </c>
      <c r="E404" s="2">
        <v>11.629999999999999</v>
      </c>
      <c r="F404" s="62">
        <v>11.649999999999999</v>
      </c>
      <c r="G404" s="1" t="s">
        <v>26</v>
      </c>
      <c r="H404" s="4">
        <f t="shared" si="26"/>
        <v>1.5046296296294948E-4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4">
        <v>0.4635995370370436</v>
      </c>
      <c r="D405" s="4">
        <v>0.46376157407408064</v>
      </c>
      <c r="E405" s="2">
        <v>11.629999999999999</v>
      </c>
      <c r="F405" s="62">
        <v>11.649999999999999</v>
      </c>
      <c r="G405" s="1" t="s">
        <v>26</v>
      </c>
      <c r="H405" s="4">
        <f t="shared" si="26"/>
        <v>1.6203703703704386E-4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4">
        <v>0.46403935185185841</v>
      </c>
      <c r="D406" s="4">
        <v>0.46421296296296954</v>
      </c>
      <c r="E406" s="2">
        <v>11.629999999999999</v>
      </c>
      <c r="F406" s="62">
        <v>11.719999999999999</v>
      </c>
      <c r="G406" s="1" t="s">
        <v>26</v>
      </c>
      <c r="H406" s="4">
        <f t="shared" si="26"/>
        <v>1.7361111111113825E-4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4">
        <v>0.46449074074074731</v>
      </c>
      <c r="D407" s="4">
        <v>0.46465277777778435</v>
      </c>
      <c r="E407" s="2">
        <v>11.629999999999999</v>
      </c>
      <c r="F407" s="62">
        <v>11.639999999999999</v>
      </c>
      <c r="G407" s="1" t="s">
        <v>26</v>
      </c>
      <c r="H407" s="4">
        <f t="shared" si="26"/>
        <v>1.6203703703704386E-4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4">
        <v>0.46491898148148808</v>
      </c>
      <c r="D408" s="4">
        <v>0.46506944444445103</v>
      </c>
      <c r="E408" s="2">
        <v>11.629999999999999</v>
      </c>
      <c r="F408" s="62">
        <v>11.649999999999999</v>
      </c>
      <c r="G408" s="1" t="s">
        <v>26</v>
      </c>
      <c r="H408" s="4">
        <f t="shared" si="26"/>
        <v>1.5046296296294948E-4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4">
        <v>0.46533564814815476</v>
      </c>
      <c r="D409" s="4">
        <v>0.4654976851851918</v>
      </c>
      <c r="E409" s="2">
        <v>11.629999999999999</v>
      </c>
      <c r="F409" s="62">
        <v>11.78</v>
      </c>
      <c r="G409" s="1" t="s">
        <v>26</v>
      </c>
      <c r="H409" s="4">
        <f t="shared" si="26"/>
        <v>1.6203703703704386E-4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4">
        <v>0.46576388888889553</v>
      </c>
      <c r="D410" s="4">
        <v>0.46590277777778444</v>
      </c>
      <c r="E410" s="2">
        <v>11.629999999999999</v>
      </c>
      <c r="F410" s="62">
        <v>11.639999999999999</v>
      </c>
      <c r="G410" s="1" t="s">
        <v>26</v>
      </c>
      <c r="H410" s="4">
        <f t="shared" si="26"/>
        <v>1.388888888889106E-4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4">
        <v>0.4661921296296363</v>
      </c>
      <c r="D411" s="4">
        <v>0.46634259259259925</v>
      </c>
      <c r="E411" s="2">
        <v>11.629999999999999</v>
      </c>
      <c r="F411" s="62">
        <v>11.719999999999999</v>
      </c>
      <c r="G411" s="1" t="s">
        <v>26</v>
      </c>
      <c r="H411" s="4">
        <f t="shared" si="26"/>
        <v>1.5046296296294948E-4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4">
        <v>0.46660879629630297</v>
      </c>
      <c r="D412" s="4">
        <v>0.46677083333334002</v>
      </c>
      <c r="E412" s="2">
        <v>11.629999999999999</v>
      </c>
      <c r="F412" s="62">
        <v>11.69</v>
      </c>
      <c r="G412" s="1" t="s">
        <v>26</v>
      </c>
      <c r="H412" s="4">
        <f t="shared" si="26"/>
        <v>1.6203703703704386E-4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4">
        <v>0.46702546296296965</v>
      </c>
      <c r="D413" s="4">
        <v>0.46716435185185856</v>
      </c>
      <c r="E413" s="2">
        <v>11.629999999999999</v>
      </c>
      <c r="F413" s="62">
        <v>11.729999999999999</v>
      </c>
      <c r="G413" s="1" t="s">
        <v>26</v>
      </c>
      <c r="H413" s="4">
        <f t="shared" si="26"/>
        <v>1.388888888889106E-4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4">
        <v>0.46741898148148819</v>
      </c>
      <c r="D414" s="4">
        <v>0.46758101851852524</v>
      </c>
      <c r="E414" s="2">
        <v>11.629999999999999</v>
      </c>
      <c r="F414" s="62">
        <v>11.77</v>
      </c>
      <c r="G414" s="1" t="s">
        <v>26</v>
      </c>
      <c r="H414" s="4">
        <f t="shared" si="26"/>
        <v>1.6203703703704386E-4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4">
        <v>0.4678703703703771</v>
      </c>
      <c r="D415" s="4">
        <v>0.46803240740741414</v>
      </c>
      <c r="E415" s="2">
        <v>11.629999999999999</v>
      </c>
      <c r="F415" s="62">
        <v>11.78</v>
      </c>
      <c r="G415" s="1" t="s">
        <v>26</v>
      </c>
      <c r="H415" s="4">
        <f t="shared" si="26"/>
        <v>1.6203703703704386E-4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4">
        <v>0.46829861111111787</v>
      </c>
      <c r="D416" s="4">
        <v>0.46844907407408082</v>
      </c>
      <c r="E416" s="2">
        <v>11.629999999999999</v>
      </c>
      <c r="F416" s="62">
        <v>11.69</v>
      </c>
      <c r="G416" s="1" t="s">
        <v>26</v>
      </c>
      <c r="H416" s="4">
        <f t="shared" si="26"/>
        <v>1.5046296296294948E-4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4">
        <v>0.46872685185185858</v>
      </c>
      <c r="D417" s="4">
        <v>0.46887731481482153</v>
      </c>
      <c r="E417" s="2">
        <v>11.629999999999999</v>
      </c>
      <c r="F417" s="62">
        <v>11.749999999999998</v>
      </c>
      <c r="G417" s="1" t="s">
        <v>26</v>
      </c>
      <c r="H417" s="4">
        <f t="shared" si="26"/>
        <v>1.5046296296294948E-4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4">
        <v>0.46916666666667339</v>
      </c>
      <c r="D418" s="4">
        <v>0.46934027777778453</v>
      </c>
      <c r="E418" s="2">
        <v>11.629999999999999</v>
      </c>
      <c r="F418" s="62">
        <v>11.659999999999998</v>
      </c>
      <c r="G418" s="1" t="s">
        <v>26</v>
      </c>
      <c r="H418" s="4">
        <f t="shared" si="26"/>
        <v>1.7361111111113825E-4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4">
        <v>0.46957175925926603</v>
      </c>
      <c r="D419" s="4">
        <v>0.46974537037037717</v>
      </c>
      <c r="E419" s="2">
        <v>11.629999999999999</v>
      </c>
      <c r="F419" s="62">
        <v>11.78</v>
      </c>
      <c r="G419" s="1" t="s">
        <v>26</v>
      </c>
      <c r="H419" s="4">
        <f t="shared" si="26"/>
        <v>1.7361111111113825E-4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4">
        <v>0.47002314814815493</v>
      </c>
      <c r="D420" s="4">
        <v>0.47019675925926607</v>
      </c>
      <c r="E420" s="2">
        <v>11.629999999999999</v>
      </c>
      <c r="F420" s="62">
        <v>11.729999999999999</v>
      </c>
      <c r="G420" s="1" t="s">
        <v>26</v>
      </c>
      <c r="H420" s="4">
        <f t="shared" si="26"/>
        <v>1.7361111111113825E-4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4">
        <v>0.4704629629629698</v>
      </c>
      <c r="D421" s="4">
        <v>0.47062500000000684</v>
      </c>
      <c r="E421" s="2">
        <v>11.629999999999999</v>
      </c>
      <c r="F421" s="62">
        <v>11.78</v>
      </c>
      <c r="G421" s="1" t="s">
        <v>26</v>
      </c>
      <c r="H421" s="4">
        <f t="shared" si="26"/>
        <v>1.6203703703704386E-4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4">
        <v>0.4709143518518587</v>
      </c>
      <c r="D422" s="4">
        <v>0.47107638888889575</v>
      </c>
      <c r="E422" s="2">
        <v>11.629999999999999</v>
      </c>
      <c r="F422" s="62">
        <v>11.77</v>
      </c>
      <c r="G422" s="1" t="s">
        <v>26</v>
      </c>
      <c r="H422" s="4">
        <f t="shared" si="26"/>
        <v>1.6203703703704386E-4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4">
        <v>0.47134259259259947</v>
      </c>
      <c r="D423" s="4">
        <v>0.47150462962963652</v>
      </c>
      <c r="E423" s="2">
        <v>11.629999999999999</v>
      </c>
      <c r="F423" s="62">
        <v>11.76</v>
      </c>
      <c r="G423" s="1" t="s">
        <v>26</v>
      </c>
      <c r="H423" s="4">
        <f t="shared" si="26"/>
        <v>1.6203703703704386E-4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4">
        <v>0.47174768518519206</v>
      </c>
      <c r="D424" s="4">
        <v>0.4719097222222291</v>
      </c>
      <c r="E424" s="2">
        <v>11.629999999999999</v>
      </c>
      <c r="F424" s="62">
        <v>11.749999999999998</v>
      </c>
      <c r="G424" s="1" t="s">
        <v>26</v>
      </c>
      <c r="H424" s="4">
        <f t="shared" si="26"/>
        <v>1.6203703703704386E-4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4">
        <v>0.47217592592593283</v>
      </c>
      <c r="D425" s="4">
        <v>0.47233796296296987</v>
      </c>
      <c r="E425" s="2">
        <v>11.629999999999999</v>
      </c>
      <c r="F425" s="62">
        <v>11.659999999999998</v>
      </c>
      <c r="G425" s="1" t="s">
        <v>26</v>
      </c>
      <c r="H425" s="4">
        <f t="shared" si="26"/>
        <v>1.6203703703704386E-4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4">
        <v>0.47261574074074764</v>
      </c>
      <c r="D426" s="4">
        <v>0.47275462962963655</v>
      </c>
      <c r="E426" s="2">
        <v>11.629999999999999</v>
      </c>
      <c r="F426" s="62">
        <v>11.739999999999998</v>
      </c>
      <c r="G426" s="1" t="s">
        <v>26</v>
      </c>
      <c r="H426" s="4">
        <f t="shared" si="26"/>
        <v>1.388888888889106E-4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4">
        <v>0.47304398148148841</v>
      </c>
      <c r="D427" s="4">
        <v>0.47319444444445136</v>
      </c>
      <c r="E427" s="2">
        <v>11.629999999999999</v>
      </c>
      <c r="F427" s="62">
        <v>11.729999999999999</v>
      </c>
      <c r="G427" s="1" t="s">
        <v>26</v>
      </c>
      <c r="H427" s="4">
        <f t="shared" si="26"/>
        <v>1.5046296296294948E-4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4">
        <v>0.47347222222222912</v>
      </c>
      <c r="D428" s="4">
        <v>0.47364583333334026</v>
      </c>
      <c r="E428" s="2">
        <v>11.629999999999999</v>
      </c>
      <c r="F428" s="62">
        <v>11.649999999999999</v>
      </c>
      <c r="G428" s="1" t="s">
        <v>26</v>
      </c>
      <c r="H428" s="4">
        <f t="shared" si="26"/>
        <v>1.7361111111113825E-4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4">
        <v>0.47391203703704399</v>
      </c>
      <c r="D429" s="4">
        <v>0.47408564814815513</v>
      </c>
      <c r="E429" s="2">
        <v>11.629999999999999</v>
      </c>
      <c r="F429" s="62">
        <v>11.69</v>
      </c>
      <c r="G429" s="1" t="s">
        <v>26</v>
      </c>
      <c r="H429" s="4">
        <f t="shared" si="26"/>
        <v>1.7361111111113825E-4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4">
        <v>0.47431712962963662</v>
      </c>
      <c r="D430" s="4">
        <v>0.47446759259259957</v>
      </c>
      <c r="E430" s="2">
        <v>11.629999999999999</v>
      </c>
      <c r="F430" s="62">
        <v>11.729999999999999</v>
      </c>
      <c r="G430" s="1" t="s">
        <v>26</v>
      </c>
      <c r="H430" s="4">
        <f t="shared" si="26"/>
        <v>1.5046296296294948E-4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4">
        <v>0.47469907407408107</v>
      </c>
      <c r="D431" s="4">
        <v>0.47483796296296998</v>
      </c>
      <c r="E431" s="2">
        <v>11.629999999999999</v>
      </c>
      <c r="F431" s="62">
        <v>11.77</v>
      </c>
      <c r="G431" s="1" t="s">
        <v>26</v>
      </c>
      <c r="H431" s="4">
        <f t="shared" si="26"/>
        <v>1.388888888889106E-4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4">
        <v>0.47510416666667371</v>
      </c>
      <c r="D432" s="4">
        <v>0.47525462962963666</v>
      </c>
      <c r="E432" s="2">
        <v>11.629999999999999</v>
      </c>
      <c r="F432" s="62">
        <v>11.749999999999998</v>
      </c>
      <c r="G432" s="1" t="s">
        <v>26</v>
      </c>
      <c r="H432" s="4">
        <f t="shared" si="26"/>
        <v>1.5046296296294948E-4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4">
        <v>0.47554398148148852</v>
      </c>
      <c r="D433" s="4">
        <v>0.47571759259259966</v>
      </c>
      <c r="E433" s="2">
        <v>11.629999999999999</v>
      </c>
      <c r="F433" s="62">
        <v>11.639999999999999</v>
      </c>
      <c r="G433" s="1" t="s">
        <v>26</v>
      </c>
      <c r="H433" s="4">
        <f t="shared" si="26"/>
        <v>1.7361111111113825E-4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4">
        <v>0.47599537037037742</v>
      </c>
      <c r="D434" s="4">
        <v>0.47615740740741447</v>
      </c>
      <c r="E434" s="2">
        <v>11.629999999999999</v>
      </c>
      <c r="F434" s="62">
        <v>11.639999999999999</v>
      </c>
      <c r="G434" s="1" t="s">
        <v>26</v>
      </c>
      <c r="H434" s="4">
        <f t="shared" si="26"/>
        <v>1.6203703703704386E-4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4">
        <v>0.47640046296297001</v>
      </c>
      <c r="D435" s="4">
        <v>0.47657407407408114</v>
      </c>
      <c r="E435" s="2">
        <v>11.629999999999999</v>
      </c>
      <c r="F435" s="62">
        <v>11.659999999999998</v>
      </c>
      <c r="G435" s="1" t="s">
        <v>26</v>
      </c>
      <c r="H435" s="4">
        <f t="shared" si="26"/>
        <v>1.7361111111113825E-4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4">
        <v>0.47682870370371078</v>
      </c>
      <c r="D436" s="4">
        <v>0.47697916666667373</v>
      </c>
      <c r="E436" s="2">
        <v>11.629999999999999</v>
      </c>
      <c r="F436" s="62">
        <v>11.78</v>
      </c>
      <c r="G436" s="1" t="s">
        <v>26</v>
      </c>
      <c r="H436" s="4">
        <f t="shared" si="26"/>
        <v>1.5046296296294948E-4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4">
        <v>0.47726851851852559</v>
      </c>
      <c r="D437" s="4">
        <v>0.47743055555556263</v>
      </c>
      <c r="E437" s="2">
        <v>11.629999999999999</v>
      </c>
      <c r="F437" s="62">
        <v>11.729999999999999</v>
      </c>
      <c r="G437" s="1" t="s">
        <v>26</v>
      </c>
      <c r="H437" s="4">
        <f t="shared" si="26"/>
        <v>1.6203703703704386E-4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4">
        <v>0.4777083333333404</v>
      </c>
      <c r="D438" s="4">
        <v>0.47787037037037744</v>
      </c>
      <c r="E438" s="2">
        <v>11.629999999999999</v>
      </c>
      <c r="F438" s="62">
        <v>11.69</v>
      </c>
      <c r="G438" s="1" t="s">
        <v>26</v>
      </c>
      <c r="H438" s="4">
        <f t="shared" si="26"/>
        <v>1.6203703703704386E-4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4">
        <v>0.47810185185185894</v>
      </c>
      <c r="D439" s="4">
        <v>0.47825231481482189</v>
      </c>
      <c r="E439" s="2">
        <v>11.629999999999999</v>
      </c>
      <c r="F439" s="62">
        <v>11.77</v>
      </c>
      <c r="G439" s="1" t="s">
        <v>26</v>
      </c>
      <c r="H439" s="4">
        <f t="shared" si="26"/>
        <v>1.5046296296294948E-4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4">
        <v>0.47854166666667375</v>
      </c>
      <c r="D440" s="4">
        <v>0.47870370370371079</v>
      </c>
      <c r="E440" s="2">
        <v>11.629999999999999</v>
      </c>
      <c r="F440" s="62">
        <v>11.78</v>
      </c>
      <c r="G440" s="1" t="s">
        <v>26</v>
      </c>
      <c r="H440" s="4">
        <f t="shared" si="26"/>
        <v>1.6203703703704386E-4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4">
        <v>0.47896990740741452</v>
      </c>
      <c r="D441" s="4">
        <v>0.47912037037037747</v>
      </c>
      <c r="E441" s="2">
        <v>11.629999999999999</v>
      </c>
      <c r="F441" s="62">
        <v>11.659999999999998</v>
      </c>
      <c r="G441" s="1" t="s">
        <v>26</v>
      </c>
      <c r="H441" s="4">
        <f t="shared" si="26"/>
        <v>1.5046296296294948E-4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4">
        <v>0.47939814814815523</v>
      </c>
      <c r="D442" s="4">
        <v>0.47957175925926637</v>
      </c>
      <c r="E442" s="2">
        <v>11.629999999999999</v>
      </c>
      <c r="F442" s="62">
        <v>11.709999999999999</v>
      </c>
      <c r="G442" s="1" t="s">
        <v>26</v>
      </c>
      <c r="H442" s="4">
        <f t="shared" si="26"/>
        <v>1.7361111111113825E-4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4">
        <v>0.47981481481482191</v>
      </c>
      <c r="D443" s="4">
        <v>0.47998842592593305</v>
      </c>
      <c r="E443" s="2">
        <v>11.629999999999999</v>
      </c>
      <c r="F443" s="62">
        <v>11.669999999999998</v>
      </c>
      <c r="G443" s="1" t="s">
        <v>26</v>
      </c>
      <c r="H443" s="4">
        <f t="shared" si="26"/>
        <v>1.7361111111113825E-4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4">
        <v>0.48024305555556268</v>
      </c>
      <c r="D444" s="4">
        <v>0.48039351851852563</v>
      </c>
      <c r="E444" s="2">
        <v>11.629999999999999</v>
      </c>
      <c r="F444" s="62">
        <v>11.77</v>
      </c>
      <c r="G444" s="1" t="s">
        <v>26</v>
      </c>
      <c r="H444" s="4">
        <f t="shared" si="26"/>
        <v>1.5046296296294948E-4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4">
        <v>0.48065972222222936</v>
      </c>
      <c r="D445" s="4">
        <v>0.48081018518519231</v>
      </c>
      <c r="E445" s="2">
        <v>11.629999999999999</v>
      </c>
      <c r="F445" s="62">
        <v>11.68</v>
      </c>
      <c r="G445" s="1" t="s">
        <v>26</v>
      </c>
      <c r="H445" s="4">
        <f t="shared" si="26"/>
        <v>1.5046296296294948E-4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4">
        <v>0.48108796296297007</v>
      </c>
      <c r="D446" s="4">
        <v>0.48123842592593302</v>
      </c>
      <c r="E446" s="2">
        <v>11.629999999999999</v>
      </c>
      <c r="F446" s="62">
        <v>11.739999999999998</v>
      </c>
      <c r="G446" s="1" t="s">
        <v>26</v>
      </c>
      <c r="H446" s="4">
        <f t="shared" si="26"/>
        <v>1.5046296296294948E-4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4">
        <v>0.48152777777778488</v>
      </c>
      <c r="D447" s="4">
        <v>0.48166666666667379</v>
      </c>
      <c r="E447" s="2">
        <v>11.629999999999999</v>
      </c>
      <c r="F447" s="62">
        <v>11.68</v>
      </c>
      <c r="G447" s="1" t="s">
        <v>26</v>
      </c>
      <c r="H447" s="4">
        <f t="shared" si="26"/>
        <v>1.388888888889106E-4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4">
        <v>0.48194444444445156</v>
      </c>
      <c r="D448" s="4">
        <v>0.48208333333334047</v>
      </c>
      <c r="E448" s="2">
        <v>11.629999999999999</v>
      </c>
      <c r="F448" s="62">
        <v>11.739999999999998</v>
      </c>
      <c r="G448" s="1" t="s">
        <v>26</v>
      </c>
      <c r="H448" s="4">
        <f t="shared" si="26"/>
        <v>1.388888888889106E-4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4">
        <v>0.48236111111111823</v>
      </c>
      <c r="D449" s="4">
        <v>0.48252314814815528</v>
      </c>
      <c r="E449" s="2">
        <v>11.629999999999999</v>
      </c>
      <c r="F449" s="62">
        <v>11.729999999999999</v>
      </c>
      <c r="G449" s="1" t="s">
        <v>26</v>
      </c>
      <c r="H449" s="4">
        <f t="shared" si="26"/>
        <v>1.6203703703704386E-4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4">
        <v>0.48277777777778491</v>
      </c>
      <c r="D450" s="4">
        <v>0.48291666666667382</v>
      </c>
      <c r="E450" s="2">
        <v>11.629999999999999</v>
      </c>
      <c r="F450" s="62">
        <v>11.659999999999998</v>
      </c>
      <c r="G450" s="1" t="s">
        <v>26</v>
      </c>
      <c r="H450" s="4">
        <f t="shared" si="26"/>
        <v>1.388888888889106E-4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4">
        <v>0.48317129629630345</v>
      </c>
      <c r="D451" s="4">
        <v>0.48331018518519236</v>
      </c>
      <c r="E451" s="2">
        <v>11.629999999999999</v>
      </c>
      <c r="F451" s="62">
        <v>11.76</v>
      </c>
      <c r="G451" s="1" t="s">
        <v>26</v>
      </c>
      <c r="H451" s="4">
        <f t="shared" si="26"/>
        <v>1.388888888889106E-4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4">
        <v>0.48354166666667386</v>
      </c>
      <c r="D452" s="4">
        <v>0.483715277777785</v>
      </c>
      <c r="E452" s="2">
        <v>11.629999999999999</v>
      </c>
      <c r="F452" s="62">
        <v>11.68</v>
      </c>
      <c r="G452" s="1" t="s">
        <v>26</v>
      </c>
      <c r="H452" s="4">
        <f t="shared" si="26"/>
        <v>1.7361111111113825E-4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4">
        <v>0.48400462962963686</v>
      </c>
      <c r="D453" s="4">
        <v>0.484178240740748</v>
      </c>
      <c r="E453" s="2">
        <v>11.629999999999999</v>
      </c>
      <c r="F453" s="62">
        <v>11.639999999999999</v>
      </c>
      <c r="G453" s="1" t="s">
        <v>26</v>
      </c>
      <c r="H453" s="4">
        <f t="shared" si="26"/>
        <v>1.7361111111113825E-4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4">
        <v>0.4844097222222295</v>
      </c>
      <c r="D454" s="4">
        <v>0.48457175925926654</v>
      </c>
      <c r="E454" s="2">
        <v>11.629999999999999</v>
      </c>
      <c r="F454" s="62">
        <v>11.729999999999999</v>
      </c>
      <c r="G454" s="1" t="s">
        <v>26</v>
      </c>
      <c r="H454" s="4">
        <f t="shared" si="26"/>
        <v>1.6203703703704386E-4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4">
        <v>0.48482638888889618</v>
      </c>
      <c r="D455" s="4">
        <v>0.48498842592593322</v>
      </c>
      <c r="E455" s="2">
        <v>11.629999999999999</v>
      </c>
      <c r="F455" s="62">
        <v>11.749999999999998</v>
      </c>
      <c r="G455" s="1" t="s">
        <v>26</v>
      </c>
      <c r="H455" s="4">
        <f t="shared" si="26"/>
        <v>1.6203703703704386E-4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4">
        <v>0.48526620370371099</v>
      </c>
      <c r="D456" s="4">
        <v>0.48542824074074803</v>
      </c>
      <c r="E456" s="2">
        <v>11.629999999999999</v>
      </c>
      <c r="F456" s="62">
        <v>11.77</v>
      </c>
      <c r="G456" s="1" t="s">
        <v>26</v>
      </c>
      <c r="H456" s="4">
        <f t="shared" si="26"/>
        <v>1.6203703703704386E-4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4">
        <v>0.48568287037037766</v>
      </c>
      <c r="D457" s="4">
        <v>0.48582175925926657</v>
      </c>
      <c r="E457" s="2">
        <v>11.629999999999999</v>
      </c>
      <c r="F457" s="62">
        <v>11.739999999999998</v>
      </c>
      <c r="G457" s="1" t="s">
        <v>26</v>
      </c>
      <c r="H457" s="4">
        <f t="shared" si="26"/>
        <v>1.388888888889106E-4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4">
        <v>0.48605324074074807</v>
      </c>
      <c r="D458" s="4">
        <v>0.48621527777778512</v>
      </c>
      <c r="E458" s="2">
        <v>11.629999999999999</v>
      </c>
      <c r="F458" s="62">
        <v>11.7</v>
      </c>
      <c r="G458" s="1" t="s">
        <v>26</v>
      </c>
      <c r="H458" s="4">
        <f t="shared" si="26"/>
        <v>1.6203703703704386E-4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4">
        <v>0.48649305555556288</v>
      </c>
      <c r="D459" s="4">
        <v>0.48665509259259992</v>
      </c>
      <c r="E459" s="2">
        <v>11.629999999999999</v>
      </c>
      <c r="F459" s="62">
        <v>11.69</v>
      </c>
      <c r="G459" s="1" t="s">
        <v>26</v>
      </c>
      <c r="H459" s="4">
        <f t="shared" ref="H459:H487" si="34">D459-C459</f>
        <v>1.6203703703704386E-4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487" si="35">A459+1</f>
        <v>451</v>
      </c>
      <c r="B460" s="1" t="str">
        <f>"(10,"&amp;I460&amp;")"</f>
        <v>(10,42)</v>
      </c>
      <c r="C460" s="4">
        <v>0.48690972222222956</v>
      </c>
      <c r="D460" s="4">
        <v>0.48704861111111847</v>
      </c>
      <c r="E460" s="2">
        <v>11.629999999999999</v>
      </c>
      <c r="F460" s="62">
        <v>11.639999999999999</v>
      </c>
      <c r="G460" s="1" t="s">
        <v>26</v>
      </c>
      <c r="H460" s="4">
        <f t="shared" si="34"/>
        <v>1.388888888889106E-4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4">
        <v>0.48731481481482219</v>
      </c>
      <c r="D461" s="4">
        <v>0.48745370370371111</v>
      </c>
      <c r="E461" s="2">
        <v>11.629999999999999</v>
      </c>
      <c r="F461" s="62">
        <v>11.76</v>
      </c>
      <c r="G461" s="1" t="s">
        <v>26</v>
      </c>
      <c r="H461" s="4">
        <f t="shared" si="34"/>
        <v>1.388888888889106E-4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4">
        <v>0.48769675925926664</v>
      </c>
      <c r="D462" s="4">
        <v>0.48783564814815555</v>
      </c>
      <c r="E462" s="2">
        <v>11.629999999999999</v>
      </c>
      <c r="F462" s="62">
        <v>11.719999999999999</v>
      </c>
      <c r="G462" s="1" t="s">
        <v>26</v>
      </c>
      <c r="H462" s="4">
        <f t="shared" si="34"/>
        <v>1.388888888889106E-4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4">
        <v>0.48812500000000741</v>
      </c>
      <c r="D463" s="4">
        <v>0.48828703703704446</v>
      </c>
      <c r="E463" s="2">
        <v>11.629999999999999</v>
      </c>
      <c r="F463" s="62">
        <v>11.7</v>
      </c>
      <c r="G463" s="1" t="s">
        <v>26</v>
      </c>
      <c r="H463" s="4">
        <f t="shared" si="34"/>
        <v>1.6203703703704386E-4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4">
        <v>0.48855324074074818</v>
      </c>
      <c r="D464" s="4">
        <v>0.4886921296296371</v>
      </c>
      <c r="E464" s="2">
        <v>11.629999999999999</v>
      </c>
      <c r="F464" s="62">
        <v>11.69</v>
      </c>
      <c r="G464" s="1" t="s">
        <v>26</v>
      </c>
      <c r="H464" s="4">
        <f t="shared" si="34"/>
        <v>1.388888888889106E-4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4">
        <v>0.48895833333334082</v>
      </c>
      <c r="D465" s="4">
        <v>0.48910879629630377</v>
      </c>
      <c r="E465" s="2">
        <v>11.629999999999999</v>
      </c>
      <c r="F465" s="62">
        <v>11.77</v>
      </c>
      <c r="G465" s="1" t="s">
        <v>26</v>
      </c>
      <c r="H465" s="4">
        <f t="shared" si="34"/>
        <v>1.5046296296294948E-4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4">
        <v>0.48939814814815563</v>
      </c>
      <c r="D466" s="4">
        <v>0.48953703703704454</v>
      </c>
      <c r="E466" s="2">
        <v>11.629999999999999</v>
      </c>
      <c r="F466" s="62">
        <v>11.68</v>
      </c>
      <c r="G466" s="1" t="s">
        <v>26</v>
      </c>
      <c r="H466" s="4">
        <f t="shared" si="34"/>
        <v>1.388888888889106E-4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4">
        <v>0.48981481481482231</v>
      </c>
      <c r="D467" s="4">
        <v>0.48995370370371122</v>
      </c>
      <c r="E467" s="2">
        <v>11.629999999999999</v>
      </c>
      <c r="F467" s="62">
        <v>11.69</v>
      </c>
      <c r="G467" s="1" t="s">
        <v>26</v>
      </c>
      <c r="H467" s="4">
        <f t="shared" si="34"/>
        <v>1.388888888889106E-4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4">
        <v>0.49019675925926676</v>
      </c>
      <c r="D468" s="4">
        <v>0.49037037037037789</v>
      </c>
      <c r="E468" s="2">
        <v>11.629999999999999</v>
      </c>
      <c r="F468" s="62">
        <v>11.7</v>
      </c>
      <c r="G468" s="1" t="s">
        <v>26</v>
      </c>
      <c r="H468" s="4">
        <f t="shared" si="34"/>
        <v>1.7361111111113825E-4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4">
        <v>0.49065972222222975</v>
      </c>
      <c r="D469" s="4">
        <v>0.4908217592592668</v>
      </c>
      <c r="E469" s="2">
        <v>11.629999999999999</v>
      </c>
      <c r="F469" s="62">
        <v>11.659999999999998</v>
      </c>
      <c r="G469" s="1" t="s">
        <v>26</v>
      </c>
      <c r="H469" s="4">
        <f t="shared" si="34"/>
        <v>1.6203703703704386E-4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4">
        <v>0.49108796296297053</v>
      </c>
      <c r="D470" s="4">
        <v>0.49125000000000757</v>
      </c>
      <c r="E470" s="2">
        <v>11.629999999999999</v>
      </c>
      <c r="F470" s="62">
        <v>11.639999999999999</v>
      </c>
      <c r="G470" s="1" t="s">
        <v>26</v>
      </c>
      <c r="H470" s="4">
        <f t="shared" si="34"/>
        <v>1.6203703703704386E-4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4">
        <v>0.4915162037037113</v>
      </c>
      <c r="D471" s="4">
        <v>0.49166666666667425</v>
      </c>
      <c r="E471" s="2">
        <v>11.629999999999999</v>
      </c>
      <c r="F471" s="62">
        <v>11.69</v>
      </c>
      <c r="G471" s="1" t="s">
        <v>26</v>
      </c>
      <c r="H471" s="4">
        <f t="shared" si="34"/>
        <v>1.5046296296294948E-4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4">
        <v>0.49190972222222978</v>
      </c>
      <c r="D472" s="4">
        <v>0.49208333333334092</v>
      </c>
      <c r="E472" s="2">
        <v>11.629999999999999</v>
      </c>
      <c r="F472" s="62">
        <v>11.739999999999998</v>
      </c>
      <c r="G472" s="1" t="s">
        <v>26</v>
      </c>
      <c r="H472" s="4">
        <f t="shared" si="34"/>
        <v>1.7361111111113825E-4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4">
        <v>0.49231481481482242</v>
      </c>
      <c r="D473" s="4">
        <v>0.49246527777778537</v>
      </c>
      <c r="E473" s="2">
        <v>11.629999999999999</v>
      </c>
      <c r="F473" s="62">
        <v>11.639999999999999</v>
      </c>
      <c r="G473" s="1" t="s">
        <v>26</v>
      </c>
      <c r="H473" s="4">
        <f t="shared" si="34"/>
        <v>1.5046296296294948E-4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4">
        <v>0.492719907407415</v>
      </c>
      <c r="D474" s="4">
        <v>0.49289351851852614</v>
      </c>
      <c r="E474" s="2">
        <v>11.629999999999999</v>
      </c>
      <c r="F474" s="62">
        <v>11.68</v>
      </c>
      <c r="G474" s="1" t="s">
        <v>26</v>
      </c>
      <c r="H474" s="4">
        <f t="shared" si="34"/>
        <v>1.7361111111113825E-4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4">
        <v>0.49312500000000764</v>
      </c>
      <c r="D475" s="4">
        <v>0.49329861111111878</v>
      </c>
      <c r="E475" s="2">
        <v>11.629999999999999</v>
      </c>
      <c r="F475" s="62">
        <v>11.79</v>
      </c>
      <c r="G475" s="1" t="s">
        <v>26</v>
      </c>
      <c r="H475" s="4">
        <f t="shared" si="34"/>
        <v>1.7361111111113825E-4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4">
        <v>0.49356481481482251</v>
      </c>
      <c r="D476" s="4">
        <v>0.49372685185185955</v>
      </c>
      <c r="E476" s="2">
        <v>11.629999999999999</v>
      </c>
      <c r="F476" s="62">
        <v>11.729999999999999</v>
      </c>
      <c r="G476" s="1" t="s">
        <v>26</v>
      </c>
      <c r="H476" s="4">
        <f t="shared" si="34"/>
        <v>1.6203703703704386E-4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4">
        <v>0.49401620370371141</v>
      </c>
      <c r="D477" s="4">
        <v>0.49415509259260032</v>
      </c>
      <c r="E477" s="2">
        <v>11.629999999999999</v>
      </c>
      <c r="F477" s="62">
        <v>11.68</v>
      </c>
      <c r="G477" s="1" t="s">
        <v>26</v>
      </c>
      <c r="H477" s="4">
        <f t="shared" si="34"/>
        <v>1.388888888889106E-4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4">
        <v>0.49438657407408182</v>
      </c>
      <c r="D478" s="4">
        <v>0.49452546296297073</v>
      </c>
      <c r="E478" s="2">
        <v>11.629999999999999</v>
      </c>
      <c r="F478" s="62">
        <v>11.729999999999999</v>
      </c>
      <c r="G478" s="1" t="s">
        <v>26</v>
      </c>
      <c r="H478" s="4">
        <f t="shared" si="34"/>
        <v>1.388888888889106E-4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4">
        <v>0.49476851851852627</v>
      </c>
      <c r="D479" s="4">
        <v>0.49491898148148922</v>
      </c>
      <c r="E479" s="2">
        <v>11.629999999999999</v>
      </c>
      <c r="F479" s="62">
        <v>11.729999999999999</v>
      </c>
      <c r="G479" s="1" t="s">
        <v>26</v>
      </c>
      <c r="H479" s="4">
        <f t="shared" si="34"/>
        <v>1.5046296296294948E-4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4">
        <v>0.49515046296297072</v>
      </c>
      <c r="D480" s="4">
        <v>0.49528935185185963</v>
      </c>
      <c r="E480" s="2">
        <v>11.629999999999999</v>
      </c>
      <c r="F480" s="62">
        <v>11.719999999999999</v>
      </c>
      <c r="G480" s="1" t="s">
        <v>26</v>
      </c>
      <c r="H480" s="4">
        <f t="shared" si="34"/>
        <v>1.388888888889106E-4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4">
        <v>0.49553240740741517</v>
      </c>
      <c r="D481" s="4">
        <v>0.49568287037037811</v>
      </c>
      <c r="E481" s="2">
        <v>11.629999999999999</v>
      </c>
      <c r="F481" s="62">
        <v>11.69</v>
      </c>
      <c r="G481" s="1" t="s">
        <v>26</v>
      </c>
      <c r="H481" s="4">
        <f t="shared" si="34"/>
        <v>1.5046296296294948E-4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4">
        <v>0.49596064814815588</v>
      </c>
      <c r="D482" s="4">
        <v>0.49611111111111883</v>
      </c>
      <c r="E482" s="2">
        <v>11.629999999999999</v>
      </c>
      <c r="F482" s="62">
        <v>11.669999999999998</v>
      </c>
      <c r="G482" s="1" t="s">
        <v>26</v>
      </c>
      <c r="H482" s="4">
        <f t="shared" si="34"/>
        <v>1.5046296296294948E-4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4">
        <v>0.49634259259260033</v>
      </c>
      <c r="D483" s="4">
        <v>0.49648148148148924</v>
      </c>
      <c r="E483" s="2">
        <v>11.629999999999999</v>
      </c>
      <c r="F483" s="62">
        <v>11.7</v>
      </c>
      <c r="G483" s="1" t="s">
        <v>26</v>
      </c>
      <c r="H483" s="4">
        <f t="shared" si="34"/>
        <v>1.388888888889106E-4</v>
      </c>
      <c r="I483">
        <f t="shared" ref="I483:I487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4">
        <v>0.4967708333333411</v>
      </c>
      <c r="D484" s="4">
        <v>0.49693287037037814</v>
      </c>
      <c r="E484" s="2">
        <v>11.629999999999999</v>
      </c>
      <c r="F484" s="62">
        <v>11.76</v>
      </c>
      <c r="G484" s="1" t="s">
        <v>26</v>
      </c>
      <c r="H484" s="4">
        <f t="shared" si="34"/>
        <v>1.6203703703704386E-4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4">
        <v>0.49719907407408187</v>
      </c>
      <c r="D485" s="4">
        <v>0.49733796296297078</v>
      </c>
      <c r="E485" s="2">
        <v>11.629999999999999</v>
      </c>
      <c r="F485" s="62">
        <v>11.659999999999998</v>
      </c>
      <c r="G485" s="1" t="s">
        <v>26</v>
      </c>
      <c r="H485" s="4">
        <f t="shared" si="34"/>
        <v>1.388888888889106E-4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4">
        <v>0.49759259259260041</v>
      </c>
      <c r="D486" s="4">
        <v>0.49774305555556336</v>
      </c>
      <c r="E486" s="2">
        <v>11.629999999999999</v>
      </c>
      <c r="F486" s="62">
        <v>11.639999999999999</v>
      </c>
      <c r="G486" s="1" t="s">
        <v>26</v>
      </c>
      <c r="H486" s="4">
        <f t="shared" si="34"/>
        <v>1.5046296296294948E-4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4">
        <v>0.49802083333334113</v>
      </c>
      <c r="D487" s="4">
        <v>0.49819444444445227</v>
      </c>
      <c r="E487" s="2">
        <v>11.629999999999999</v>
      </c>
      <c r="F487" s="62">
        <v>11.669999999999998</v>
      </c>
      <c r="G487" s="1" t="s">
        <v>26</v>
      </c>
      <c r="H487" s="4">
        <f t="shared" si="34"/>
        <v>1.7361111111113825E-4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8" customHeight="1" x14ac:dyDescent="0.3">
      <c r="A488" s="38" t="s">
        <v>5</v>
      </c>
      <c r="B488" s="38"/>
      <c r="C488" s="38"/>
      <c r="D488" s="38"/>
      <c r="E488" s="38"/>
      <c r="F488" s="38"/>
      <c r="G488" s="38"/>
      <c r="H488" s="38"/>
      <c r="I488" s="24"/>
      <c r="J488" s="25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29.25" customHeight="1" x14ac:dyDescent="0.3">
      <c r="A489" s="39" t="s">
        <v>13</v>
      </c>
      <c r="B489" s="40"/>
      <c r="C489" s="40"/>
      <c r="D489" s="41"/>
      <c r="E489" s="26">
        <f>SUM(E10:E487)</f>
        <v>5559.1400000000422</v>
      </c>
      <c r="F489" s="48" t="s">
        <v>244</v>
      </c>
      <c r="G489" s="49"/>
      <c r="H489" s="26">
        <f>SUM(F10:F487)</f>
        <v>5597.7699999999977</v>
      </c>
      <c r="I489" s="18"/>
      <c r="J489" s="19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79.5" customHeight="1" x14ac:dyDescent="0.3">
      <c r="A490" s="39" t="s">
        <v>14</v>
      </c>
      <c r="B490" s="40"/>
      <c r="C490" s="41"/>
      <c r="D490" s="27">
        <f>A487</f>
        <v>478</v>
      </c>
      <c r="E490" s="28" t="s">
        <v>15</v>
      </c>
      <c r="F490" s="27">
        <f>D490</f>
        <v>478</v>
      </c>
      <c r="G490" s="31" t="s">
        <v>16</v>
      </c>
      <c r="H490" s="34" t="s">
        <v>22</v>
      </c>
      <c r="I490" s="32"/>
      <c r="J490" s="19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39.75" customHeight="1" x14ac:dyDescent="0.3">
      <c r="A491" s="39" t="s">
        <v>17</v>
      </c>
      <c r="B491" s="40"/>
      <c r="C491" s="40"/>
      <c r="D491" s="41"/>
      <c r="E491" s="26">
        <f>MAX(F10:F487)</f>
        <v>11.79</v>
      </c>
      <c r="F491" s="39" t="s">
        <v>18</v>
      </c>
      <c r="G491" s="41"/>
      <c r="H491" s="26">
        <f>E487</f>
        <v>11.629999999999999</v>
      </c>
      <c r="I491" s="18"/>
      <c r="J491" s="19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9.75" customHeight="1" x14ac:dyDescent="0.3">
      <c r="A492" s="29"/>
      <c r="B492" s="29"/>
      <c r="C492" s="29"/>
      <c r="D492" s="29"/>
      <c r="E492" s="30"/>
      <c r="F492" s="29"/>
      <c r="G492" s="29"/>
      <c r="H492" s="30"/>
      <c r="I492" s="18"/>
      <c r="J492" s="19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26.25" customHeight="1" x14ac:dyDescent="0.3">
      <c r="A493" s="50" t="s">
        <v>202</v>
      </c>
      <c r="B493" s="51"/>
      <c r="C493" s="51"/>
      <c r="D493" s="52"/>
      <c r="E493" s="50" t="s">
        <v>203</v>
      </c>
      <c r="F493" s="51"/>
      <c r="G493" s="51"/>
      <c r="H493" s="52"/>
      <c r="I493" s="44"/>
      <c r="J493" s="45"/>
      <c r="K493" s="45"/>
      <c r="L493" s="45"/>
      <c r="M493" s="45"/>
      <c r="N493" s="45"/>
      <c r="O493" s="45"/>
      <c r="P493" s="45"/>
      <c r="Q493" s="45"/>
      <c r="R493" s="45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26.25" customHeight="1" x14ac:dyDescent="0.3">
      <c r="A494" s="50" t="s">
        <v>204</v>
      </c>
      <c r="B494" s="51"/>
      <c r="C494" s="51"/>
      <c r="D494" s="52"/>
      <c r="E494" s="50" t="s">
        <v>205</v>
      </c>
      <c r="F494" s="51"/>
      <c r="G494" s="51"/>
      <c r="H494" s="52"/>
      <c r="I494" s="44"/>
      <c r="J494" s="45"/>
      <c r="K494" s="45"/>
      <c r="L494" s="45"/>
      <c r="M494" s="45"/>
      <c r="N494" s="45"/>
      <c r="O494" s="45"/>
      <c r="P494" s="45"/>
      <c r="Q494" s="45"/>
      <c r="R494" s="45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5.6" x14ac:dyDescent="0.3">
      <c r="A495" s="53" t="s">
        <v>281</v>
      </c>
      <c r="B495" s="54"/>
      <c r="C495" s="54"/>
      <c r="D495" s="55"/>
      <c r="E495" s="53" t="s">
        <v>282</v>
      </c>
      <c r="F495" s="54"/>
      <c r="G495" s="54"/>
      <c r="H495" s="55"/>
      <c r="I495" s="46"/>
      <c r="J495" s="47"/>
      <c r="K495" s="47"/>
      <c r="L495" s="47"/>
      <c r="M495" s="47"/>
      <c r="N495" s="47"/>
      <c r="O495" s="47"/>
      <c r="P495" s="47"/>
      <c r="Q495" s="47"/>
      <c r="R495" s="47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5" customHeight="1" x14ac:dyDescent="0.3">
      <c r="A496" s="56"/>
      <c r="B496" s="57"/>
      <c r="C496" s="57"/>
      <c r="D496" s="58"/>
      <c r="E496" s="56"/>
      <c r="F496" s="57"/>
      <c r="G496" s="57"/>
      <c r="H496" s="58"/>
      <c r="I496" s="42"/>
      <c r="J496" s="43"/>
      <c r="K496" s="43"/>
      <c r="L496" s="43"/>
      <c r="M496" s="43"/>
      <c r="N496" s="43"/>
      <c r="O496" s="43"/>
      <c r="P496" s="43"/>
      <c r="Q496" s="43"/>
      <c r="R496" s="4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5" customHeight="1" x14ac:dyDescent="0.3">
      <c r="A497" s="56"/>
      <c r="B497" s="57"/>
      <c r="C497" s="57"/>
      <c r="D497" s="58"/>
      <c r="E497" s="56"/>
      <c r="F497" s="57"/>
      <c r="G497" s="57"/>
      <c r="H497" s="58"/>
      <c r="I497" s="42"/>
      <c r="J497" s="43"/>
      <c r="K497" s="43"/>
      <c r="L497" s="43"/>
      <c r="M497" s="43"/>
      <c r="N497" s="43"/>
      <c r="O497" s="43"/>
      <c r="P497" s="43"/>
      <c r="Q497" s="43"/>
      <c r="R497" s="4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5" customHeight="1" x14ac:dyDescent="0.3">
      <c r="A498" s="56"/>
      <c r="B498" s="57"/>
      <c r="C498" s="57"/>
      <c r="D498" s="58"/>
      <c r="E498" s="56"/>
      <c r="F498" s="57"/>
      <c r="G498" s="57"/>
      <c r="H498" s="58"/>
      <c r="I498" s="42"/>
      <c r="J498" s="43"/>
      <c r="K498" s="43"/>
      <c r="L498" s="43"/>
      <c r="M498" s="43"/>
      <c r="N498" s="43"/>
      <c r="O498" s="43"/>
      <c r="P498" s="43"/>
      <c r="Q498" s="43"/>
      <c r="R498" s="4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5" customHeight="1" x14ac:dyDescent="0.3">
      <c r="A499" s="56"/>
      <c r="B499" s="57"/>
      <c r="C499" s="57"/>
      <c r="D499" s="58"/>
      <c r="E499" s="56"/>
      <c r="F499" s="57"/>
      <c r="G499" s="57"/>
      <c r="H499" s="58"/>
      <c r="I499" s="42"/>
      <c r="J499" s="43"/>
      <c r="K499" s="43"/>
      <c r="L499" s="43"/>
      <c r="M499" s="43"/>
      <c r="N499" s="43"/>
      <c r="O499" s="43"/>
      <c r="P499" s="43"/>
      <c r="Q499" s="43"/>
      <c r="R499" s="4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5" customHeight="1" x14ac:dyDescent="0.3">
      <c r="A500" s="59"/>
      <c r="B500" s="60"/>
      <c r="C500" s="60"/>
      <c r="D500" s="61"/>
      <c r="E500" s="59"/>
      <c r="F500" s="60"/>
      <c r="G500" s="60"/>
      <c r="H500" s="61"/>
      <c r="I500" s="42"/>
      <c r="J500" s="43"/>
      <c r="K500" s="43"/>
      <c r="L500" s="43"/>
      <c r="M500" s="43"/>
      <c r="N500" s="43"/>
      <c r="O500" s="43"/>
      <c r="P500" s="43"/>
      <c r="Q500" s="43"/>
      <c r="R500" s="4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5" customHeight="1" x14ac:dyDescent="0.3">
      <c r="A501" s="33"/>
      <c r="B501" s="33"/>
      <c r="C501" s="33"/>
      <c r="D501" s="33"/>
      <c r="E501" s="33"/>
      <c r="F501" s="33"/>
      <c r="G501" s="33"/>
      <c r="H501" s="33"/>
      <c r="I501" s="42"/>
      <c r="J501" s="43"/>
      <c r="K501" s="43"/>
      <c r="L501" s="43"/>
      <c r="M501" s="43"/>
      <c r="N501" s="43"/>
      <c r="O501" s="43"/>
      <c r="P501" s="43"/>
      <c r="Q501" s="43"/>
      <c r="R501" s="4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5" customHeight="1" x14ac:dyDescent="0.3">
      <c r="A502" s="33"/>
      <c r="B502" s="33"/>
      <c r="C502" s="33"/>
      <c r="D502" s="33"/>
      <c r="E502" s="33"/>
      <c r="F502" s="33"/>
      <c r="G502" s="33"/>
      <c r="H502" s="33"/>
      <c r="I502" s="42"/>
      <c r="J502" s="43"/>
      <c r="K502" s="43"/>
      <c r="L502" s="43"/>
      <c r="M502" s="43"/>
      <c r="N502" s="43"/>
      <c r="O502" s="43"/>
      <c r="P502" s="43"/>
      <c r="Q502" s="43"/>
      <c r="R502" s="4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5" customHeight="1" x14ac:dyDescent="0.3">
      <c r="A503" s="33"/>
      <c r="B503" s="33"/>
      <c r="C503" s="33"/>
      <c r="D503" s="33"/>
      <c r="E503" s="33"/>
      <c r="F503" s="33"/>
      <c r="G503" s="33"/>
      <c r="H503" s="33"/>
      <c r="I503" s="42"/>
      <c r="J503" s="43"/>
      <c r="K503" s="43"/>
      <c r="L503" s="43"/>
      <c r="M503" s="43"/>
      <c r="N503" s="43"/>
      <c r="O503" s="43"/>
      <c r="P503" s="43"/>
      <c r="Q503" s="43"/>
      <c r="R503" s="4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5" customHeight="1" x14ac:dyDescent="0.3">
      <c r="A504" s="33"/>
      <c r="B504" s="33"/>
      <c r="C504" s="33"/>
      <c r="D504" s="33"/>
      <c r="E504" s="33"/>
      <c r="F504" s="33"/>
      <c r="G504" s="33"/>
      <c r="H504" s="33"/>
      <c r="I504" s="42"/>
      <c r="J504" s="43"/>
      <c r="K504" s="43"/>
      <c r="L504" s="43"/>
      <c r="M504" s="43"/>
      <c r="N504" s="43"/>
      <c r="O504" s="43"/>
      <c r="P504" s="43"/>
      <c r="Q504" s="43"/>
      <c r="R504" s="4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x14ac:dyDescent="0.3">
      <c r="H505" s="4">
        <f t="shared" ref="H505:H568" si="39">D505-C505</f>
        <v>0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x14ac:dyDescent="0.3">
      <c r="H506" s="4">
        <f t="shared" si="39"/>
        <v>0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x14ac:dyDescent="0.3">
      <c r="H507" s="4">
        <f t="shared" si="39"/>
        <v>0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x14ac:dyDescent="0.3">
      <c r="H508" s="4">
        <f t="shared" si="39"/>
        <v>0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x14ac:dyDescent="0.3">
      <c r="H509" s="4">
        <f t="shared" si="39"/>
        <v>0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x14ac:dyDescent="0.3">
      <c r="H510" s="4">
        <f t="shared" si="39"/>
        <v>0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x14ac:dyDescent="0.3">
      <c r="H511" s="4">
        <f t="shared" si="39"/>
        <v>0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x14ac:dyDescent="0.3">
      <c r="H512" s="4">
        <f t="shared" si="39"/>
        <v>0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8:110" x14ac:dyDescent="0.3">
      <c r="H513" s="4">
        <f t="shared" si="39"/>
        <v>0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8:110" x14ac:dyDescent="0.3">
      <c r="H514" s="4">
        <f t="shared" si="39"/>
        <v>0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8:110" x14ac:dyDescent="0.3">
      <c r="H515" s="4">
        <f t="shared" si="39"/>
        <v>0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8:110" x14ac:dyDescent="0.3">
      <c r="H516" s="4">
        <f t="shared" si="39"/>
        <v>0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8:110" x14ac:dyDescent="0.3">
      <c r="H517" s="4">
        <f t="shared" si="39"/>
        <v>0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8:110" x14ac:dyDescent="0.3">
      <c r="H518" s="4">
        <f t="shared" si="39"/>
        <v>0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8:110" x14ac:dyDescent="0.3">
      <c r="H519" s="4">
        <f t="shared" si="39"/>
        <v>0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8:110" x14ac:dyDescent="0.3">
      <c r="H520" s="4">
        <f t="shared" si="39"/>
        <v>0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8:110" x14ac:dyDescent="0.3">
      <c r="H521" s="4">
        <f t="shared" si="39"/>
        <v>0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8:110" x14ac:dyDescent="0.3">
      <c r="H522" s="4">
        <f t="shared" si="39"/>
        <v>0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8:110" x14ac:dyDescent="0.3">
      <c r="H523" s="4">
        <f t="shared" si="39"/>
        <v>0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8:110" x14ac:dyDescent="0.3">
      <c r="H524" s="4">
        <f t="shared" si="39"/>
        <v>0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8:110" x14ac:dyDescent="0.3">
      <c r="H525" s="4">
        <f t="shared" si="39"/>
        <v>0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8:110" x14ac:dyDescent="0.3">
      <c r="H526" s="4">
        <f t="shared" si="39"/>
        <v>0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8:110" x14ac:dyDescent="0.3">
      <c r="H527" s="4">
        <f t="shared" si="39"/>
        <v>0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8:110" x14ac:dyDescent="0.3">
      <c r="H528" s="4">
        <f t="shared" si="39"/>
        <v>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8:110" x14ac:dyDescent="0.3">
      <c r="H529" s="4">
        <f t="shared" si="39"/>
        <v>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8:110" x14ac:dyDescent="0.3">
      <c r="H530" s="4">
        <f t="shared" si="39"/>
        <v>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8:110" x14ac:dyDescent="0.3">
      <c r="H531" s="4">
        <f t="shared" si="39"/>
        <v>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8:110" x14ac:dyDescent="0.3">
      <c r="H532" s="4">
        <f t="shared" si="39"/>
        <v>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8:110" x14ac:dyDescent="0.3">
      <c r="H533" s="4">
        <f t="shared" si="39"/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8:110" x14ac:dyDescent="0.3">
      <c r="H534" s="4">
        <f t="shared" si="39"/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8:110" x14ac:dyDescent="0.3">
      <c r="H535" s="4">
        <f t="shared" si="39"/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8:110" x14ac:dyDescent="0.3">
      <c r="H536" s="4">
        <f t="shared" si="39"/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8:110" x14ac:dyDescent="0.3">
      <c r="H537" s="4">
        <f t="shared" si="39"/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8:110" x14ac:dyDescent="0.3">
      <c r="H538" s="4">
        <f t="shared" si="39"/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8:110" x14ac:dyDescent="0.3">
      <c r="H539" s="4">
        <f t="shared" si="39"/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8:110" x14ac:dyDescent="0.3">
      <c r="H540" s="4">
        <f t="shared" si="39"/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8:110" x14ac:dyDescent="0.3">
      <c r="H541" s="4">
        <f t="shared" si="39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8:110" x14ac:dyDescent="0.3">
      <c r="H542" s="4">
        <f t="shared" si="39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8:110" x14ac:dyDescent="0.3">
      <c r="H543" s="4">
        <f t="shared" si="39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8:110" x14ac:dyDescent="0.3">
      <c r="H544" s="4">
        <f t="shared" si="39"/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39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39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39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39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39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39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39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39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39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39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39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39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39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39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39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39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39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39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39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39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39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39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39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39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ref="H569:H632" si="40">D569-C569</f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40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40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40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40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40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40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40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40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40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40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40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40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40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40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40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40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40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40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40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40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40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si="40"/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40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0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0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0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0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40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0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0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0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0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0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0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0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0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0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0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0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0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0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0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0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0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0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0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0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0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0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0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0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0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0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0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0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0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0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0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0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0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0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0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0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ref="H633:H696" si="41">D633-C633</f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1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1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1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1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1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1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1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1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1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1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1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1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41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1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1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1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1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1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1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1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1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si="41"/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1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1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1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1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1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41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1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1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1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1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1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1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1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1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1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1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1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1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1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1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1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1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1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1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1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1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1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1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1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1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1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1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1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1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1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1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1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1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1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1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1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ref="H697:H760" si="42">D697-C697</f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2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2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2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2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2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2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2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2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2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2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2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2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42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42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42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42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42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42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42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42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42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si="42"/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42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42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42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42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42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42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42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42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42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42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42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42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42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42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42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42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42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42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42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42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42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42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42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42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42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42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42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42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42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42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42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42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42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42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42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42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42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42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42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42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42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ref="H761:H824" si="43">D761-C761</f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43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43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43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43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43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43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43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43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43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43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43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43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43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43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43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43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43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43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43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43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43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43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43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43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43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43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43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43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43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43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43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43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43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43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43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43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43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43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43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43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43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43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43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43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43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43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43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43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43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43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43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43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43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43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43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43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43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43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43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43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43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43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43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ref="H825:H888" si="44">D825-C825</f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44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44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44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44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44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44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44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44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44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44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44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44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44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44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44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44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44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44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44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44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44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44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44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44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44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44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44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44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44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44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44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44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44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44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44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44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44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44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44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44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44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44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44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44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44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44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44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44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44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44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44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44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44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44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44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44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44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44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44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44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44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44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44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ref="H889:H952" si="45">D889-C889</f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45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45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45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45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45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45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45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45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45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45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45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45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45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45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45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45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45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45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45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45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45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45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45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45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45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45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45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45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45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45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45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45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45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45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45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45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45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45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45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45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45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45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45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45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45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45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45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45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45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45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45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45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45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45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45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45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45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45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45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45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45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45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45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ref="H953:H1016" si="46">D953-C953</f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46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46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46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46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46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46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46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46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46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46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46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46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46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46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46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46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46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46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46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46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46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46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46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46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46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46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46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46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46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46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46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46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46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46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46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46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46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46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46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46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46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46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46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46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46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46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46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46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46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46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46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46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46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46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46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46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46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46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46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46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46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46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46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ref="H1017:H1080" si="47">D1017-C1017</f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47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47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47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47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47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47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47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47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47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47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47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47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47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47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47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47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47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47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47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47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47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47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47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47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47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47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47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47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47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47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47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47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47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47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47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47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47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47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47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47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47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47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47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47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47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47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47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47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47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47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47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47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47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47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47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47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47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47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47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47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47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47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47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ref="H1081:H1144" si="48">D1081-C1081</f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48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48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48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48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48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48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48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48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48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48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48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48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48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48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48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48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48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48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48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48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48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48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48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48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48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48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48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48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48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48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48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48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48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48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48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48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48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48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48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48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48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48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48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48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48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48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48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48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48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48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48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48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48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48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48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48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48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48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48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48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48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48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48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ref="H1145:H1208" si="49">D1145-C1145</f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49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49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49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49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49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49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49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49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49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49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49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49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49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49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49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49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49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49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49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49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49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49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49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49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49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49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49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49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49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49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49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49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49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49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49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49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49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49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49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49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49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49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49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49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49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49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49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49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49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49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49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49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49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49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49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49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49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49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49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49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49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49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49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ref="H1209:H1272" si="50">D1209-C1209</f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0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0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0"/>
        <v>0</v>
      </c>
      <c r="K1212" s="3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  <c r="BB1212" s="16"/>
      <c r="BC1212" s="16"/>
      <c r="BD1212" s="16"/>
      <c r="BE1212" s="16"/>
      <c r="BF1212" s="16"/>
      <c r="BG1212" s="16"/>
      <c r="BH1212" s="16"/>
      <c r="BI1212" s="16"/>
      <c r="BJ1212" s="16"/>
      <c r="BK1212" s="16"/>
      <c r="BL1212" s="16"/>
      <c r="BM1212" s="16"/>
      <c r="BN1212" s="16"/>
      <c r="BO1212" s="16"/>
      <c r="BP1212" s="16"/>
      <c r="BQ1212" s="16"/>
      <c r="BR1212" s="16"/>
      <c r="BS1212" s="16"/>
      <c r="BT1212" s="16"/>
      <c r="BU1212" s="16"/>
      <c r="BV1212" s="16"/>
      <c r="BW1212" s="16"/>
      <c r="BX1212" s="16"/>
      <c r="BY1212" s="16"/>
      <c r="BZ1212" s="16"/>
      <c r="CA1212" s="16"/>
      <c r="CB1212" s="16"/>
      <c r="CC1212" s="16"/>
      <c r="CD1212" s="16"/>
      <c r="CE1212" s="16"/>
      <c r="CF1212" s="16"/>
      <c r="CG1212" s="16"/>
      <c r="CH1212" s="16"/>
      <c r="CI1212" s="16"/>
      <c r="CJ1212" s="16"/>
      <c r="CK1212" s="16"/>
      <c r="CL1212" s="16"/>
      <c r="CM1212" s="16"/>
      <c r="CN1212" s="16"/>
      <c r="CO1212" s="16"/>
      <c r="CP1212" s="16"/>
      <c r="CQ1212" s="16"/>
      <c r="CR1212" s="16"/>
      <c r="CS1212" s="16"/>
      <c r="CT1212" s="16"/>
      <c r="CU1212" s="16"/>
      <c r="CV1212" s="16"/>
      <c r="CW1212" s="16"/>
      <c r="CX1212" s="16"/>
      <c r="CY1212" s="16"/>
      <c r="CZ1212" s="16"/>
      <c r="DA1212" s="16"/>
      <c r="DB1212" s="16"/>
      <c r="DC1212" s="16"/>
      <c r="DD1212" s="16"/>
      <c r="DE1212" s="16"/>
      <c r="DF1212" s="16"/>
    </row>
    <row r="1213" spans="8:110" x14ac:dyDescent="0.3">
      <c r="H1213" s="4">
        <f t="shared" si="50"/>
        <v>0</v>
      </c>
      <c r="K1213" s="3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  <c r="BB1213" s="16"/>
      <c r="BC1213" s="16"/>
      <c r="BD1213" s="16"/>
      <c r="BE1213" s="16"/>
      <c r="BF1213" s="16"/>
      <c r="BG1213" s="16"/>
      <c r="BH1213" s="16"/>
      <c r="BI1213" s="16"/>
      <c r="BJ1213" s="16"/>
      <c r="BK1213" s="16"/>
      <c r="BL1213" s="16"/>
      <c r="BM1213" s="16"/>
      <c r="BN1213" s="16"/>
      <c r="BO1213" s="16"/>
      <c r="BP1213" s="16"/>
      <c r="BQ1213" s="16"/>
      <c r="BR1213" s="16"/>
      <c r="BS1213" s="16"/>
      <c r="BT1213" s="16"/>
      <c r="BU1213" s="16"/>
      <c r="BV1213" s="16"/>
      <c r="BW1213" s="16"/>
      <c r="BX1213" s="16"/>
      <c r="BY1213" s="16"/>
      <c r="BZ1213" s="16"/>
      <c r="CA1213" s="16"/>
      <c r="CB1213" s="16"/>
      <c r="CC1213" s="16"/>
      <c r="CD1213" s="16"/>
      <c r="CE1213" s="16"/>
      <c r="CF1213" s="16"/>
      <c r="CG1213" s="16"/>
      <c r="CH1213" s="16"/>
      <c r="CI1213" s="16"/>
      <c r="CJ1213" s="16"/>
      <c r="CK1213" s="16"/>
      <c r="CL1213" s="16"/>
      <c r="CM1213" s="16"/>
      <c r="CN1213" s="16"/>
      <c r="CO1213" s="16"/>
      <c r="CP1213" s="16"/>
      <c r="CQ1213" s="16"/>
      <c r="CR1213" s="16"/>
      <c r="CS1213" s="16"/>
      <c r="CT1213" s="16"/>
      <c r="CU1213" s="16"/>
      <c r="CV1213" s="16"/>
      <c r="CW1213" s="16"/>
      <c r="CX1213" s="16"/>
      <c r="CY1213" s="16"/>
      <c r="CZ1213" s="16"/>
      <c r="DA1213" s="16"/>
      <c r="DB1213" s="16"/>
      <c r="DC1213" s="16"/>
      <c r="DD1213" s="16"/>
      <c r="DE1213" s="16"/>
      <c r="DF1213" s="16"/>
    </row>
    <row r="1214" spans="8:110" x14ac:dyDescent="0.3">
      <c r="H1214" s="4">
        <f t="shared" si="50"/>
        <v>0</v>
      </c>
      <c r="K1214" s="3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  <c r="BN1214" s="16"/>
      <c r="BO1214" s="16"/>
      <c r="BP1214" s="16"/>
      <c r="BQ1214" s="16"/>
      <c r="BR1214" s="16"/>
      <c r="BS1214" s="16"/>
      <c r="BT1214" s="16"/>
      <c r="BU1214" s="16"/>
      <c r="BV1214" s="16"/>
      <c r="BW1214" s="16"/>
      <c r="BX1214" s="16"/>
      <c r="BY1214" s="16"/>
      <c r="BZ1214" s="16"/>
      <c r="CA1214" s="16"/>
      <c r="CB1214" s="16"/>
      <c r="CC1214" s="16"/>
      <c r="CD1214" s="16"/>
      <c r="CE1214" s="16"/>
      <c r="CF1214" s="16"/>
      <c r="CG1214" s="16"/>
      <c r="CH1214" s="16"/>
      <c r="CI1214" s="16"/>
      <c r="CJ1214" s="16"/>
      <c r="CK1214" s="16"/>
      <c r="CL1214" s="16"/>
      <c r="CM1214" s="16"/>
      <c r="CN1214" s="16"/>
      <c r="CO1214" s="16"/>
      <c r="CP1214" s="16"/>
      <c r="CQ1214" s="16"/>
      <c r="CR1214" s="16"/>
      <c r="CS1214" s="16"/>
      <c r="CT1214" s="16"/>
      <c r="CU1214" s="16"/>
      <c r="CV1214" s="16"/>
      <c r="CW1214" s="16"/>
      <c r="CX1214" s="16"/>
      <c r="CY1214" s="16"/>
      <c r="CZ1214" s="16"/>
      <c r="DA1214" s="16"/>
      <c r="DB1214" s="16"/>
      <c r="DC1214" s="16"/>
      <c r="DD1214" s="16"/>
      <c r="DE1214" s="16"/>
      <c r="DF1214" s="16"/>
    </row>
    <row r="1215" spans="8:110" x14ac:dyDescent="0.3">
      <c r="H1215" s="4">
        <f t="shared" si="50"/>
        <v>0</v>
      </c>
      <c r="K1215" s="3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  <c r="BB1215" s="16"/>
      <c r="BC1215" s="16"/>
      <c r="BD1215" s="16"/>
      <c r="BE1215" s="16"/>
      <c r="BF1215" s="16"/>
      <c r="BG1215" s="16"/>
      <c r="BH1215" s="16"/>
      <c r="BI1215" s="16"/>
      <c r="BJ1215" s="16"/>
      <c r="BK1215" s="16"/>
      <c r="BL1215" s="16"/>
      <c r="BM1215" s="16"/>
      <c r="BN1215" s="16"/>
      <c r="BO1215" s="16"/>
      <c r="BP1215" s="16"/>
      <c r="BQ1215" s="16"/>
      <c r="BR1215" s="16"/>
      <c r="BS1215" s="16"/>
      <c r="BT1215" s="16"/>
      <c r="BU1215" s="16"/>
      <c r="BV1215" s="16"/>
      <c r="BW1215" s="16"/>
      <c r="BX1215" s="16"/>
      <c r="BY1215" s="16"/>
      <c r="BZ1215" s="16"/>
      <c r="CA1215" s="16"/>
      <c r="CB1215" s="16"/>
      <c r="CC1215" s="16"/>
      <c r="CD1215" s="16"/>
      <c r="CE1215" s="16"/>
      <c r="CF1215" s="16"/>
      <c r="CG1215" s="16"/>
      <c r="CH1215" s="16"/>
      <c r="CI1215" s="16"/>
      <c r="CJ1215" s="16"/>
      <c r="CK1215" s="16"/>
      <c r="CL1215" s="16"/>
      <c r="CM1215" s="16"/>
      <c r="CN1215" s="16"/>
      <c r="CO1215" s="16"/>
      <c r="CP1215" s="16"/>
      <c r="CQ1215" s="16"/>
      <c r="CR1215" s="16"/>
      <c r="CS1215" s="16"/>
      <c r="CT1215" s="16"/>
      <c r="CU1215" s="16"/>
      <c r="CV1215" s="16"/>
      <c r="CW1215" s="16"/>
      <c r="CX1215" s="16"/>
      <c r="CY1215" s="16"/>
      <c r="CZ1215" s="16"/>
      <c r="DA1215" s="16"/>
      <c r="DB1215" s="16"/>
      <c r="DC1215" s="16"/>
      <c r="DD1215" s="16"/>
      <c r="DE1215" s="16"/>
      <c r="DF1215" s="16"/>
    </row>
    <row r="1216" spans="8:110" x14ac:dyDescent="0.3">
      <c r="H1216" s="4">
        <f t="shared" si="50"/>
        <v>0</v>
      </c>
      <c r="K1216" s="3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6"/>
      <c r="BA1216" s="16"/>
      <c r="BB1216" s="16"/>
      <c r="BC1216" s="16"/>
      <c r="BD1216" s="16"/>
      <c r="BE1216" s="16"/>
      <c r="BF1216" s="16"/>
      <c r="BG1216" s="16"/>
      <c r="BH1216" s="16"/>
      <c r="BI1216" s="16"/>
      <c r="BJ1216" s="16"/>
      <c r="BK1216" s="16"/>
      <c r="BL1216" s="16"/>
      <c r="BM1216" s="16"/>
      <c r="BN1216" s="16"/>
      <c r="BO1216" s="16"/>
      <c r="BP1216" s="16"/>
      <c r="BQ1216" s="16"/>
      <c r="BR1216" s="16"/>
      <c r="BS1216" s="16"/>
      <c r="BT1216" s="16"/>
      <c r="BU1216" s="16"/>
      <c r="BV1216" s="16"/>
      <c r="BW1216" s="16"/>
      <c r="BX1216" s="16"/>
      <c r="BY1216" s="16"/>
      <c r="BZ1216" s="16"/>
      <c r="CA1216" s="16"/>
      <c r="CB1216" s="16"/>
      <c r="CC1216" s="16"/>
      <c r="CD1216" s="16"/>
      <c r="CE1216" s="16"/>
      <c r="CF1216" s="16"/>
      <c r="CG1216" s="16"/>
      <c r="CH1216" s="16"/>
      <c r="CI1216" s="16"/>
      <c r="CJ1216" s="16"/>
      <c r="CK1216" s="16"/>
      <c r="CL1216" s="16"/>
      <c r="CM1216" s="16"/>
      <c r="CN1216" s="16"/>
      <c r="CO1216" s="16"/>
      <c r="CP1216" s="16"/>
      <c r="CQ1216" s="16"/>
      <c r="CR1216" s="16"/>
      <c r="CS1216" s="16"/>
      <c r="CT1216" s="16"/>
      <c r="CU1216" s="16"/>
      <c r="CV1216" s="16"/>
      <c r="CW1216" s="16"/>
      <c r="CX1216" s="16"/>
      <c r="CY1216" s="16"/>
      <c r="CZ1216" s="16"/>
      <c r="DA1216" s="16"/>
      <c r="DB1216" s="16"/>
      <c r="DC1216" s="16"/>
      <c r="DD1216" s="16"/>
      <c r="DE1216" s="16"/>
      <c r="DF1216" s="16"/>
    </row>
    <row r="1217" spans="8:110" x14ac:dyDescent="0.3">
      <c r="H1217" s="4">
        <f t="shared" si="50"/>
        <v>0</v>
      </c>
      <c r="K1217" s="3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16"/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6"/>
      <c r="BA1217" s="16"/>
      <c r="BB1217" s="16"/>
      <c r="BC1217" s="16"/>
      <c r="BD1217" s="16"/>
      <c r="BE1217" s="16"/>
      <c r="BF1217" s="16"/>
      <c r="BG1217" s="16"/>
      <c r="BH1217" s="16"/>
      <c r="BI1217" s="16"/>
      <c r="BJ1217" s="16"/>
      <c r="BK1217" s="16"/>
      <c r="BL1217" s="16"/>
      <c r="BM1217" s="16"/>
      <c r="BN1217" s="16"/>
      <c r="BO1217" s="16"/>
      <c r="BP1217" s="16"/>
      <c r="BQ1217" s="16"/>
      <c r="BR1217" s="16"/>
      <c r="BS1217" s="16"/>
      <c r="BT1217" s="16"/>
      <c r="BU1217" s="16"/>
      <c r="BV1217" s="16"/>
      <c r="BW1217" s="16"/>
      <c r="BX1217" s="16"/>
      <c r="BY1217" s="16"/>
      <c r="BZ1217" s="16"/>
      <c r="CA1217" s="16"/>
      <c r="CB1217" s="16"/>
      <c r="CC1217" s="16"/>
      <c r="CD1217" s="16"/>
      <c r="CE1217" s="16"/>
      <c r="CF1217" s="16"/>
      <c r="CG1217" s="16"/>
      <c r="CH1217" s="16"/>
      <c r="CI1217" s="16"/>
      <c r="CJ1217" s="16"/>
      <c r="CK1217" s="16"/>
      <c r="CL1217" s="16"/>
      <c r="CM1217" s="16"/>
      <c r="CN1217" s="16"/>
      <c r="CO1217" s="16"/>
      <c r="CP1217" s="16"/>
      <c r="CQ1217" s="16"/>
      <c r="CR1217" s="16"/>
      <c r="CS1217" s="16"/>
      <c r="CT1217" s="16"/>
      <c r="CU1217" s="16"/>
      <c r="CV1217" s="16"/>
      <c r="CW1217" s="16"/>
      <c r="CX1217" s="16"/>
      <c r="CY1217" s="16"/>
      <c r="CZ1217" s="16"/>
      <c r="DA1217" s="16"/>
      <c r="DB1217" s="16"/>
      <c r="DC1217" s="16"/>
      <c r="DD1217" s="16"/>
      <c r="DE1217" s="16"/>
      <c r="DF1217" s="16"/>
    </row>
    <row r="1218" spans="8:110" x14ac:dyDescent="0.3">
      <c r="H1218" s="4">
        <f t="shared" si="50"/>
        <v>0</v>
      </c>
      <c r="K1218" s="3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s="16"/>
      <c r="BG1218" s="16"/>
      <c r="BH1218" s="16"/>
      <c r="BI1218" s="16"/>
      <c r="BJ1218" s="16"/>
      <c r="BK1218" s="16"/>
      <c r="BL1218" s="16"/>
      <c r="BM1218" s="16"/>
      <c r="BN1218" s="16"/>
      <c r="BO1218" s="16"/>
      <c r="BP1218" s="16"/>
      <c r="BQ1218" s="16"/>
      <c r="BR1218" s="16"/>
      <c r="BS1218" s="16"/>
      <c r="BT1218" s="16"/>
      <c r="BU1218" s="16"/>
      <c r="BV1218" s="16"/>
      <c r="BW1218" s="16"/>
      <c r="BX1218" s="16"/>
      <c r="BY1218" s="16"/>
      <c r="BZ1218" s="16"/>
      <c r="CA1218" s="16"/>
      <c r="CB1218" s="16"/>
      <c r="CC1218" s="16"/>
      <c r="CD1218" s="16"/>
      <c r="CE1218" s="16"/>
      <c r="CF1218" s="16"/>
      <c r="CG1218" s="16"/>
      <c r="CH1218" s="16"/>
      <c r="CI1218" s="16"/>
      <c r="CJ1218" s="16"/>
      <c r="CK1218" s="16"/>
      <c r="CL1218" s="16"/>
      <c r="CM1218" s="16"/>
      <c r="CN1218" s="16"/>
      <c r="CO1218" s="16"/>
      <c r="CP1218" s="16"/>
      <c r="CQ1218" s="16"/>
      <c r="CR1218" s="16"/>
      <c r="CS1218" s="16"/>
      <c r="CT1218" s="16"/>
      <c r="CU1218" s="16"/>
      <c r="CV1218" s="16"/>
      <c r="CW1218" s="16"/>
      <c r="CX1218" s="16"/>
      <c r="CY1218" s="16"/>
      <c r="CZ1218" s="16"/>
      <c r="DA1218" s="16"/>
      <c r="DB1218" s="16"/>
      <c r="DC1218" s="16"/>
      <c r="DD1218" s="16"/>
      <c r="DE1218" s="16"/>
      <c r="DF1218" s="16"/>
    </row>
    <row r="1219" spans="8:110" x14ac:dyDescent="0.3">
      <c r="H1219" s="4">
        <f t="shared" si="50"/>
        <v>0</v>
      </c>
      <c r="K1219" s="3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6"/>
      <c r="BE1219" s="16"/>
      <c r="BF1219" s="16"/>
      <c r="BG1219" s="16"/>
      <c r="BH1219" s="16"/>
      <c r="BI1219" s="16"/>
      <c r="BJ1219" s="16"/>
      <c r="BK1219" s="16"/>
      <c r="BL1219" s="16"/>
      <c r="BM1219" s="16"/>
      <c r="BN1219" s="16"/>
      <c r="BO1219" s="16"/>
      <c r="BP1219" s="16"/>
      <c r="BQ1219" s="16"/>
      <c r="BR1219" s="16"/>
      <c r="BS1219" s="16"/>
      <c r="BT1219" s="16"/>
      <c r="BU1219" s="16"/>
      <c r="BV1219" s="16"/>
      <c r="BW1219" s="16"/>
      <c r="BX1219" s="16"/>
      <c r="BY1219" s="16"/>
      <c r="BZ1219" s="16"/>
      <c r="CA1219" s="16"/>
      <c r="CB1219" s="16"/>
      <c r="CC1219" s="16"/>
      <c r="CD1219" s="16"/>
      <c r="CE1219" s="16"/>
      <c r="CF1219" s="16"/>
      <c r="CG1219" s="16"/>
      <c r="CH1219" s="16"/>
      <c r="CI1219" s="16"/>
      <c r="CJ1219" s="16"/>
      <c r="CK1219" s="16"/>
      <c r="CL1219" s="16"/>
      <c r="CM1219" s="16"/>
      <c r="CN1219" s="16"/>
      <c r="CO1219" s="16"/>
      <c r="CP1219" s="16"/>
      <c r="CQ1219" s="16"/>
      <c r="CR1219" s="16"/>
      <c r="CS1219" s="16"/>
      <c r="CT1219" s="16"/>
      <c r="CU1219" s="16"/>
      <c r="CV1219" s="16"/>
      <c r="CW1219" s="16"/>
      <c r="CX1219" s="16"/>
      <c r="CY1219" s="16"/>
      <c r="CZ1219" s="16"/>
      <c r="DA1219" s="16"/>
      <c r="DB1219" s="16"/>
      <c r="DC1219" s="16"/>
      <c r="DD1219" s="16"/>
      <c r="DE1219" s="16"/>
      <c r="DF1219" s="16"/>
    </row>
    <row r="1220" spans="8:110" x14ac:dyDescent="0.3">
      <c r="H1220" s="4">
        <f t="shared" si="50"/>
        <v>0</v>
      </c>
      <c r="K1220" s="3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6"/>
      <c r="BE1220" s="16"/>
      <c r="BF1220" s="16"/>
      <c r="BG1220" s="16"/>
      <c r="BH1220" s="16"/>
      <c r="BI1220" s="16"/>
      <c r="BJ1220" s="16"/>
      <c r="BK1220" s="16"/>
      <c r="BL1220" s="16"/>
      <c r="BM1220" s="16"/>
      <c r="BN1220" s="16"/>
      <c r="BO1220" s="16"/>
      <c r="BP1220" s="16"/>
      <c r="BQ1220" s="16"/>
      <c r="BR1220" s="16"/>
      <c r="BS1220" s="16"/>
      <c r="BT1220" s="16"/>
      <c r="BU1220" s="16"/>
      <c r="BV1220" s="16"/>
      <c r="BW1220" s="16"/>
      <c r="BX1220" s="16"/>
      <c r="BY1220" s="16"/>
      <c r="BZ1220" s="16"/>
      <c r="CA1220" s="16"/>
      <c r="CB1220" s="16"/>
      <c r="CC1220" s="16"/>
      <c r="CD1220" s="16"/>
      <c r="CE1220" s="16"/>
      <c r="CF1220" s="16"/>
      <c r="CG1220" s="16"/>
      <c r="CH1220" s="16"/>
      <c r="CI1220" s="16"/>
      <c r="CJ1220" s="16"/>
      <c r="CK1220" s="16"/>
      <c r="CL1220" s="16"/>
      <c r="CM1220" s="16"/>
      <c r="CN1220" s="16"/>
      <c r="CO1220" s="16"/>
      <c r="CP1220" s="16"/>
      <c r="CQ1220" s="16"/>
      <c r="CR1220" s="16"/>
      <c r="CS1220" s="16"/>
      <c r="CT1220" s="16"/>
      <c r="CU1220" s="16"/>
      <c r="CV1220" s="16"/>
      <c r="CW1220" s="16"/>
      <c r="CX1220" s="16"/>
      <c r="CY1220" s="16"/>
      <c r="CZ1220" s="16"/>
      <c r="DA1220" s="16"/>
      <c r="DB1220" s="16"/>
      <c r="DC1220" s="16"/>
      <c r="DD1220" s="16"/>
      <c r="DE1220" s="16"/>
      <c r="DF1220" s="16"/>
    </row>
    <row r="1221" spans="8:110" x14ac:dyDescent="0.3">
      <c r="H1221" s="4">
        <f t="shared" si="50"/>
        <v>0</v>
      </c>
      <c r="K1221" s="3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/>
      <c r="BE1221" s="16"/>
      <c r="BF1221" s="16"/>
      <c r="BG1221" s="16"/>
      <c r="BH1221" s="16"/>
      <c r="BI1221" s="16"/>
      <c r="BJ1221" s="16"/>
      <c r="BK1221" s="16"/>
      <c r="BL1221" s="16"/>
      <c r="BM1221" s="16"/>
      <c r="BN1221" s="16"/>
      <c r="BO1221" s="16"/>
      <c r="BP1221" s="16"/>
      <c r="BQ1221" s="16"/>
      <c r="BR1221" s="16"/>
      <c r="BS1221" s="16"/>
      <c r="BT1221" s="16"/>
      <c r="BU1221" s="16"/>
      <c r="BV1221" s="16"/>
      <c r="BW1221" s="16"/>
      <c r="BX1221" s="16"/>
      <c r="BY1221" s="16"/>
      <c r="BZ1221" s="16"/>
      <c r="CA1221" s="16"/>
      <c r="CB1221" s="16"/>
      <c r="CC1221" s="16"/>
      <c r="CD1221" s="16"/>
      <c r="CE1221" s="16"/>
      <c r="CF1221" s="16"/>
      <c r="CG1221" s="16"/>
      <c r="CH1221" s="16"/>
      <c r="CI1221" s="16"/>
      <c r="CJ1221" s="16"/>
      <c r="CK1221" s="16"/>
      <c r="CL1221" s="16"/>
      <c r="CM1221" s="16"/>
      <c r="CN1221" s="16"/>
      <c r="CO1221" s="16"/>
      <c r="CP1221" s="16"/>
      <c r="CQ1221" s="16"/>
      <c r="CR1221" s="16"/>
      <c r="CS1221" s="16"/>
      <c r="CT1221" s="16"/>
      <c r="CU1221" s="16"/>
      <c r="CV1221" s="16"/>
      <c r="CW1221" s="16"/>
      <c r="CX1221" s="16"/>
      <c r="CY1221" s="16"/>
      <c r="CZ1221" s="16"/>
      <c r="DA1221" s="16"/>
      <c r="DB1221" s="16"/>
      <c r="DC1221" s="16"/>
      <c r="DD1221" s="16"/>
      <c r="DE1221" s="16"/>
      <c r="DF1221" s="16"/>
    </row>
    <row r="1222" spans="8:110" x14ac:dyDescent="0.3">
      <c r="H1222" s="4">
        <f t="shared" si="50"/>
        <v>0</v>
      </c>
      <c r="K1222" s="3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  <c r="BN1222" s="16"/>
      <c r="BO1222" s="16"/>
      <c r="BP1222" s="16"/>
      <c r="BQ1222" s="16"/>
      <c r="BR1222" s="16"/>
      <c r="BS1222" s="16"/>
      <c r="BT1222" s="16"/>
      <c r="BU1222" s="16"/>
      <c r="BV1222" s="16"/>
      <c r="BW1222" s="16"/>
      <c r="BX1222" s="16"/>
      <c r="BY1222" s="16"/>
      <c r="BZ1222" s="16"/>
      <c r="CA1222" s="16"/>
      <c r="CB1222" s="16"/>
      <c r="CC1222" s="16"/>
      <c r="CD1222" s="16"/>
      <c r="CE1222" s="16"/>
      <c r="CF1222" s="16"/>
      <c r="CG1222" s="16"/>
      <c r="CH1222" s="16"/>
      <c r="CI1222" s="16"/>
      <c r="CJ1222" s="16"/>
      <c r="CK1222" s="16"/>
      <c r="CL1222" s="16"/>
      <c r="CM1222" s="16"/>
      <c r="CN1222" s="16"/>
      <c r="CO1222" s="16"/>
      <c r="CP1222" s="16"/>
      <c r="CQ1222" s="16"/>
      <c r="CR1222" s="16"/>
      <c r="CS1222" s="16"/>
      <c r="CT1222" s="16"/>
      <c r="CU1222" s="16"/>
      <c r="CV1222" s="16"/>
      <c r="CW1222" s="16"/>
      <c r="CX1222" s="16"/>
      <c r="CY1222" s="16"/>
      <c r="CZ1222" s="16"/>
      <c r="DA1222" s="16"/>
      <c r="DB1222" s="16"/>
      <c r="DC1222" s="16"/>
      <c r="DD1222" s="16"/>
      <c r="DE1222" s="16"/>
      <c r="DF1222" s="16"/>
    </row>
    <row r="1223" spans="8:110" x14ac:dyDescent="0.3">
      <c r="H1223" s="4">
        <f t="shared" si="50"/>
        <v>0</v>
      </c>
      <c r="K1223" s="3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6"/>
      <c r="BE1223" s="16"/>
      <c r="BF1223" s="16"/>
      <c r="BG1223" s="16"/>
      <c r="BH1223" s="16"/>
      <c r="BI1223" s="16"/>
      <c r="BJ1223" s="16"/>
      <c r="BK1223" s="16"/>
      <c r="BL1223" s="16"/>
      <c r="BM1223" s="16"/>
      <c r="BN1223" s="16"/>
      <c r="BO1223" s="16"/>
      <c r="BP1223" s="16"/>
      <c r="BQ1223" s="16"/>
      <c r="BR1223" s="16"/>
      <c r="BS1223" s="16"/>
      <c r="BT1223" s="16"/>
      <c r="BU1223" s="16"/>
      <c r="BV1223" s="16"/>
      <c r="BW1223" s="16"/>
      <c r="BX1223" s="16"/>
      <c r="BY1223" s="16"/>
      <c r="BZ1223" s="16"/>
      <c r="CA1223" s="16"/>
      <c r="CB1223" s="16"/>
      <c r="CC1223" s="16"/>
      <c r="CD1223" s="16"/>
      <c r="CE1223" s="16"/>
      <c r="CF1223" s="16"/>
      <c r="CG1223" s="16"/>
      <c r="CH1223" s="16"/>
      <c r="CI1223" s="16"/>
      <c r="CJ1223" s="16"/>
      <c r="CK1223" s="16"/>
      <c r="CL1223" s="16"/>
      <c r="CM1223" s="16"/>
      <c r="CN1223" s="16"/>
      <c r="CO1223" s="16"/>
      <c r="CP1223" s="16"/>
      <c r="CQ1223" s="16"/>
      <c r="CR1223" s="16"/>
      <c r="CS1223" s="16"/>
      <c r="CT1223" s="16"/>
      <c r="CU1223" s="16"/>
      <c r="CV1223" s="16"/>
      <c r="CW1223" s="16"/>
      <c r="CX1223" s="16"/>
      <c r="CY1223" s="16"/>
      <c r="CZ1223" s="16"/>
      <c r="DA1223" s="16"/>
      <c r="DB1223" s="16"/>
      <c r="DC1223" s="16"/>
      <c r="DD1223" s="16"/>
      <c r="DE1223" s="16"/>
      <c r="DF1223" s="16"/>
    </row>
    <row r="1224" spans="8:110" x14ac:dyDescent="0.3">
      <c r="H1224" s="4">
        <f t="shared" si="50"/>
        <v>0</v>
      </c>
      <c r="K1224" s="3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  <c r="BB1224" s="16"/>
      <c r="BC1224" s="16"/>
      <c r="BD1224" s="16"/>
      <c r="BE1224" s="16"/>
      <c r="BF1224" s="16"/>
      <c r="BG1224" s="16"/>
      <c r="BH1224" s="16"/>
      <c r="BI1224" s="16"/>
      <c r="BJ1224" s="16"/>
      <c r="BK1224" s="16"/>
      <c r="BL1224" s="16"/>
      <c r="BM1224" s="16"/>
      <c r="BN1224" s="16"/>
      <c r="BO1224" s="16"/>
      <c r="BP1224" s="16"/>
      <c r="BQ1224" s="16"/>
      <c r="BR1224" s="16"/>
      <c r="BS1224" s="16"/>
      <c r="BT1224" s="16"/>
      <c r="BU1224" s="16"/>
      <c r="BV1224" s="16"/>
      <c r="BW1224" s="16"/>
      <c r="BX1224" s="16"/>
      <c r="BY1224" s="16"/>
      <c r="BZ1224" s="16"/>
      <c r="CA1224" s="16"/>
      <c r="CB1224" s="16"/>
      <c r="CC1224" s="16"/>
      <c r="CD1224" s="16"/>
      <c r="CE1224" s="16"/>
      <c r="CF1224" s="16"/>
      <c r="CG1224" s="16"/>
      <c r="CH1224" s="16"/>
      <c r="CI1224" s="16"/>
      <c r="CJ1224" s="16"/>
      <c r="CK1224" s="16"/>
      <c r="CL1224" s="16"/>
      <c r="CM1224" s="16"/>
      <c r="CN1224" s="16"/>
      <c r="CO1224" s="16"/>
      <c r="CP1224" s="16"/>
      <c r="CQ1224" s="16"/>
      <c r="CR1224" s="16"/>
      <c r="CS1224" s="16"/>
      <c r="CT1224" s="16"/>
      <c r="CU1224" s="16"/>
      <c r="CV1224" s="16"/>
      <c r="CW1224" s="16"/>
      <c r="CX1224" s="16"/>
      <c r="CY1224" s="16"/>
      <c r="CZ1224" s="16"/>
      <c r="DA1224" s="16"/>
      <c r="DB1224" s="16"/>
      <c r="DC1224" s="16"/>
      <c r="DD1224" s="16"/>
      <c r="DE1224" s="16"/>
      <c r="DF1224" s="16"/>
    </row>
    <row r="1225" spans="8:110" x14ac:dyDescent="0.3">
      <c r="H1225" s="4">
        <f t="shared" si="50"/>
        <v>0</v>
      </c>
      <c r="K1225" s="3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  <c r="BN1225" s="16"/>
      <c r="BO1225" s="16"/>
      <c r="BP1225" s="16"/>
      <c r="BQ1225" s="16"/>
      <c r="BR1225" s="16"/>
      <c r="BS1225" s="16"/>
      <c r="BT1225" s="16"/>
      <c r="BU1225" s="16"/>
      <c r="BV1225" s="16"/>
      <c r="BW1225" s="16"/>
      <c r="BX1225" s="16"/>
      <c r="BY1225" s="16"/>
      <c r="BZ1225" s="16"/>
      <c r="CA1225" s="16"/>
      <c r="CB1225" s="16"/>
      <c r="CC1225" s="16"/>
      <c r="CD1225" s="16"/>
      <c r="CE1225" s="16"/>
      <c r="CF1225" s="16"/>
      <c r="CG1225" s="16"/>
      <c r="CH1225" s="16"/>
      <c r="CI1225" s="16"/>
      <c r="CJ1225" s="16"/>
      <c r="CK1225" s="16"/>
      <c r="CL1225" s="16"/>
      <c r="CM1225" s="16"/>
      <c r="CN1225" s="16"/>
      <c r="CO1225" s="16"/>
      <c r="CP1225" s="16"/>
      <c r="CQ1225" s="16"/>
      <c r="CR1225" s="16"/>
      <c r="CS1225" s="16"/>
      <c r="CT1225" s="16"/>
      <c r="CU1225" s="16"/>
      <c r="CV1225" s="16"/>
      <c r="CW1225" s="16"/>
      <c r="CX1225" s="16"/>
      <c r="CY1225" s="16"/>
      <c r="CZ1225" s="16"/>
      <c r="DA1225" s="16"/>
      <c r="DB1225" s="16"/>
      <c r="DC1225" s="16"/>
      <c r="DD1225" s="16"/>
      <c r="DE1225" s="16"/>
      <c r="DF1225" s="16"/>
    </row>
    <row r="1226" spans="8:110" x14ac:dyDescent="0.3">
      <c r="H1226" s="4">
        <f t="shared" si="50"/>
        <v>0</v>
      </c>
      <c r="K1226" s="3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6"/>
      <c r="BE1226" s="16"/>
      <c r="BF1226" s="16"/>
      <c r="BG1226" s="16"/>
      <c r="BH1226" s="16"/>
      <c r="BI1226" s="16"/>
      <c r="BJ1226" s="16"/>
      <c r="BK1226" s="16"/>
      <c r="BL1226" s="16"/>
      <c r="BM1226" s="16"/>
      <c r="BN1226" s="16"/>
      <c r="BO1226" s="16"/>
      <c r="BP1226" s="16"/>
      <c r="BQ1226" s="16"/>
      <c r="BR1226" s="16"/>
      <c r="BS1226" s="16"/>
      <c r="BT1226" s="16"/>
      <c r="BU1226" s="16"/>
      <c r="BV1226" s="16"/>
      <c r="BW1226" s="16"/>
      <c r="BX1226" s="16"/>
      <c r="BY1226" s="16"/>
      <c r="BZ1226" s="16"/>
      <c r="CA1226" s="16"/>
      <c r="CB1226" s="16"/>
      <c r="CC1226" s="16"/>
      <c r="CD1226" s="16"/>
      <c r="CE1226" s="16"/>
      <c r="CF1226" s="16"/>
      <c r="CG1226" s="16"/>
      <c r="CH1226" s="16"/>
      <c r="CI1226" s="16"/>
      <c r="CJ1226" s="16"/>
      <c r="CK1226" s="16"/>
      <c r="CL1226" s="16"/>
      <c r="CM1226" s="16"/>
      <c r="CN1226" s="16"/>
      <c r="CO1226" s="16"/>
      <c r="CP1226" s="16"/>
      <c r="CQ1226" s="16"/>
      <c r="CR1226" s="16"/>
      <c r="CS1226" s="16"/>
      <c r="CT1226" s="16"/>
      <c r="CU1226" s="16"/>
      <c r="CV1226" s="16"/>
      <c r="CW1226" s="16"/>
      <c r="CX1226" s="16"/>
      <c r="CY1226" s="16"/>
      <c r="CZ1226" s="16"/>
      <c r="DA1226" s="16"/>
      <c r="DB1226" s="16"/>
      <c r="DC1226" s="16"/>
      <c r="DD1226" s="16"/>
      <c r="DE1226" s="16"/>
      <c r="DF1226" s="16"/>
    </row>
    <row r="1227" spans="8:110" x14ac:dyDescent="0.3">
      <c r="H1227" s="4">
        <f t="shared" si="50"/>
        <v>0</v>
      </c>
      <c r="K1227" s="3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6"/>
      <c r="BE1227" s="16"/>
      <c r="BF1227" s="16"/>
      <c r="BG1227" s="16"/>
      <c r="BH1227" s="16"/>
      <c r="BI1227" s="16"/>
      <c r="BJ1227" s="16"/>
      <c r="BK1227" s="16"/>
      <c r="BL1227" s="16"/>
      <c r="BM1227" s="16"/>
      <c r="BN1227" s="16"/>
      <c r="BO1227" s="16"/>
      <c r="BP1227" s="16"/>
      <c r="BQ1227" s="16"/>
      <c r="BR1227" s="16"/>
      <c r="BS1227" s="16"/>
      <c r="BT1227" s="16"/>
      <c r="BU1227" s="16"/>
      <c r="BV1227" s="16"/>
      <c r="BW1227" s="16"/>
      <c r="BX1227" s="16"/>
      <c r="BY1227" s="16"/>
      <c r="BZ1227" s="16"/>
      <c r="CA1227" s="16"/>
      <c r="CB1227" s="16"/>
      <c r="CC1227" s="16"/>
      <c r="CD1227" s="16"/>
      <c r="CE1227" s="16"/>
      <c r="CF1227" s="16"/>
      <c r="CG1227" s="16"/>
      <c r="CH1227" s="16"/>
      <c r="CI1227" s="16"/>
      <c r="CJ1227" s="16"/>
      <c r="CK1227" s="16"/>
      <c r="CL1227" s="16"/>
      <c r="CM1227" s="16"/>
      <c r="CN1227" s="16"/>
      <c r="CO1227" s="16"/>
      <c r="CP1227" s="16"/>
      <c r="CQ1227" s="16"/>
      <c r="CR1227" s="16"/>
      <c r="CS1227" s="16"/>
      <c r="CT1227" s="16"/>
      <c r="CU1227" s="16"/>
      <c r="CV1227" s="16"/>
      <c r="CW1227" s="16"/>
      <c r="CX1227" s="16"/>
      <c r="CY1227" s="16"/>
      <c r="CZ1227" s="16"/>
      <c r="DA1227" s="16"/>
      <c r="DB1227" s="16"/>
      <c r="DC1227" s="16"/>
      <c r="DD1227" s="16"/>
      <c r="DE1227" s="16"/>
      <c r="DF1227" s="16"/>
    </row>
    <row r="1228" spans="8:110" x14ac:dyDescent="0.3">
      <c r="H1228" s="4">
        <f t="shared" si="50"/>
        <v>0</v>
      </c>
      <c r="K1228" s="3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s="16"/>
      <c r="BG1228" s="16"/>
      <c r="BH1228" s="16"/>
      <c r="BI1228" s="16"/>
      <c r="BJ1228" s="16"/>
      <c r="BK1228" s="16"/>
      <c r="BL1228" s="16"/>
      <c r="BM1228" s="16"/>
      <c r="BN1228" s="16"/>
      <c r="BO1228" s="16"/>
      <c r="BP1228" s="16"/>
      <c r="BQ1228" s="16"/>
      <c r="BR1228" s="16"/>
      <c r="BS1228" s="16"/>
      <c r="BT1228" s="16"/>
      <c r="BU1228" s="16"/>
      <c r="BV1228" s="16"/>
      <c r="BW1228" s="16"/>
      <c r="BX1228" s="16"/>
      <c r="BY1228" s="16"/>
      <c r="BZ1228" s="16"/>
      <c r="CA1228" s="16"/>
      <c r="CB1228" s="16"/>
      <c r="CC1228" s="16"/>
      <c r="CD1228" s="16"/>
      <c r="CE1228" s="16"/>
      <c r="CF1228" s="16"/>
      <c r="CG1228" s="16"/>
      <c r="CH1228" s="16"/>
      <c r="CI1228" s="16"/>
      <c r="CJ1228" s="16"/>
      <c r="CK1228" s="16"/>
      <c r="CL1228" s="16"/>
      <c r="CM1228" s="16"/>
      <c r="CN1228" s="16"/>
      <c r="CO1228" s="16"/>
      <c r="CP1228" s="16"/>
      <c r="CQ1228" s="16"/>
      <c r="CR1228" s="16"/>
      <c r="CS1228" s="16"/>
      <c r="CT1228" s="16"/>
      <c r="CU1228" s="16"/>
      <c r="CV1228" s="16"/>
      <c r="CW1228" s="16"/>
      <c r="CX1228" s="16"/>
      <c r="CY1228" s="16"/>
      <c r="CZ1228" s="16"/>
      <c r="DA1228" s="16"/>
      <c r="DB1228" s="16"/>
      <c r="DC1228" s="16"/>
      <c r="DD1228" s="16"/>
      <c r="DE1228" s="16"/>
      <c r="DF1228" s="16"/>
    </row>
    <row r="1229" spans="8:110" x14ac:dyDescent="0.3">
      <c r="H1229" s="4">
        <f t="shared" si="50"/>
        <v>0</v>
      </c>
      <c r="K1229" s="3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  <c r="BB1229" s="16"/>
      <c r="BC1229" s="16"/>
      <c r="BD1229" s="16"/>
      <c r="BE1229" s="16"/>
      <c r="BF1229" s="16"/>
      <c r="BG1229" s="16"/>
      <c r="BH1229" s="16"/>
      <c r="BI1229" s="16"/>
      <c r="BJ1229" s="16"/>
      <c r="BK1229" s="16"/>
      <c r="BL1229" s="16"/>
      <c r="BM1229" s="16"/>
      <c r="BN1229" s="16"/>
      <c r="BO1229" s="16"/>
      <c r="BP1229" s="16"/>
      <c r="BQ1229" s="16"/>
      <c r="BR1229" s="16"/>
      <c r="BS1229" s="16"/>
      <c r="BT1229" s="16"/>
      <c r="BU1229" s="16"/>
      <c r="BV1229" s="16"/>
      <c r="BW1229" s="16"/>
      <c r="BX1229" s="16"/>
      <c r="BY1229" s="16"/>
      <c r="BZ1229" s="16"/>
      <c r="CA1229" s="16"/>
      <c r="CB1229" s="16"/>
      <c r="CC1229" s="16"/>
      <c r="CD1229" s="16"/>
      <c r="CE1229" s="16"/>
      <c r="CF1229" s="16"/>
      <c r="CG1229" s="16"/>
      <c r="CH1229" s="16"/>
      <c r="CI1229" s="16"/>
      <c r="CJ1229" s="16"/>
      <c r="CK1229" s="16"/>
      <c r="CL1229" s="16"/>
      <c r="CM1229" s="16"/>
      <c r="CN1229" s="16"/>
      <c r="CO1229" s="16"/>
      <c r="CP1229" s="16"/>
      <c r="CQ1229" s="16"/>
      <c r="CR1229" s="16"/>
      <c r="CS1229" s="16"/>
      <c r="CT1229" s="16"/>
      <c r="CU1229" s="16"/>
      <c r="CV1229" s="16"/>
      <c r="CW1229" s="16"/>
      <c r="CX1229" s="16"/>
      <c r="CY1229" s="16"/>
      <c r="CZ1229" s="16"/>
      <c r="DA1229" s="16"/>
      <c r="DB1229" s="16"/>
      <c r="DC1229" s="16"/>
      <c r="DD1229" s="16"/>
      <c r="DE1229" s="16"/>
      <c r="DF1229" s="16"/>
    </row>
    <row r="1230" spans="8:110" x14ac:dyDescent="0.3">
      <c r="H1230" s="4">
        <f t="shared" si="50"/>
        <v>0</v>
      </c>
      <c r="K1230" s="3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  <c r="BB1230" s="16"/>
      <c r="BC1230" s="16"/>
      <c r="BD1230" s="16"/>
      <c r="BE1230" s="16"/>
      <c r="BF1230" s="16"/>
      <c r="BG1230" s="16"/>
      <c r="BH1230" s="16"/>
      <c r="BI1230" s="16"/>
      <c r="BJ1230" s="16"/>
      <c r="BK1230" s="16"/>
      <c r="BL1230" s="16"/>
      <c r="BM1230" s="16"/>
      <c r="BN1230" s="16"/>
      <c r="BO1230" s="16"/>
      <c r="BP1230" s="16"/>
      <c r="BQ1230" s="16"/>
      <c r="BR1230" s="16"/>
      <c r="BS1230" s="16"/>
      <c r="BT1230" s="16"/>
      <c r="BU1230" s="16"/>
      <c r="BV1230" s="16"/>
      <c r="BW1230" s="16"/>
      <c r="BX1230" s="16"/>
      <c r="BY1230" s="16"/>
      <c r="BZ1230" s="16"/>
      <c r="CA1230" s="16"/>
      <c r="CB1230" s="16"/>
      <c r="CC1230" s="16"/>
      <c r="CD1230" s="16"/>
      <c r="CE1230" s="16"/>
      <c r="CF1230" s="16"/>
      <c r="CG1230" s="16"/>
      <c r="CH1230" s="16"/>
      <c r="CI1230" s="16"/>
      <c r="CJ1230" s="16"/>
      <c r="CK1230" s="16"/>
      <c r="CL1230" s="16"/>
      <c r="CM1230" s="16"/>
      <c r="CN1230" s="16"/>
      <c r="CO1230" s="16"/>
      <c r="CP1230" s="16"/>
      <c r="CQ1230" s="16"/>
      <c r="CR1230" s="16"/>
      <c r="CS1230" s="16"/>
      <c r="CT1230" s="16"/>
      <c r="CU1230" s="16"/>
      <c r="CV1230" s="16"/>
      <c r="CW1230" s="16"/>
      <c r="CX1230" s="16"/>
      <c r="CY1230" s="16"/>
      <c r="CZ1230" s="16"/>
      <c r="DA1230" s="16"/>
      <c r="DB1230" s="16"/>
      <c r="DC1230" s="16"/>
      <c r="DD1230" s="16"/>
      <c r="DE1230" s="16"/>
      <c r="DF1230" s="16"/>
    </row>
    <row r="1231" spans="8:110" x14ac:dyDescent="0.3">
      <c r="H1231" s="4">
        <f t="shared" si="50"/>
        <v>0</v>
      </c>
      <c r="K1231" s="3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  <c r="BB1231" s="16"/>
      <c r="BC1231" s="16"/>
      <c r="BD1231" s="16"/>
      <c r="BE1231" s="16"/>
      <c r="BF1231" s="16"/>
      <c r="BG1231" s="16"/>
      <c r="BH1231" s="16"/>
      <c r="BI1231" s="16"/>
      <c r="BJ1231" s="16"/>
      <c r="BK1231" s="16"/>
      <c r="BL1231" s="16"/>
      <c r="BM1231" s="16"/>
      <c r="BN1231" s="16"/>
      <c r="BO1231" s="16"/>
      <c r="BP1231" s="16"/>
      <c r="BQ1231" s="16"/>
      <c r="BR1231" s="16"/>
      <c r="BS1231" s="16"/>
      <c r="BT1231" s="16"/>
      <c r="BU1231" s="16"/>
      <c r="BV1231" s="16"/>
      <c r="BW1231" s="16"/>
      <c r="BX1231" s="16"/>
      <c r="BY1231" s="16"/>
      <c r="BZ1231" s="16"/>
      <c r="CA1231" s="16"/>
      <c r="CB1231" s="16"/>
      <c r="CC1231" s="16"/>
      <c r="CD1231" s="16"/>
      <c r="CE1231" s="16"/>
      <c r="CF1231" s="16"/>
      <c r="CG1231" s="16"/>
      <c r="CH1231" s="16"/>
      <c r="CI1231" s="16"/>
      <c r="CJ1231" s="16"/>
      <c r="CK1231" s="16"/>
      <c r="CL1231" s="16"/>
      <c r="CM1231" s="16"/>
      <c r="CN1231" s="16"/>
      <c r="CO1231" s="16"/>
      <c r="CP1231" s="16"/>
      <c r="CQ1231" s="16"/>
      <c r="CR1231" s="16"/>
      <c r="CS1231" s="16"/>
      <c r="CT1231" s="16"/>
      <c r="CU1231" s="16"/>
      <c r="CV1231" s="16"/>
      <c r="CW1231" s="16"/>
      <c r="CX1231" s="16"/>
      <c r="CY1231" s="16"/>
      <c r="CZ1231" s="16"/>
      <c r="DA1231" s="16"/>
      <c r="DB1231" s="16"/>
      <c r="DC1231" s="16"/>
      <c r="DD1231" s="16"/>
      <c r="DE1231" s="16"/>
      <c r="DF1231" s="16"/>
    </row>
    <row r="1232" spans="8:110" x14ac:dyDescent="0.3">
      <c r="H1232" s="4">
        <f t="shared" si="50"/>
        <v>0</v>
      </c>
      <c r="K1232" s="3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/>
      <c r="BG1232" s="16"/>
      <c r="BH1232" s="16"/>
      <c r="BI1232" s="16"/>
      <c r="BJ1232" s="16"/>
      <c r="BK1232" s="16"/>
      <c r="BL1232" s="16"/>
      <c r="BM1232" s="16"/>
      <c r="BN1232" s="16"/>
      <c r="BO1232" s="16"/>
      <c r="BP1232" s="16"/>
      <c r="BQ1232" s="16"/>
      <c r="BR1232" s="16"/>
      <c r="BS1232" s="16"/>
      <c r="BT1232" s="16"/>
      <c r="BU1232" s="16"/>
      <c r="BV1232" s="16"/>
      <c r="BW1232" s="16"/>
      <c r="BX1232" s="16"/>
      <c r="BY1232" s="16"/>
      <c r="BZ1232" s="16"/>
      <c r="CA1232" s="16"/>
      <c r="CB1232" s="16"/>
      <c r="CC1232" s="16"/>
      <c r="CD1232" s="16"/>
      <c r="CE1232" s="16"/>
      <c r="CF1232" s="16"/>
      <c r="CG1232" s="16"/>
      <c r="CH1232" s="16"/>
      <c r="CI1232" s="16"/>
      <c r="CJ1232" s="16"/>
      <c r="CK1232" s="16"/>
      <c r="CL1232" s="16"/>
      <c r="CM1232" s="16"/>
      <c r="CN1232" s="16"/>
      <c r="CO1232" s="16"/>
      <c r="CP1232" s="16"/>
      <c r="CQ1232" s="16"/>
      <c r="CR1232" s="16"/>
      <c r="CS1232" s="16"/>
      <c r="CT1232" s="16"/>
      <c r="CU1232" s="16"/>
      <c r="CV1232" s="16"/>
      <c r="CW1232" s="16"/>
      <c r="CX1232" s="16"/>
      <c r="CY1232" s="16"/>
      <c r="CZ1232" s="16"/>
      <c r="DA1232" s="16"/>
      <c r="DB1232" s="16"/>
      <c r="DC1232" s="16"/>
      <c r="DD1232" s="16"/>
      <c r="DE1232" s="16"/>
      <c r="DF1232" s="16"/>
    </row>
    <row r="1233" spans="8:110" x14ac:dyDescent="0.3">
      <c r="H1233" s="4">
        <f t="shared" si="50"/>
        <v>0</v>
      </c>
      <c r="K1233" s="3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16"/>
      <c r="BP1233" s="16"/>
      <c r="BQ1233" s="16"/>
      <c r="BR1233" s="16"/>
      <c r="BS1233" s="16"/>
      <c r="BT1233" s="16"/>
      <c r="BU1233" s="16"/>
      <c r="BV1233" s="16"/>
      <c r="BW1233" s="16"/>
      <c r="BX1233" s="16"/>
      <c r="BY1233" s="16"/>
      <c r="BZ1233" s="16"/>
      <c r="CA1233" s="16"/>
      <c r="CB1233" s="16"/>
      <c r="CC1233" s="16"/>
      <c r="CD1233" s="16"/>
      <c r="CE1233" s="16"/>
      <c r="CF1233" s="16"/>
      <c r="CG1233" s="16"/>
      <c r="CH1233" s="16"/>
      <c r="CI1233" s="16"/>
      <c r="CJ1233" s="16"/>
      <c r="CK1233" s="16"/>
      <c r="CL1233" s="16"/>
      <c r="CM1233" s="16"/>
      <c r="CN1233" s="16"/>
      <c r="CO1233" s="16"/>
      <c r="CP1233" s="16"/>
      <c r="CQ1233" s="16"/>
      <c r="CR1233" s="16"/>
      <c r="CS1233" s="16"/>
      <c r="CT1233" s="16"/>
      <c r="CU1233" s="16"/>
      <c r="CV1233" s="16"/>
      <c r="CW1233" s="16"/>
      <c r="CX1233" s="16"/>
      <c r="CY1233" s="16"/>
      <c r="CZ1233" s="16"/>
      <c r="DA1233" s="16"/>
      <c r="DB1233" s="16"/>
      <c r="DC1233" s="16"/>
      <c r="DD1233" s="16"/>
      <c r="DE1233" s="16"/>
      <c r="DF1233" s="16"/>
    </row>
    <row r="1234" spans="8:110" x14ac:dyDescent="0.3">
      <c r="H1234" s="4">
        <f t="shared" si="50"/>
        <v>0</v>
      </c>
      <c r="K1234" s="3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6"/>
      <c r="DF1234" s="16"/>
    </row>
    <row r="1235" spans="8:110" x14ac:dyDescent="0.3">
      <c r="H1235" s="4">
        <f t="shared" si="50"/>
        <v>0</v>
      </c>
      <c r="K1235" s="3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6"/>
      <c r="CX1235" s="16"/>
      <c r="CY1235" s="16"/>
      <c r="CZ1235" s="16"/>
      <c r="DA1235" s="16"/>
      <c r="DB1235" s="16"/>
      <c r="DC1235" s="16"/>
      <c r="DD1235" s="16"/>
      <c r="DE1235" s="16"/>
      <c r="DF1235" s="16"/>
    </row>
    <row r="1236" spans="8:110" x14ac:dyDescent="0.3">
      <c r="H1236" s="4">
        <f t="shared" si="50"/>
        <v>0</v>
      </c>
      <c r="K1236" s="3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</row>
    <row r="1237" spans="8:110" x14ac:dyDescent="0.3">
      <c r="H1237" s="4">
        <f t="shared" si="50"/>
        <v>0</v>
      </c>
      <c r="K1237" s="3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</row>
    <row r="1238" spans="8:110" x14ac:dyDescent="0.3">
      <c r="H1238" s="4">
        <f t="shared" si="50"/>
        <v>0</v>
      </c>
      <c r="K1238" s="3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6"/>
      <c r="DF1238" s="16"/>
    </row>
    <row r="1239" spans="8:110" x14ac:dyDescent="0.3">
      <c r="H1239" s="4">
        <f t="shared" si="50"/>
        <v>0</v>
      </c>
      <c r="K1239" s="3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6"/>
      <c r="DF1239" s="16"/>
    </row>
    <row r="1240" spans="8:110" x14ac:dyDescent="0.3">
      <c r="H1240" s="4">
        <f t="shared" si="50"/>
        <v>0</v>
      </c>
      <c r="K1240" s="3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</row>
    <row r="1241" spans="8:110" x14ac:dyDescent="0.3">
      <c r="H1241" s="4">
        <f t="shared" si="50"/>
        <v>0</v>
      </c>
      <c r="K1241" s="3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</row>
    <row r="1242" spans="8:110" x14ac:dyDescent="0.3">
      <c r="H1242" s="4">
        <f t="shared" si="50"/>
        <v>0</v>
      </c>
      <c r="K1242" s="3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</row>
    <row r="1243" spans="8:110" x14ac:dyDescent="0.3">
      <c r="H1243" s="4">
        <f t="shared" si="50"/>
        <v>0</v>
      </c>
      <c r="K1243" s="3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</row>
    <row r="1244" spans="8:110" x14ac:dyDescent="0.3">
      <c r="H1244" s="4">
        <f t="shared" si="50"/>
        <v>0</v>
      </c>
      <c r="K1244" s="3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</row>
    <row r="1245" spans="8:110" x14ac:dyDescent="0.3">
      <c r="H1245" s="4">
        <f t="shared" si="50"/>
        <v>0</v>
      </c>
      <c r="K1245" s="3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</row>
    <row r="1246" spans="8:110" x14ac:dyDescent="0.3">
      <c r="H1246" s="4">
        <f t="shared" si="50"/>
        <v>0</v>
      </c>
      <c r="K1246" s="3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</row>
    <row r="1247" spans="8:110" x14ac:dyDescent="0.3">
      <c r="H1247" s="4">
        <f t="shared" si="50"/>
        <v>0</v>
      </c>
      <c r="K1247" s="3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</row>
    <row r="1248" spans="8:110" x14ac:dyDescent="0.3">
      <c r="H1248" s="4">
        <f t="shared" si="50"/>
        <v>0</v>
      </c>
      <c r="K1248" s="3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</row>
    <row r="1249" spans="8:110" x14ac:dyDescent="0.3">
      <c r="H1249" s="4">
        <f t="shared" si="50"/>
        <v>0</v>
      </c>
      <c r="K1249" s="3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</row>
    <row r="1250" spans="8:110" x14ac:dyDescent="0.3">
      <c r="H1250" s="4">
        <f t="shared" si="50"/>
        <v>0</v>
      </c>
      <c r="K1250" s="3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</row>
    <row r="1251" spans="8:110" x14ac:dyDescent="0.3">
      <c r="H1251" s="4">
        <f t="shared" si="50"/>
        <v>0</v>
      </c>
      <c r="K1251" s="3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</row>
    <row r="1252" spans="8:110" x14ac:dyDescent="0.3">
      <c r="H1252" s="4">
        <f t="shared" si="50"/>
        <v>0</v>
      </c>
      <c r="K1252" s="3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</row>
    <row r="1253" spans="8:110" x14ac:dyDescent="0.3">
      <c r="H1253" s="4">
        <f t="shared" si="50"/>
        <v>0</v>
      </c>
      <c r="K1253" s="3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</row>
    <row r="1254" spans="8:110" x14ac:dyDescent="0.3">
      <c r="H1254" s="4">
        <f t="shared" si="50"/>
        <v>0</v>
      </c>
      <c r="K1254" s="3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</row>
    <row r="1255" spans="8:110" x14ac:dyDescent="0.3">
      <c r="H1255" s="4">
        <f t="shared" si="50"/>
        <v>0</v>
      </c>
      <c r="K1255" s="3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</row>
    <row r="1256" spans="8:110" x14ac:dyDescent="0.3">
      <c r="H1256" s="4">
        <f t="shared" si="50"/>
        <v>0</v>
      </c>
      <c r="K1256" s="3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</row>
    <row r="1257" spans="8:110" x14ac:dyDescent="0.3">
      <c r="H1257" s="4">
        <f t="shared" si="50"/>
        <v>0</v>
      </c>
      <c r="K1257" s="3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</row>
    <row r="1258" spans="8:110" x14ac:dyDescent="0.3">
      <c r="H1258" s="4">
        <f t="shared" si="50"/>
        <v>0</v>
      </c>
      <c r="K1258" s="3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</row>
    <row r="1259" spans="8:110" x14ac:dyDescent="0.3">
      <c r="H1259" s="4">
        <f t="shared" si="50"/>
        <v>0</v>
      </c>
      <c r="K1259" s="3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</row>
    <row r="1260" spans="8:110" x14ac:dyDescent="0.3">
      <c r="H1260" s="4">
        <f t="shared" si="50"/>
        <v>0</v>
      </c>
      <c r="K1260" s="3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</row>
    <row r="1261" spans="8:110" x14ac:dyDescent="0.3">
      <c r="H1261" s="4">
        <f t="shared" si="50"/>
        <v>0</v>
      </c>
      <c r="K1261" s="3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</row>
    <row r="1262" spans="8:110" x14ac:dyDescent="0.3">
      <c r="H1262" s="4">
        <f t="shared" si="50"/>
        <v>0</v>
      </c>
      <c r="K1262" s="3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</row>
    <row r="1263" spans="8:110" x14ac:dyDescent="0.3">
      <c r="H1263" s="4">
        <f t="shared" si="50"/>
        <v>0</v>
      </c>
      <c r="K1263" s="3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</row>
    <row r="1264" spans="8:110" x14ac:dyDescent="0.3">
      <c r="H1264" s="4">
        <f t="shared" si="50"/>
        <v>0</v>
      </c>
      <c r="K1264" s="3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</row>
    <row r="1265" spans="8:110" x14ac:dyDescent="0.3">
      <c r="H1265" s="4">
        <f t="shared" si="50"/>
        <v>0</v>
      </c>
      <c r="K1265" s="3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</row>
    <row r="1266" spans="8:110" x14ac:dyDescent="0.3">
      <c r="H1266" s="4">
        <f t="shared" si="50"/>
        <v>0</v>
      </c>
      <c r="K1266" s="3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</row>
    <row r="1267" spans="8:110" x14ac:dyDescent="0.3">
      <c r="H1267" s="4">
        <f t="shared" si="50"/>
        <v>0</v>
      </c>
      <c r="K1267" s="3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</row>
    <row r="1268" spans="8:110" x14ac:dyDescent="0.3">
      <c r="H1268" s="4">
        <f t="shared" si="50"/>
        <v>0</v>
      </c>
      <c r="K1268" s="3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</row>
    <row r="1269" spans="8:110" x14ac:dyDescent="0.3">
      <c r="H1269" s="4">
        <f t="shared" si="50"/>
        <v>0</v>
      </c>
      <c r="K1269" s="3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</row>
    <row r="1270" spans="8:110" x14ac:dyDescent="0.3">
      <c r="H1270" s="4">
        <f t="shared" si="50"/>
        <v>0</v>
      </c>
      <c r="K1270" s="3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</row>
    <row r="1271" spans="8:110" x14ac:dyDescent="0.3">
      <c r="H1271" s="4">
        <f t="shared" si="50"/>
        <v>0</v>
      </c>
      <c r="K1271" s="3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</row>
    <row r="1272" spans="8:110" x14ac:dyDescent="0.3">
      <c r="H1272" s="4">
        <f t="shared" si="50"/>
        <v>0</v>
      </c>
      <c r="K1272" s="3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</row>
    <row r="1273" spans="8:110" x14ac:dyDescent="0.3">
      <c r="H1273" s="4">
        <f t="shared" ref="H1273:H1336" si="51">D1273-C1273</f>
        <v>0</v>
      </c>
      <c r="K1273" s="3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</row>
    <row r="1274" spans="8:110" x14ac:dyDescent="0.3">
      <c r="H1274" s="4">
        <f t="shared" si="51"/>
        <v>0</v>
      </c>
      <c r="K1274" s="3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</row>
    <row r="1275" spans="8:110" x14ac:dyDescent="0.3">
      <c r="H1275" s="4">
        <f t="shared" si="51"/>
        <v>0</v>
      </c>
      <c r="K1275" s="3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</row>
    <row r="1276" spans="8:110" x14ac:dyDescent="0.3">
      <c r="H1276" s="4">
        <f t="shared" si="51"/>
        <v>0</v>
      </c>
      <c r="K1276" s="3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</row>
    <row r="1277" spans="8:110" x14ac:dyDescent="0.3">
      <c r="H1277" s="4">
        <f t="shared" si="51"/>
        <v>0</v>
      </c>
      <c r="K1277" s="3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</row>
    <row r="1278" spans="8:110" x14ac:dyDescent="0.3">
      <c r="H1278" s="4">
        <f t="shared" si="51"/>
        <v>0</v>
      </c>
      <c r="K1278" s="3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</row>
    <row r="1279" spans="8:110" x14ac:dyDescent="0.3">
      <c r="H1279" s="4">
        <f t="shared" si="51"/>
        <v>0</v>
      </c>
      <c r="K1279" s="3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</row>
    <row r="1280" spans="8:110" x14ac:dyDescent="0.3">
      <c r="H1280" s="4">
        <f t="shared" si="51"/>
        <v>0</v>
      </c>
      <c r="K1280" s="3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</row>
    <row r="1281" spans="8:110" x14ac:dyDescent="0.3">
      <c r="H1281" s="4">
        <f t="shared" si="51"/>
        <v>0</v>
      </c>
      <c r="K1281" s="3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</row>
    <row r="1282" spans="8:110" x14ac:dyDescent="0.3">
      <c r="H1282" s="4">
        <f t="shared" si="51"/>
        <v>0</v>
      </c>
      <c r="K1282" s="3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</row>
    <row r="1283" spans="8:110" x14ac:dyDescent="0.3">
      <c r="H1283" s="4">
        <f t="shared" si="51"/>
        <v>0</v>
      </c>
      <c r="K1283" s="3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</row>
    <row r="1284" spans="8:110" x14ac:dyDescent="0.3">
      <c r="H1284" s="4">
        <f t="shared" si="51"/>
        <v>0</v>
      </c>
      <c r="K1284" s="3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</row>
    <row r="1285" spans="8:110" x14ac:dyDescent="0.3">
      <c r="H1285" s="4">
        <f t="shared" si="51"/>
        <v>0</v>
      </c>
      <c r="K1285" s="3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</row>
    <row r="1286" spans="8:110" x14ac:dyDescent="0.3">
      <c r="H1286" s="4">
        <f t="shared" si="51"/>
        <v>0</v>
      </c>
      <c r="K1286" s="3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</row>
    <row r="1287" spans="8:110" x14ac:dyDescent="0.3">
      <c r="H1287" s="4">
        <f t="shared" si="51"/>
        <v>0</v>
      </c>
      <c r="K1287" s="3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</row>
    <row r="1288" spans="8:110" x14ac:dyDescent="0.3">
      <c r="H1288" s="4">
        <f t="shared" si="51"/>
        <v>0</v>
      </c>
      <c r="K1288" s="3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</row>
    <row r="1289" spans="8:110" x14ac:dyDescent="0.3">
      <c r="H1289" s="4">
        <f t="shared" si="51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1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1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1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1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1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si="51"/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1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1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1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1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1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si="51"/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1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1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1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1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1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1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1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1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1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1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1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1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1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1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1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1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1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1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1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1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1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1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1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1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1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1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1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1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1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1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1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1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1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1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1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ref="H1337:H1400" si="52">D1337-C1337</f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2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2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2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2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2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2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2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2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2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2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2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2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si="52"/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52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52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52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52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52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52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52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52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si="52"/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52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52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52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52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52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si="52"/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52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52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52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52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52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52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52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52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52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52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52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52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52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52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52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10">
        <f t="shared" si="52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10">
        <f t="shared" si="52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10">
        <f t="shared" si="52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10">
        <f t="shared" si="52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10">
        <f t="shared" si="52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10">
        <f t="shared" si="52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10">
        <f t="shared" si="52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10">
        <f t="shared" si="52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10">
        <f t="shared" si="52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10">
        <f t="shared" si="52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10">
        <f t="shared" si="52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10">
        <f t="shared" si="52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10">
        <f t="shared" si="52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10">
        <f t="shared" si="52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10">
        <f t="shared" si="52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10">
        <f t="shared" si="52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10">
        <f t="shared" si="52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10">
        <f t="shared" si="52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10">
        <f t="shared" si="52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10">
        <f t="shared" si="52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10">
        <f t="shared" ref="H1401:H1464" si="53">D1401-C1401</f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10">
        <f t="shared" si="53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10">
        <f t="shared" si="53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10">
        <f t="shared" si="53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10">
        <f t="shared" si="53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10">
        <f t="shared" si="53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10">
        <f t="shared" si="53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10">
        <f t="shared" si="53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10">
        <f t="shared" si="53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10">
        <f t="shared" si="53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10">
        <f t="shared" si="53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10">
        <f t="shared" si="53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10">
        <f t="shared" si="53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10">
        <f t="shared" si="53"/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10">
        <f t="shared" si="53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10">
        <f t="shared" si="53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10">
        <f t="shared" si="53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10">
        <f t="shared" si="53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10">
        <f t="shared" si="53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10">
        <f t="shared" si="53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10">
        <f t="shared" si="53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10">
        <f t="shared" si="53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10">
        <f t="shared" si="53"/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10">
        <f t="shared" si="53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10">
        <f t="shared" si="53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10">
        <f t="shared" si="53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10">
        <f t="shared" si="53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10">
        <f t="shared" si="53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10">
        <f t="shared" si="53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10">
        <f t="shared" si="53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10">
        <f t="shared" si="53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10">
        <f t="shared" si="53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10">
        <f t="shared" si="53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10">
        <f t="shared" si="53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10">
        <f t="shared" si="53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10">
        <f t="shared" si="53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10">
        <f t="shared" si="53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10">
        <f t="shared" si="53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10">
        <f t="shared" si="53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10">
        <f t="shared" si="53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8" x14ac:dyDescent="0.3">
      <c r="H1441" s="10">
        <f t="shared" si="53"/>
        <v>0</v>
      </c>
    </row>
    <row r="1442" spans="8:8" x14ac:dyDescent="0.3">
      <c r="H1442" s="10">
        <f t="shared" si="53"/>
        <v>0</v>
      </c>
    </row>
    <row r="1443" spans="8:8" x14ac:dyDescent="0.3">
      <c r="H1443" s="10">
        <f t="shared" si="53"/>
        <v>0</v>
      </c>
    </row>
    <row r="1444" spans="8:8" x14ac:dyDescent="0.3">
      <c r="H1444" s="10">
        <f t="shared" si="53"/>
        <v>0</v>
      </c>
    </row>
    <row r="1445" spans="8:8" x14ac:dyDescent="0.3">
      <c r="H1445" s="10">
        <f t="shared" si="53"/>
        <v>0</v>
      </c>
    </row>
    <row r="1446" spans="8:8" x14ac:dyDescent="0.3">
      <c r="H1446" s="10">
        <f t="shared" si="53"/>
        <v>0</v>
      </c>
    </row>
    <row r="1447" spans="8:8" x14ac:dyDescent="0.3">
      <c r="H1447" s="10">
        <f t="shared" si="53"/>
        <v>0</v>
      </c>
    </row>
    <row r="1448" spans="8:8" x14ac:dyDescent="0.3">
      <c r="H1448" s="10">
        <f t="shared" si="53"/>
        <v>0</v>
      </c>
    </row>
    <row r="1449" spans="8:8" x14ac:dyDescent="0.3">
      <c r="H1449" s="10">
        <f t="shared" si="53"/>
        <v>0</v>
      </c>
    </row>
    <row r="1450" spans="8:8" x14ac:dyDescent="0.3">
      <c r="H1450" s="10">
        <f t="shared" si="53"/>
        <v>0</v>
      </c>
    </row>
    <row r="1451" spans="8:8" x14ac:dyDescent="0.3">
      <c r="H1451" s="10">
        <f t="shared" si="53"/>
        <v>0</v>
      </c>
    </row>
    <row r="1452" spans="8:8" x14ac:dyDescent="0.3">
      <c r="H1452" s="10">
        <f t="shared" si="53"/>
        <v>0</v>
      </c>
    </row>
    <row r="1453" spans="8:8" x14ac:dyDescent="0.3">
      <c r="H1453" s="10">
        <f t="shared" si="53"/>
        <v>0</v>
      </c>
    </row>
    <row r="1454" spans="8:8" x14ac:dyDescent="0.3">
      <c r="H1454" s="10">
        <f t="shared" si="53"/>
        <v>0</v>
      </c>
    </row>
    <row r="1455" spans="8:8" x14ac:dyDescent="0.3">
      <c r="H1455" s="10">
        <f t="shared" si="53"/>
        <v>0</v>
      </c>
    </row>
    <row r="1456" spans="8:8" x14ac:dyDescent="0.3">
      <c r="H1456" s="10">
        <f t="shared" si="53"/>
        <v>0</v>
      </c>
    </row>
    <row r="1457" spans="8:8" x14ac:dyDescent="0.3">
      <c r="H1457" s="10">
        <f t="shared" si="53"/>
        <v>0</v>
      </c>
    </row>
    <row r="1458" spans="8:8" x14ac:dyDescent="0.3">
      <c r="H1458" s="10">
        <f t="shared" si="53"/>
        <v>0</v>
      </c>
    </row>
    <row r="1459" spans="8:8" x14ac:dyDescent="0.3">
      <c r="H1459" s="10">
        <f t="shared" si="53"/>
        <v>0</v>
      </c>
    </row>
    <row r="1460" spans="8:8" x14ac:dyDescent="0.3">
      <c r="H1460" s="10">
        <f t="shared" si="53"/>
        <v>0</v>
      </c>
    </row>
    <row r="1461" spans="8:8" x14ac:dyDescent="0.3">
      <c r="H1461" s="10">
        <f t="shared" si="53"/>
        <v>0</v>
      </c>
    </row>
    <row r="1462" spans="8:8" x14ac:dyDescent="0.3">
      <c r="H1462" s="10">
        <f t="shared" si="53"/>
        <v>0</v>
      </c>
    </row>
    <row r="1463" spans="8:8" x14ac:dyDescent="0.3">
      <c r="H1463" s="10">
        <f t="shared" si="53"/>
        <v>0</v>
      </c>
    </row>
    <row r="1464" spans="8:8" x14ac:dyDescent="0.3">
      <c r="H1464" s="10">
        <f t="shared" si="53"/>
        <v>0</v>
      </c>
    </row>
    <row r="1465" spans="8:8" x14ac:dyDescent="0.3">
      <c r="H1465" s="10">
        <f t="shared" ref="H1465:H1528" si="54">D1465-C1465</f>
        <v>0</v>
      </c>
    </row>
    <row r="1466" spans="8:8" x14ac:dyDescent="0.3">
      <c r="H1466" s="10">
        <f t="shared" si="54"/>
        <v>0</v>
      </c>
    </row>
    <row r="1467" spans="8:8" x14ac:dyDescent="0.3">
      <c r="H1467" s="10">
        <f t="shared" si="54"/>
        <v>0</v>
      </c>
    </row>
    <row r="1468" spans="8:8" x14ac:dyDescent="0.3">
      <c r="H1468" s="10">
        <f t="shared" si="54"/>
        <v>0</v>
      </c>
    </row>
    <row r="1469" spans="8:8" x14ac:dyDescent="0.3">
      <c r="H1469" s="10">
        <f t="shared" si="54"/>
        <v>0</v>
      </c>
    </row>
    <row r="1470" spans="8:8" x14ac:dyDescent="0.3">
      <c r="H1470" s="10">
        <f t="shared" si="54"/>
        <v>0</v>
      </c>
    </row>
    <row r="1471" spans="8:8" x14ac:dyDescent="0.3">
      <c r="H1471" s="10">
        <f t="shared" si="54"/>
        <v>0</v>
      </c>
    </row>
    <row r="1472" spans="8:8" x14ac:dyDescent="0.3">
      <c r="H1472" s="10">
        <f t="shared" si="54"/>
        <v>0</v>
      </c>
    </row>
    <row r="1473" spans="8:8" x14ac:dyDescent="0.3">
      <c r="H1473" s="10">
        <f t="shared" si="54"/>
        <v>0</v>
      </c>
    </row>
    <row r="1474" spans="8:8" x14ac:dyDescent="0.3">
      <c r="H1474" s="10">
        <f t="shared" si="54"/>
        <v>0</v>
      </c>
    </row>
    <row r="1475" spans="8:8" x14ac:dyDescent="0.3">
      <c r="H1475" s="10">
        <f t="shared" si="54"/>
        <v>0</v>
      </c>
    </row>
    <row r="1476" spans="8:8" x14ac:dyDescent="0.3">
      <c r="H1476" s="10">
        <f t="shared" si="54"/>
        <v>0</v>
      </c>
    </row>
    <row r="1477" spans="8:8" x14ac:dyDescent="0.3">
      <c r="H1477" s="10">
        <f t="shared" si="54"/>
        <v>0</v>
      </c>
    </row>
    <row r="1478" spans="8:8" x14ac:dyDescent="0.3">
      <c r="H1478" s="10">
        <f t="shared" si="54"/>
        <v>0</v>
      </c>
    </row>
    <row r="1479" spans="8:8" x14ac:dyDescent="0.3">
      <c r="H1479" s="10">
        <f t="shared" si="54"/>
        <v>0</v>
      </c>
    </row>
    <row r="1480" spans="8:8" x14ac:dyDescent="0.3">
      <c r="H1480" s="10">
        <f t="shared" si="54"/>
        <v>0</v>
      </c>
    </row>
    <row r="1481" spans="8:8" x14ac:dyDescent="0.3">
      <c r="H1481" s="10">
        <f t="shared" si="54"/>
        <v>0</v>
      </c>
    </row>
    <row r="1482" spans="8:8" x14ac:dyDescent="0.3">
      <c r="H1482" s="10">
        <f t="shared" si="54"/>
        <v>0</v>
      </c>
    </row>
    <row r="1483" spans="8:8" x14ac:dyDescent="0.3">
      <c r="H1483" s="10">
        <f t="shared" si="54"/>
        <v>0</v>
      </c>
    </row>
    <row r="1484" spans="8:8" x14ac:dyDescent="0.3">
      <c r="H1484" s="10">
        <f t="shared" si="54"/>
        <v>0</v>
      </c>
    </row>
    <row r="1485" spans="8:8" x14ac:dyDescent="0.3">
      <c r="H1485" s="10">
        <f t="shared" si="54"/>
        <v>0</v>
      </c>
    </row>
    <row r="1486" spans="8:8" x14ac:dyDescent="0.3">
      <c r="H1486" s="10">
        <f t="shared" si="54"/>
        <v>0</v>
      </c>
    </row>
    <row r="1487" spans="8:8" x14ac:dyDescent="0.3">
      <c r="H1487" s="10">
        <f t="shared" si="54"/>
        <v>0</v>
      </c>
    </row>
    <row r="1488" spans="8:8" x14ac:dyDescent="0.3">
      <c r="H1488" s="10">
        <f t="shared" si="54"/>
        <v>0</v>
      </c>
    </row>
    <row r="1489" spans="8:8" x14ac:dyDescent="0.3">
      <c r="H1489" s="10">
        <f t="shared" si="54"/>
        <v>0</v>
      </c>
    </row>
    <row r="1490" spans="8:8" x14ac:dyDescent="0.3">
      <c r="H1490" s="10">
        <f t="shared" si="54"/>
        <v>0</v>
      </c>
    </row>
    <row r="1491" spans="8:8" x14ac:dyDescent="0.3">
      <c r="H1491" s="10">
        <f t="shared" si="54"/>
        <v>0</v>
      </c>
    </row>
    <row r="1492" spans="8:8" x14ac:dyDescent="0.3">
      <c r="H1492" s="10">
        <f t="shared" si="54"/>
        <v>0</v>
      </c>
    </row>
    <row r="1493" spans="8:8" x14ac:dyDescent="0.3">
      <c r="H1493" s="10">
        <f t="shared" si="54"/>
        <v>0</v>
      </c>
    </row>
    <row r="1494" spans="8:8" x14ac:dyDescent="0.3">
      <c r="H1494" s="10">
        <f t="shared" si="54"/>
        <v>0</v>
      </c>
    </row>
    <row r="1495" spans="8:8" x14ac:dyDescent="0.3">
      <c r="H1495" s="10">
        <f t="shared" si="54"/>
        <v>0</v>
      </c>
    </row>
    <row r="1496" spans="8:8" x14ac:dyDescent="0.3">
      <c r="H1496" s="10">
        <f t="shared" si="54"/>
        <v>0</v>
      </c>
    </row>
    <row r="1497" spans="8:8" x14ac:dyDescent="0.3">
      <c r="H1497" s="10">
        <f t="shared" si="54"/>
        <v>0</v>
      </c>
    </row>
    <row r="1498" spans="8:8" x14ac:dyDescent="0.3">
      <c r="H1498" s="10">
        <f t="shared" si="54"/>
        <v>0</v>
      </c>
    </row>
    <row r="1499" spans="8:8" x14ac:dyDescent="0.3">
      <c r="H1499" s="10">
        <f t="shared" si="54"/>
        <v>0</v>
      </c>
    </row>
    <row r="1500" spans="8:8" x14ac:dyDescent="0.3">
      <c r="H1500" s="10">
        <f t="shared" si="54"/>
        <v>0</v>
      </c>
    </row>
    <row r="1501" spans="8:8" x14ac:dyDescent="0.3">
      <c r="H1501" s="10">
        <f t="shared" si="54"/>
        <v>0</v>
      </c>
    </row>
    <row r="1502" spans="8:8" x14ac:dyDescent="0.3">
      <c r="H1502" s="10">
        <f t="shared" si="54"/>
        <v>0</v>
      </c>
    </row>
    <row r="1503" spans="8:8" x14ac:dyDescent="0.3">
      <c r="H1503" s="10">
        <f t="shared" si="54"/>
        <v>0</v>
      </c>
    </row>
    <row r="1504" spans="8:8" x14ac:dyDescent="0.3">
      <c r="H1504" s="10">
        <f t="shared" si="54"/>
        <v>0</v>
      </c>
    </row>
    <row r="1505" spans="8:8" x14ac:dyDescent="0.3">
      <c r="H1505" s="10">
        <f t="shared" si="54"/>
        <v>0</v>
      </c>
    </row>
    <row r="1506" spans="8:8" x14ac:dyDescent="0.3">
      <c r="H1506" s="10">
        <f t="shared" si="54"/>
        <v>0</v>
      </c>
    </row>
    <row r="1507" spans="8:8" x14ac:dyDescent="0.3">
      <c r="H1507" s="10">
        <f t="shared" si="54"/>
        <v>0</v>
      </c>
    </row>
    <row r="1508" spans="8:8" x14ac:dyDescent="0.3">
      <c r="H1508" s="10">
        <f t="shared" si="54"/>
        <v>0</v>
      </c>
    </row>
    <row r="1509" spans="8:8" x14ac:dyDescent="0.3">
      <c r="H1509" s="10">
        <f t="shared" si="54"/>
        <v>0</v>
      </c>
    </row>
    <row r="1510" spans="8:8" x14ac:dyDescent="0.3">
      <c r="H1510" s="10">
        <f t="shared" si="54"/>
        <v>0</v>
      </c>
    </row>
    <row r="1511" spans="8:8" x14ac:dyDescent="0.3">
      <c r="H1511" s="10">
        <f t="shared" si="54"/>
        <v>0</v>
      </c>
    </row>
    <row r="1512" spans="8:8" x14ac:dyDescent="0.3">
      <c r="H1512" s="10">
        <f t="shared" si="54"/>
        <v>0</v>
      </c>
    </row>
    <row r="1513" spans="8:8" x14ac:dyDescent="0.3">
      <c r="H1513" s="10">
        <f t="shared" si="54"/>
        <v>0</v>
      </c>
    </row>
    <row r="1514" spans="8:8" x14ac:dyDescent="0.3">
      <c r="H1514" s="10">
        <f t="shared" si="54"/>
        <v>0</v>
      </c>
    </row>
    <row r="1515" spans="8:8" x14ac:dyDescent="0.3">
      <c r="H1515" s="10">
        <f t="shared" si="54"/>
        <v>0</v>
      </c>
    </row>
    <row r="1516" spans="8:8" x14ac:dyDescent="0.3">
      <c r="H1516" s="10">
        <f t="shared" si="54"/>
        <v>0</v>
      </c>
    </row>
    <row r="1517" spans="8:8" x14ac:dyDescent="0.3">
      <c r="H1517" s="10">
        <f t="shared" si="54"/>
        <v>0</v>
      </c>
    </row>
    <row r="1518" spans="8:8" x14ac:dyDescent="0.3">
      <c r="H1518" s="10">
        <f t="shared" si="54"/>
        <v>0</v>
      </c>
    </row>
    <row r="1519" spans="8:8" x14ac:dyDescent="0.3">
      <c r="H1519" s="10">
        <f t="shared" si="54"/>
        <v>0</v>
      </c>
    </row>
    <row r="1520" spans="8:8" x14ac:dyDescent="0.3">
      <c r="H1520" s="10">
        <f t="shared" si="54"/>
        <v>0</v>
      </c>
    </row>
    <row r="1521" spans="8:8" x14ac:dyDescent="0.3">
      <c r="H1521" s="10">
        <f t="shared" si="54"/>
        <v>0</v>
      </c>
    </row>
    <row r="1522" spans="8:8" x14ac:dyDescent="0.3">
      <c r="H1522" s="10">
        <f t="shared" si="54"/>
        <v>0</v>
      </c>
    </row>
    <row r="1523" spans="8:8" x14ac:dyDescent="0.3">
      <c r="H1523" s="10">
        <f t="shared" si="54"/>
        <v>0</v>
      </c>
    </row>
    <row r="1524" spans="8:8" x14ac:dyDescent="0.3">
      <c r="H1524" s="10">
        <f t="shared" si="54"/>
        <v>0</v>
      </c>
    </row>
    <row r="1525" spans="8:8" x14ac:dyDescent="0.3">
      <c r="H1525" s="10">
        <f t="shared" si="54"/>
        <v>0</v>
      </c>
    </row>
    <row r="1526" spans="8:8" x14ac:dyDescent="0.3">
      <c r="H1526" s="10">
        <f t="shared" si="54"/>
        <v>0</v>
      </c>
    </row>
    <row r="1527" spans="8:8" x14ac:dyDescent="0.3">
      <c r="H1527" s="10">
        <f t="shared" si="54"/>
        <v>0</v>
      </c>
    </row>
    <row r="1528" spans="8:8" x14ac:dyDescent="0.3">
      <c r="H1528" s="10">
        <f t="shared" si="54"/>
        <v>0</v>
      </c>
    </row>
    <row r="1529" spans="8:8" x14ac:dyDescent="0.3">
      <c r="H1529" s="10">
        <f t="shared" ref="H1529:H1592" si="55">D1529-C1529</f>
        <v>0</v>
      </c>
    </row>
    <row r="1530" spans="8:8" x14ac:dyDescent="0.3">
      <c r="H1530" s="10">
        <f t="shared" si="55"/>
        <v>0</v>
      </c>
    </row>
    <row r="1531" spans="8:8" x14ac:dyDescent="0.3">
      <c r="H1531" s="10">
        <f t="shared" si="55"/>
        <v>0</v>
      </c>
    </row>
    <row r="1532" spans="8:8" x14ac:dyDescent="0.3">
      <c r="H1532" s="10">
        <f t="shared" si="55"/>
        <v>0</v>
      </c>
    </row>
    <row r="1533" spans="8:8" x14ac:dyDescent="0.3">
      <c r="H1533" s="10">
        <f t="shared" si="55"/>
        <v>0</v>
      </c>
    </row>
    <row r="1534" spans="8:8" x14ac:dyDescent="0.3">
      <c r="H1534" s="10">
        <f t="shared" si="55"/>
        <v>0</v>
      </c>
    </row>
    <row r="1535" spans="8:8" x14ac:dyDescent="0.3">
      <c r="H1535" s="10">
        <f t="shared" si="55"/>
        <v>0</v>
      </c>
    </row>
    <row r="1536" spans="8:8" x14ac:dyDescent="0.3">
      <c r="H1536" s="10">
        <f t="shared" si="55"/>
        <v>0</v>
      </c>
    </row>
    <row r="1537" spans="8:8" x14ac:dyDescent="0.3">
      <c r="H1537" s="10">
        <f t="shared" si="55"/>
        <v>0</v>
      </c>
    </row>
    <row r="1538" spans="8:8" x14ac:dyDescent="0.3">
      <c r="H1538" s="10">
        <f t="shared" si="55"/>
        <v>0</v>
      </c>
    </row>
    <row r="1539" spans="8:8" x14ac:dyDescent="0.3">
      <c r="H1539" s="10">
        <f t="shared" si="55"/>
        <v>0</v>
      </c>
    </row>
    <row r="1540" spans="8:8" x14ac:dyDescent="0.3">
      <c r="H1540" s="10">
        <f t="shared" si="55"/>
        <v>0</v>
      </c>
    </row>
    <row r="1541" spans="8:8" x14ac:dyDescent="0.3">
      <c r="H1541" s="10">
        <f t="shared" si="55"/>
        <v>0</v>
      </c>
    </row>
    <row r="1542" spans="8:8" x14ac:dyDescent="0.3">
      <c r="H1542" s="10">
        <f t="shared" si="55"/>
        <v>0</v>
      </c>
    </row>
    <row r="1543" spans="8:8" x14ac:dyDescent="0.3">
      <c r="H1543" s="10">
        <f t="shared" si="55"/>
        <v>0</v>
      </c>
    </row>
    <row r="1544" spans="8:8" x14ac:dyDescent="0.3">
      <c r="H1544" s="10">
        <f t="shared" si="55"/>
        <v>0</v>
      </c>
    </row>
    <row r="1545" spans="8:8" x14ac:dyDescent="0.3">
      <c r="H1545" s="10">
        <f t="shared" si="55"/>
        <v>0</v>
      </c>
    </row>
    <row r="1546" spans="8:8" x14ac:dyDescent="0.3">
      <c r="H1546" s="10">
        <f t="shared" si="55"/>
        <v>0</v>
      </c>
    </row>
    <row r="1547" spans="8:8" x14ac:dyDescent="0.3">
      <c r="H1547" s="10">
        <f t="shared" si="55"/>
        <v>0</v>
      </c>
    </row>
    <row r="1548" spans="8:8" x14ac:dyDescent="0.3">
      <c r="H1548" s="10">
        <f t="shared" si="55"/>
        <v>0</v>
      </c>
    </row>
    <row r="1549" spans="8:8" x14ac:dyDescent="0.3">
      <c r="H1549" s="10">
        <f t="shared" si="55"/>
        <v>0</v>
      </c>
    </row>
    <row r="1550" spans="8:8" x14ac:dyDescent="0.3">
      <c r="H1550" s="10">
        <f t="shared" si="55"/>
        <v>0</v>
      </c>
    </row>
    <row r="1551" spans="8:8" x14ac:dyDescent="0.3">
      <c r="H1551" s="10">
        <f t="shared" si="55"/>
        <v>0</v>
      </c>
    </row>
    <row r="1552" spans="8:8" x14ac:dyDescent="0.3">
      <c r="H1552" s="10">
        <f t="shared" si="55"/>
        <v>0</v>
      </c>
    </row>
    <row r="1553" spans="8:8" x14ac:dyDescent="0.3">
      <c r="H1553" s="10">
        <f t="shared" si="55"/>
        <v>0</v>
      </c>
    </row>
    <row r="1554" spans="8:8" x14ac:dyDescent="0.3">
      <c r="H1554" s="10">
        <f t="shared" si="55"/>
        <v>0</v>
      </c>
    </row>
    <row r="1555" spans="8:8" x14ac:dyDescent="0.3">
      <c r="H1555" s="10">
        <f t="shared" si="55"/>
        <v>0</v>
      </c>
    </row>
    <row r="1556" spans="8:8" x14ac:dyDescent="0.3">
      <c r="H1556" s="10">
        <f t="shared" si="55"/>
        <v>0</v>
      </c>
    </row>
    <row r="1557" spans="8:8" x14ac:dyDescent="0.3">
      <c r="H1557" s="10">
        <f t="shared" si="55"/>
        <v>0</v>
      </c>
    </row>
    <row r="1558" spans="8:8" x14ac:dyDescent="0.3">
      <c r="H1558" s="10">
        <f t="shared" si="55"/>
        <v>0</v>
      </c>
    </row>
    <row r="1559" spans="8:8" x14ac:dyDescent="0.3">
      <c r="H1559" s="10">
        <f t="shared" si="55"/>
        <v>0</v>
      </c>
    </row>
    <row r="1560" spans="8:8" x14ac:dyDescent="0.3">
      <c r="H1560" s="10">
        <f t="shared" si="55"/>
        <v>0</v>
      </c>
    </row>
    <row r="1561" spans="8:8" x14ac:dyDescent="0.3">
      <c r="H1561" s="10">
        <f t="shared" si="55"/>
        <v>0</v>
      </c>
    </row>
    <row r="1562" spans="8:8" x14ac:dyDescent="0.3">
      <c r="H1562" s="10">
        <f t="shared" si="55"/>
        <v>0</v>
      </c>
    </row>
    <row r="1563" spans="8:8" x14ac:dyDescent="0.3">
      <c r="H1563" s="10">
        <f t="shared" si="55"/>
        <v>0</v>
      </c>
    </row>
    <row r="1564" spans="8:8" x14ac:dyDescent="0.3">
      <c r="H1564" s="10">
        <f t="shared" si="55"/>
        <v>0</v>
      </c>
    </row>
    <row r="1565" spans="8:8" x14ac:dyDescent="0.3">
      <c r="H1565" s="10">
        <f t="shared" si="55"/>
        <v>0</v>
      </c>
    </row>
    <row r="1566" spans="8:8" x14ac:dyDescent="0.3">
      <c r="H1566" s="10">
        <f t="shared" si="55"/>
        <v>0</v>
      </c>
    </row>
    <row r="1567" spans="8:8" x14ac:dyDescent="0.3">
      <c r="H1567" s="10">
        <f t="shared" si="55"/>
        <v>0</v>
      </c>
    </row>
    <row r="1568" spans="8:8" x14ac:dyDescent="0.3">
      <c r="H1568" s="10">
        <f t="shared" si="55"/>
        <v>0</v>
      </c>
    </row>
    <row r="1569" spans="8:8" x14ac:dyDescent="0.3">
      <c r="H1569" s="10">
        <f t="shared" si="55"/>
        <v>0</v>
      </c>
    </row>
    <row r="1570" spans="8:8" x14ac:dyDescent="0.3">
      <c r="H1570" s="10">
        <f t="shared" si="55"/>
        <v>0</v>
      </c>
    </row>
    <row r="1571" spans="8:8" x14ac:dyDescent="0.3">
      <c r="H1571" s="10">
        <f t="shared" si="55"/>
        <v>0</v>
      </c>
    </row>
    <row r="1572" spans="8:8" x14ac:dyDescent="0.3">
      <c r="H1572" s="10">
        <f t="shared" si="55"/>
        <v>0</v>
      </c>
    </row>
    <row r="1573" spans="8:8" x14ac:dyDescent="0.3">
      <c r="H1573" s="10">
        <f t="shared" si="55"/>
        <v>0</v>
      </c>
    </row>
    <row r="1574" spans="8:8" x14ac:dyDescent="0.3">
      <c r="H1574" s="10">
        <f t="shared" si="55"/>
        <v>0</v>
      </c>
    </row>
    <row r="1575" spans="8:8" x14ac:dyDescent="0.3">
      <c r="H1575" s="10">
        <f t="shared" si="55"/>
        <v>0</v>
      </c>
    </row>
    <row r="1576" spans="8:8" x14ac:dyDescent="0.3">
      <c r="H1576" s="10">
        <f t="shared" si="55"/>
        <v>0</v>
      </c>
    </row>
    <row r="1577" spans="8:8" x14ac:dyDescent="0.3">
      <c r="H1577" s="10">
        <f t="shared" si="55"/>
        <v>0</v>
      </c>
    </row>
    <row r="1578" spans="8:8" x14ac:dyDescent="0.3">
      <c r="H1578" s="10">
        <f t="shared" si="55"/>
        <v>0</v>
      </c>
    </row>
    <row r="1579" spans="8:8" x14ac:dyDescent="0.3">
      <c r="H1579" s="10">
        <f t="shared" si="55"/>
        <v>0</v>
      </c>
    </row>
    <row r="1580" spans="8:8" x14ac:dyDescent="0.3">
      <c r="H1580" s="10">
        <f t="shared" si="55"/>
        <v>0</v>
      </c>
    </row>
    <row r="1581" spans="8:8" x14ac:dyDescent="0.3">
      <c r="H1581" s="10">
        <f t="shared" si="55"/>
        <v>0</v>
      </c>
    </row>
    <row r="1582" spans="8:8" x14ac:dyDescent="0.3">
      <c r="H1582" s="10">
        <f t="shared" si="55"/>
        <v>0</v>
      </c>
    </row>
    <row r="1583" spans="8:8" x14ac:dyDescent="0.3">
      <c r="H1583" s="10">
        <f t="shared" si="55"/>
        <v>0</v>
      </c>
    </row>
    <row r="1584" spans="8:8" x14ac:dyDescent="0.3">
      <c r="H1584" s="10">
        <f t="shared" si="55"/>
        <v>0</v>
      </c>
    </row>
    <row r="1585" spans="8:8" x14ac:dyDescent="0.3">
      <c r="H1585" s="10">
        <f t="shared" si="55"/>
        <v>0</v>
      </c>
    </row>
    <row r="1586" spans="8:8" x14ac:dyDescent="0.3">
      <c r="H1586" s="10">
        <f t="shared" si="55"/>
        <v>0</v>
      </c>
    </row>
    <row r="1587" spans="8:8" x14ac:dyDescent="0.3">
      <c r="H1587" s="10">
        <f t="shared" si="55"/>
        <v>0</v>
      </c>
    </row>
    <row r="1588" spans="8:8" x14ac:dyDescent="0.3">
      <c r="H1588" s="10">
        <f t="shared" si="55"/>
        <v>0</v>
      </c>
    </row>
    <row r="1589" spans="8:8" x14ac:dyDescent="0.3">
      <c r="H1589" s="10">
        <f t="shared" si="55"/>
        <v>0</v>
      </c>
    </row>
    <row r="1590" spans="8:8" x14ac:dyDescent="0.3">
      <c r="H1590" s="10">
        <f t="shared" si="55"/>
        <v>0</v>
      </c>
    </row>
    <row r="1591" spans="8:8" x14ac:dyDescent="0.3">
      <c r="H1591" s="10">
        <f t="shared" si="55"/>
        <v>0</v>
      </c>
    </row>
    <row r="1592" spans="8:8" x14ac:dyDescent="0.3">
      <c r="H1592" s="10">
        <f t="shared" si="55"/>
        <v>0</v>
      </c>
    </row>
    <row r="1593" spans="8:8" x14ac:dyDescent="0.3">
      <c r="H1593" s="10">
        <f t="shared" ref="H1593:H1656" si="56">D1593-C1593</f>
        <v>0</v>
      </c>
    </row>
    <row r="1594" spans="8:8" x14ac:dyDescent="0.3">
      <c r="H1594" s="10">
        <f t="shared" si="56"/>
        <v>0</v>
      </c>
    </row>
    <row r="1595" spans="8:8" x14ac:dyDescent="0.3">
      <c r="H1595" s="10">
        <f t="shared" si="56"/>
        <v>0</v>
      </c>
    </row>
    <row r="1596" spans="8:8" x14ac:dyDescent="0.3">
      <c r="H1596" s="10">
        <f t="shared" si="56"/>
        <v>0</v>
      </c>
    </row>
    <row r="1597" spans="8:8" x14ac:dyDescent="0.3">
      <c r="H1597" s="10">
        <f t="shared" si="56"/>
        <v>0</v>
      </c>
    </row>
    <row r="1598" spans="8:8" x14ac:dyDescent="0.3">
      <c r="H1598" s="10">
        <f t="shared" si="56"/>
        <v>0</v>
      </c>
    </row>
    <row r="1599" spans="8:8" x14ac:dyDescent="0.3">
      <c r="H1599" s="10">
        <f t="shared" si="56"/>
        <v>0</v>
      </c>
    </row>
    <row r="1600" spans="8:8" x14ac:dyDescent="0.3">
      <c r="H1600" s="10">
        <f t="shared" si="56"/>
        <v>0</v>
      </c>
    </row>
    <row r="1601" spans="8:8" x14ac:dyDescent="0.3">
      <c r="H1601" s="10">
        <f t="shared" si="56"/>
        <v>0</v>
      </c>
    </row>
    <row r="1602" spans="8:8" x14ac:dyDescent="0.3">
      <c r="H1602" s="10">
        <f t="shared" si="56"/>
        <v>0</v>
      </c>
    </row>
    <row r="1603" spans="8:8" x14ac:dyDescent="0.3">
      <c r="H1603" s="10">
        <f t="shared" si="56"/>
        <v>0</v>
      </c>
    </row>
    <row r="1604" spans="8:8" x14ac:dyDescent="0.3">
      <c r="H1604" s="10">
        <f t="shared" si="56"/>
        <v>0</v>
      </c>
    </row>
    <row r="1605" spans="8:8" x14ac:dyDescent="0.3">
      <c r="H1605" s="10">
        <f t="shared" si="56"/>
        <v>0</v>
      </c>
    </row>
    <row r="1606" spans="8:8" x14ac:dyDescent="0.3">
      <c r="H1606" s="10">
        <f t="shared" si="56"/>
        <v>0</v>
      </c>
    </row>
    <row r="1607" spans="8:8" x14ac:dyDescent="0.3">
      <c r="H1607" s="10">
        <f t="shared" si="56"/>
        <v>0</v>
      </c>
    </row>
    <row r="1608" spans="8:8" x14ac:dyDescent="0.3">
      <c r="H1608" s="10">
        <f t="shared" si="56"/>
        <v>0</v>
      </c>
    </row>
    <row r="1609" spans="8:8" x14ac:dyDescent="0.3">
      <c r="H1609" s="10">
        <f t="shared" si="56"/>
        <v>0</v>
      </c>
    </row>
    <row r="1610" spans="8:8" x14ac:dyDescent="0.3">
      <c r="H1610" s="10">
        <f t="shared" si="56"/>
        <v>0</v>
      </c>
    </row>
    <row r="1611" spans="8:8" x14ac:dyDescent="0.3">
      <c r="H1611" s="10">
        <f t="shared" si="56"/>
        <v>0</v>
      </c>
    </row>
    <row r="1612" spans="8:8" x14ac:dyDescent="0.3">
      <c r="H1612" s="10">
        <f t="shared" si="56"/>
        <v>0</v>
      </c>
    </row>
    <row r="1613" spans="8:8" x14ac:dyDescent="0.3">
      <c r="H1613" s="10">
        <f t="shared" si="56"/>
        <v>0</v>
      </c>
    </row>
    <row r="1614" spans="8:8" x14ac:dyDescent="0.3">
      <c r="H1614" s="10">
        <f t="shared" si="56"/>
        <v>0</v>
      </c>
    </row>
    <row r="1615" spans="8:8" x14ac:dyDescent="0.3">
      <c r="H1615" s="10">
        <f t="shared" si="56"/>
        <v>0</v>
      </c>
    </row>
    <row r="1616" spans="8:8" x14ac:dyDescent="0.3">
      <c r="H1616" s="10">
        <f t="shared" si="56"/>
        <v>0</v>
      </c>
    </row>
    <row r="1617" spans="8:8" x14ac:dyDescent="0.3">
      <c r="H1617" s="10">
        <f t="shared" si="56"/>
        <v>0</v>
      </c>
    </row>
    <row r="1618" spans="8:8" x14ac:dyDescent="0.3">
      <c r="H1618" s="10">
        <f t="shared" si="56"/>
        <v>0</v>
      </c>
    </row>
    <row r="1619" spans="8:8" x14ac:dyDescent="0.3">
      <c r="H1619" s="10">
        <f t="shared" si="56"/>
        <v>0</v>
      </c>
    </row>
    <row r="1620" spans="8:8" x14ac:dyDescent="0.3">
      <c r="H1620" s="10">
        <f t="shared" si="56"/>
        <v>0</v>
      </c>
    </row>
    <row r="1621" spans="8:8" x14ac:dyDescent="0.3">
      <c r="H1621" s="10">
        <f t="shared" si="56"/>
        <v>0</v>
      </c>
    </row>
    <row r="1622" spans="8:8" x14ac:dyDescent="0.3">
      <c r="H1622" s="10">
        <f t="shared" si="56"/>
        <v>0</v>
      </c>
    </row>
    <row r="1623" spans="8:8" x14ac:dyDescent="0.3">
      <c r="H1623" s="10">
        <f t="shared" si="56"/>
        <v>0</v>
      </c>
    </row>
    <row r="1624" spans="8:8" x14ac:dyDescent="0.3">
      <c r="H1624" s="10">
        <f t="shared" si="56"/>
        <v>0</v>
      </c>
    </row>
    <row r="1625" spans="8:8" x14ac:dyDescent="0.3">
      <c r="H1625" s="10">
        <f t="shared" si="56"/>
        <v>0</v>
      </c>
    </row>
    <row r="1626" spans="8:8" x14ac:dyDescent="0.3">
      <c r="H1626" s="10">
        <f t="shared" si="56"/>
        <v>0</v>
      </c>
    </row>
    <row r="1627" spans="8:8" x14ac:dyDescent="0.3">
      <c r="H1627" s="10">
        <f t="shared" si="56"/>
        <v>0</v>
      </c>
    </row>
    <row r="1628" spans="8:8" x14ac:dyDescent="0.3">
      <c r="H1628" s="10">
        <f t="shared" si="56"/>
        <v>0</v>
      </c>
    </row>
    <row r="1629" spans="8:8" x14ac:dyDescent="0.3">
      <c r="H1629" s="10">
        <f t="shared" si="56"/>
        <v>0</v>
      </c>
    </row>
    <row r="1630" spans="8:8" x14ac:dyDescent="0.3">
      <c r="H1630" s="10">
        <f t="shared" si="56"/>
        <v>0</v>
      </c>
    </row>
    <row r="1631" spans="8:8" x14ac:dyDescent="0.3">
      <c r="H1631" s="10">
        <f t="shared" si="56"/>
        <v>0</v>
      </c>
    </row>
    <row r="1632" spans="8:8" x14ac:dyDescent="0.3">
      <c r="H1632" s="10">
        <f t="shared" si="56"/>
        <v>0</v>
      </c>
    </row>
    <row r="1633" spans="8:8" x14ac:dyDescent="0.3">
      <c r="H1633" s="10">
        <f t="shared" si="56"/>
        <v>0</v>
      </c>
    </row>
    <row r="1634" spans="8:8" x14ac:dyDescent="0.3">
      <c r="H1634" s="10">
        <f t="shared" si="56"/>
        <v>0</v>
      </c>
    </row>
    <row r="1635" spans="8:8" x14ac:dyDescent="0.3">
      <c r="H1635" s="10">
        <f t="shared" si="56"/>
        <v>0</v>
      </c>
    </row>
    <row r="1636" spans="8:8" x14ac:dyDescent="0.3">
      <c r="H1636" s="10">
        <f t="shared" si="56"/>
        <v>0</v>
      </c>
    </row>
    <row r="1637" spans="8:8" x14ac:dyDescent="0.3">
      <c r="H1637" s="10">
        <f t="shared" si="56"/>
        <v>0</v>
      </c>
    </row>
    <row r="1638" spans="8:8" x14ac:dyDescent="0.3">
      <c r="H1638" s="10">
        <f t="shared" si="56"/>
        <v>0</v>
      </c>
    </row>
    <row r="1639" spans="8:8" x14ac:dyDescent="0.3">
      <c r="H1639" s="10">
        <f t="shared" si="56"/>
        <v>0</v>
      </c>
    </row>
    <row r="1640" spans="8:8" x14ac:dyDescent="0.3">
      <c r="H1640" s="10">
        <f t="shared" si="56"/>
        <v>0</v>
      </c>
    </row>
    <row r="1641" spans="8:8" x14ac:dyDescent="0.3">
      <c r="H1641" s="10">
        <f t="shared" si="56"/>
        <v>0</v>
      </c>
    </row>
    <row r="1642" spans="8:8" x14ac:dyDescent="0.3">
      <c r="H1642" s="10">
        <f t="shared" si="56"/>
        <v>0</v>
      </c>
    </row>
    <row r="1643" spans="8:8" x14ac:dyDescent="0.3">
      <c r="H1643" s="10">
        <f t="shared" si="56"/>
        <v>0</v>
      </c>
    </row>
    <row r="1644" spans="8:8" x14ac:dyDescent="0.3">
      <c r="H1644" s="10">
        <f t="shared" si="56"/>
        <v>0</v>
      </c>
    </row>
    <row r="1645" spans="8:8" x14ac:dyDescent="0.3">
      <c r="H1645" s="10">
        <f t="shared" si="56"/>
        <v>0</v>
      </c>
    </row>
    <row r="1646" spans="8:8" x14ac:dyDescent="0.3">
      <c r="H1646" s="10">
        <f t="shared" si="56"/>
        <v>0</v>
      </c>
    </row>
    <row r="1647" spans="8:8" x14ac:dyDescent="0.3">
      <c r="H1647" s="10">
        <f t="shared" si="56"/>
        <v>0</v>
      </c>
    </row>
    <row r="1648" spans="8:8" x14ac:dyDescent="0.3">
      <c r="H1648" s="10">
        <f t="shared" si="56"/>
        <v>0</v>
      </c>
    </row>
    <row r="1649" spans="8:8" x14ac:dyDescent="0.3">
      <c r="H1649" s="10">
        <f t="shared" si="56"/>
        <v>0</v>
      </c>
    </row>
    <row r="1650" spans="8:8" x14ac:dyDescent="0.3">
      <c r="H1650" s="10">
        <f t="shared" si="56"/>
        <v>0</v>
      </c>
    </row>
    <row r="1651" spans="8:8" x14ac:dyDescent="0.3">
      <c r="H1651" s="10">
        <f t="shared" si="56"/>
        <v>0</v>
      </c>
    </row>
    <row r="1652" spans="8:8" x14ac:dyDescent="0.3">
      <c r="H1652" s="10">
        <f t="shared" si="56"/>
        <v>0</v>
      </c>
    </row>
    <row r="1653" spans="8:8" x14ac:dyDescent="0.3">
      <c r="H1653" s="10">
        <f t="shared" si="56"/>
        <v>0</v>
      </c>
    </row>
    <row r="1654" spans="8:8" x14ac:dyDescent="0.3">
      <c r="H1654" s="10">
        <f t="shared" si="56"/>
        <v>0</v>
      </c>
    </row>
    <row r="1655" spans="8:8" x14ac:dyDescent="0.3">
      <c r="H1655" s="10">
        <f t="shared" si="56"/>
        <v>0</v>
      </c>
    </row>
    <row r="1656" spans="8:8" x14ac:dyDescent="0.3">
      <c r="H1656" s="10">
        <f t="shared" si="56"/>
        <v>0</v>
      </c>
    </row>
    <row r="1657" spans="8:8" x14ac:dyDescent="0.3">
      <c r="H1657" s="10">
        <f t="shared" ref="H1657:H1720" si="57">D1657-C1657</f>
        <v>0</v>
      </c>
    </row>
    <row r="1658" spans="8:8" x14ac:dyDescent="0.3">
      <c r="H1658" s="10">
        <f t="shared" si="57"/>
        <v>0</v>
      </c>
    </row>
    <row r="1659" spans="8:8" x14ac:dyDescent="0.3">
      <c r="H1659" s="10">
        <f t="shared" si="57"/>
        <v>0</v>
      </c>
    </row>
    <row r="1660" spans="8:8" x14ac:dyDescent="0.3">
      <c r="H1660" s="10">
        <f t="shared" si="57"/>
        <v>0</v>
      </c>
    </row>
    <row r="1661" spans="8:8" x14ac:dyDescent="0.3">
      <c r="H1661" s="10">
        <f t="shared" si="57"/>
        <v>0</v>
      </c>
    </row>
    <row r="1662" spans="8:8" x14ac:dyDescent="0.3">
      <c r="H1662" s="10">
        <f t="shared" si="57"/>
        <v>0</v>
      </c>
    </row>
    <row r="1663" spans="8:8" x14ac:dyDescent="0.3">
      <c r="H1663" s="10">
        <f t="shared" si="57"/>
        <v>0</v>
      </c>
    </row>
    <row r="1664" spans="8:8" x14ac:dyDescent="0.3">
      <c r="H1664" s="10">
        <f t="shared" si="57"/>
        <v>0</v>
      </c>
    </row>
    <row r="1665" spans="8:8" x14ac:dyDescent="0.3">
      <c r="H1665" s="10">
        <f t="shared" si="57"/>
        <v>0</v>
      </c>
    </row>
    <row r="1666" spans="8:8" x14ac:dyDescent="0.3">
      <c r="H1666" s="10">
        <f t="shared" si="57"/>
        <v>0</v>
      </c>
    </row>
    <row r="1667" spans="8:8" x14ac:dyDescent="0.3">
      <c r="H1667" s="10">
        <f t="shared" si="57"/>
        <v>0</v>
      </c>
    </row>
    <row r="1668" spans="8:8" x14ac:dyDescent="0.3">
      <c r="H1668" s="10">
        <f t="shared" si="57"/>
        <v>0</v>
      </c>
    </row>
    <row r="1669" spans="8:8" x14ac:dyDescent="0.3">
      <c r="H1669" s="10">
        <f t="shared" si="57"/>
        <v>0</v>
      </c>
    </row>
    <row r="1670" spans="8:8" x14ac:dyDescent="0.3">
      <c r="H1670" s="10">
        <f t="shared" si="57"/>
        <v>0</v>
      </c>
    </row>
    <row r="1671" spans="8:8" x14ac:dyDescent="0.3">
      <c r="H1671" s="10">
        <f t="shared" si="57"/>
        <v>0</v>
      </c>
    </row>
    <row r="1672" spans="8:8" x14ac:dyDescent="0.3">
      <c r="H1672" s="10">
        <f t="shared" si="57"/>
        <v>0</v>
      </c>
    </row>
    <row r="1673" spans="8:8" x14ac:dyDescent="0.3">
      <c r="H1673" s="10">
        <f t="shared" si="57"/>
        <v>0</v>
      </c>
    </row>
    <row r="1674" spans="8:8" x14ac:dyDescent="0.3">
      <c r="H1674" s="10">
        <f t="shared" si="57"/>
        <v>0</v>
      </c>
    </row>
    <row r="1675" spans="8:8" x14ac:dyDescent="0.3">
      <c r="H1675" s="10">
        <f t="shared" si="57"/>
        <v>0</v>
      </c>
    </row>
    <row r="1676" spans="8:8" x14ac:dyDescent="0.3">
      <c r="H1676" s="10">
        <f t="shared" si="57"/>
        <v>0</v>
      </c>
    </row>
    <row r="1677" spans="8:8" x14ac:dyDescent="0.3">
      <c r="H1677" s="10">
        <f t="shared" si="57"/>
        <v>0</v>
      </c>
    </row>
    <row r="1678" spans="8:8" x14ac:dyDescent="0.3">
      <c r="H1678" s="10">
        <f t="shared" si="57"/>
        <v>0</v>
      </c>
    </row>
    <row r="1679" spans="8:8" x14ac:dyDescent="0.3">
      <c r="H1679" s="10">
        <f t="shared" si="57"/>
        <v>0</v>
      </c>
    </row>
    <row r="1680" spans="8:8" x14ac:dyDescent="0.3">
      <c r="H1680" s="10">
        <f t="shared" si="57"/>
        <v>0</v>
      </c>
    </row>
    <row r="1681" spans="8:8" x14ac:dyDescent="0.3">
      <c r="H1681" s="10">
        <f t="shared" si="57"/>
        <v>0</v>
      </c>
    </row>
    <row r="1682" spans="8:8" x14ac:dyDescent="0.3">
      <c r="H1682" s="10">
        <f t="shared" si="57"/>
        <v>0</v>
      </c>
    </row>
    <row r="1683" spans="8:8" x14ac:dyDescent="0.3">
      <c r="H1683" s="10">
        <f t="shared" si="57"/>
        <v>0</v>
      </c>
    </row>
    <row r="1684" spans="8:8" x14ac:dyDescent="0.3">
      <c r="H1684" s="10">
        <f t="shared" si="57"/>
        <v>0</v>
      </c>
    </row>
    <row r="1685" spans="8:8" x14ac:dyDescent="0.3">
      <c r="H1685" s="10">
        <f t="shared" si="57"/>
        <v>0</v>
      </c>
    </row>
    <row r="1686" spans="8:8" x14ac:dyDescent="0.3">
      <c r="H1686" s="10">
        <f t="shared" si="57"/>
        <v>0</v>
      </c>
    </row>
    <row r="1687" spans="8:8" x14ac:dyDescent="0.3">
      <c r="H1687" s="10">
        <f t="shared" si="57"/>
        <v>0</v>
      </c>
    </row>
    <row r="1688" spans="8:8" x14ac:dyDescent="0.3">
      <c r="H1688" s="10">
        <f t="shared" si="57"/>
        <v>0</v>
      </c>
    </row>
    <row r="1689" spans="8:8" x14ac:dyDescent="0.3">
      <c r="H1689" s="10">
        <f t="shared" si="57"/>
        <v>0</v>
      </c>
    </row>
    <row r="1690" spans="8:8" x14ac:dyDescent="0.3">
      <c r="H1690" s="10">
        <f t="shared" si="57"/>
        <v>0</v>
      </c>
    </row>
    <row r="1691" spans="8:8" x14ac:dyDescent="0.3">
      <c r="H1691" s="10">
        <f t="shared" si="57"/>
        <v>0</v>
      </c>
    </row>
    <row r="1692" spans="8:8" x14ac:dyDescent="0.3">
      <c r="H1692" s="10">
        <f t="shared" si="57"/>
        <v>0</v>
      </c>
    </row>
    <row r="1693" spans="8:8" x14ac:dyDescent="0.3">
      <c r="H1693" s="10">
        <f t="shared" si="57"/>
        <v>0</v>
      </c>
    </row>
    <row r="1694" spans="8:8" x14ac:dyDescent="0.3">
      <c r="H1694" s="10">
        <f t="shared" si="57"/>
        <v>0</v>
      </c>
    </row>
    <row r="1695" spans="8:8" x14ac:dyDescent="0.3">
      <c r="H1695" s="10">
        <f t="shared" si="57"/>
        <v>0</v>
      </c>
    </row>
    <row r="1696" spans="8:8" x14ac:dyDescent="0.3">
      <c r="H1696" s="10">
        <f t="shared" si="57"/>
        <v>0</v>
      </c>
    </row>
    <row r="1697" spans="8:8" x14ac:dyDescent="0.3">
      <c r="H1697" s="10">
        <f t="shared" si="57"/>
        <v>0</v>
      </c>
    </row>
    <row r="1698" spans="8:8" x14ac:dyDescent="0.3">
      <c r="H1698" s="10">
        <f t="shared" si="57"/>
        <v>0</v>
      </c>
    </row>
    <row r="1699" spans="8:8" x14ac:dyDescent="0.3">
      <c r="H1699" s="10">
        <f t="shared" si="57"/>
        <v>0</v>
      </c>
    </row>
    <row r="1700" spans="8:8" x14ac:dyDescent="0.3">
      <c r="H1700" s="10">
        <f t="shared" si="57"/>
        <v>0</v>
      </c>
    </row>
    <row r="1701" spans="8:8" x14ac:dyDescent="0.3">
      <c r="H1701" s="10">
        <f t="shared" si="57"/>
        <v>0</v>
      </c>
    </row>
    <row r="1702" spans="8:8" x14ac:dyDescent="0.3">
      <c r="H1702" s="10">
        <f t="shared" si="57"/>
        <v>0</v>
      </c>
    </row>
    <row r="1703" spans="8:8" x14ac:dyDescent="0.3">
      <c r="H1703" s="10">
        <f t="shared" si="57"/>
        <v>0</v>
      </c>
    </row>
    <row r="1704" spans="8:8" x14ac:dyDescent="0.3">
      <c r="H1704" s="10">
        <f t="shared" si="57"/>
        <v>0</v>
      </c>
    </row>
    <row r="1705" spans="8:8" x14ac:dyDescent="0.3">
      <c r="H1705" s="10">
        <f t="shared" si="57"/>
        <v>0</v>
      </c>
    </row>
    <row r="1706" spans="8:8" x14ac:dyDescent="0.3">
      <c r="H1706" s="10">
        <f t="shared" si="57"/>
        <v>0</v>
      </c>
    </row>
    <row r="1707" spans="8:8" x14ac:dyDescent="0.3">
      <c r="H1707" s="10">
        <f t="shared" si="57"/>
        <v>0</v>
      </c>
    </row>
    <row r="1708" spans="8:8" x14ac:dyDescent="0.3">
      <c r="H1708" s="10">
        <f t="shared" si="57"/>
        <v>0</v>
      </c>
    </row>
    <row r="1709" spans="8:8" x14ac:dyDescent="0.3">
      <c r="H1709" s="10">
        <f t="shared" si="57"/>
        <v>0</v>
      </c>
    </row>
    <row r="1710" spans="8:8" x14ac:dyDescent="0.3">
      <c r="H1710" s="10">
        <f t="shared" si="57"/>
        <v>0</v>
      </c>
    </row>
    <row r="1711" spans="8:8" x14ac:dyDescent="0.3">
      <c r="H1711" s="10">
        <f t="shared" si="57"/>
        <v>0</v>
      </c>
    </row>
    <row r="1712" spans="8:8" x14ac:dyDescent="0.3">
      <c r="H1712" s="10">
        <f t="shared" si="57"/>
        <v>0</v>
      </c>
    </row>
    <row r="1713" spans="8:8" x14ac:dyDescent="0.3">
      <c r="H1713" s="10">
        <f t="shared" si="57"/>
        <v>0</v>
      </c>
    </row>
    <row r="1714" spans="8:8" x14ac:dyDescent="0.3">
      <c r="H1714" s="10">
        <f t="shared" si="57"/>
        <v>0</v>
      </c>
    </row>
    <row r="1715" spans="8:8" x14ac:dyDescent="0.3">
      <c r="H1715" s="10">
        <f t="shared" si="57"/>
        <v>0</v>
      </c>
    </row>
    <row r="1716" spans="8:8" x14ac:dyDescent="0.3">
      <c r="H1716" s="10">
        <f t="shared" si="57"/>
        <v>0</v>
      </c>
    </row>
    <row r="1717" spans="8:8" x14ac:dyDescent="0.3">
      <c r="H1717" s="10">
        <f t="shared" si="57"/>
        <v>0</v>
      </c>
    </row>
    <row r="1718" spans="8:8" x14ac:dyDescent="0.3">
      <c r="H1718" s="10">
        <f t="shared" si="57"/>
        <v>0</v>
      </c>
    </row>
    <row r="1719" spans="8:8" x14ac:dyDescent="0.3">
      <c r="H1719" s="10">
        <f t="shared" si="57"/>
        <v>0</v>
      </c>
    </row>
    <row r="1720" spans="8:8" x14ac:dyDescent="0.3">
      <c r="H1720" s="10">
        <f t="shared" si="57"/>
        <v>0</v>
      </c>
    </row>
    <row r="1721" spans="8:8" x14ac:dyDescent="0.3">
      <c r="H1721" s="10">
        <f t="shared" ref="H1721:H1784" si="58">D1721-C1721</f>
        <v>0</v>
      </c>
    </row>
    <row r="1722" spans="8:8" x14ac:dyDescent="0.3">
      <c r="H1722" s="10">
        <f t="shared" si="58"/>
        <v>0</v>
      </c>
    </row>
    <row r="1723" spans="8:8" x14ac:dyDescent="0.3">
      <c r="H1723" s="10">
        <f t="shared" si="58"/>
        <v>0</v>
      </c>
    </row>
    <row r="1724" spans="8:8" x14ac:dyDescent="0.3">
      <c r="H1724" s="10">
        <f t="shared" si="58"/>
        <v>0</v>
      </c>
    </row>
    <row r="1725" spans="8:8" x14ac:dyDescent="0.3">
      <c r="H1725" s="10">
        <f t="shared" si="58"/>
        <v>0</v>
      </c>
    </row>
    <row r="1726" spans="8:8" x14ac:dyDescent="0.3">
      <c r="H1726" s="10">
        <f t="shared" si="58"/>
        <v>0</v>
      </c>
    </row>
    <row r="1727" spans="8:8" x14ac:dyDescent="0.3">
      <c r="H1727" s="10">
        <f t="shared" si="58"/>
        <v>0</v>
      </c>
    </row>
    <row r="1728" spans="8:8" x14ac:dyDescent="0.3">
      <c r="H1728" s="10">
        <f t="shared" si="58"/>
        <v>0</v>
      </c>
    </row>
    <row r="1729" spans="8:8" x14ac:dyDescent="0.3">
      <c r="H1729" s="10">
        <f t="shared" si="58"/>
        <v>0</v>
      </c>
    </row>
    <row r="1730" spans="8:8" x14ac:dyDescent="0.3">
      <c r="H1730" s="10">
        <f t="shared" si="58"/>
        <v>0</v>
      </c>
    </row>
    <row r="1731" spans="8:8" x14ac:dyDescent="0.3">
      <c r="H1731" s="10">
        <f t="shared" si="58"/>
        <v>0</v>
      </c>
    </row>
    <row r="1732" spans="8:8" x14ac:dyDescent="0.3">
      <c r="H1732" s="10">
        <f t="shared" si="58"/>
        <v>0</v>
      </c>
    </row>
    <row r="1733" spans="8:8" x14ac:dyDescent="0.3">
      <c r="H1733" s="10">
        <f t="shared" si="58"/>
        <v>0</v>
      </c>
    </row>
    <row r="1734" spans="8:8" x14ac:dyDescent="0.3">
      <c r="H1734" s="10">
        <f t="shared" si="58"/>
        <v>0</v>
      </c>
    </row>
    <row r="1735" spans="8:8" x14ac:dyDescent="0.3">
      <c r="H1735" s="10">
        <f t="shared" si="58"/>
        <v>0</v>
      </c>
    </row>
    <row r="1736" spans="8:8" x14ac:dyDescent="0.3">
      <c r="H1736" s="10">
        <f t="shared" si="58"/>
        <v>0</v>
      </c>
    </row>
    <row r="1737" spans="8:8" x14ac:dyDescent="0.3">
      <c r="H1737" s="10">
        <f t="shared" si="58"/>
        <v>0</v>
      </c>
    </row>
    <row r="1738" spans="8:8" x14ac:dyDescent="0.3">
      <c r="H1738" s="10">
        <f t="shared" si="58"/>
        <v>0</v>
      </c>
    </row>
    <row r="1739" spans="8:8" x14ac:dyDescent="0.3">
      <c r="H1739" s="10">
        <f t="shared" si="58"/>
        <v>0</v>
      </c>
    </row>
    <row r="1740" spans="8:8" x14ac:dyDescent="0.3">
      <c r="H1740" s="10">
        <f t="shared" si="58"/>
        <v>0</v>
      </c>
    </row>
    <row r="1741" spans="8:8" x14ac:dyDescent="0.3">
      <c r="H1741" s="10">
        <f t="shared" si="58"/>
        <v>0</v>
      </c>
    </row>
    <row r="1742" spans="8:8" x14ac:dyDescent="0.3">
      <c r="H1742" s="10">
        <f t="shared" si="58"/>
        <v>0</v>
      </c>
    </row>
    <row r="1743" spans="8:8" x14ac:dyDescent="0.3">
      <c r="H1743" s="10">
        <f t="shared" si="58"/>
        <v>0</v>
      </c>
    </row>
    <row r="1744" spans="8:8" x14ac:dyDescent="0.3">
      <c r="H1744" s="10">
        <f t="shared" si="58"/>
        <v>0</v>
      </c>
    </row>
    <row r="1745" spans="8:8" x14ac:dyDescent="0.3">
      <c r="H1745" s="10">
        <f t="shared" si="58"/>
        <v>0</v>
      </c>
    </row>
    <row r="1746" spans="8:8" x14ac:dyDescent="0.3">
      <c r="H1746" s="10">
        <f t="shared" si="58"/>
        <v>0</v>
      </c>
    </row>
    <row r="1747" spans="8:8" x14ac:dyDescent="0.3">
      <c r="H1747" s="10">
        <f t="shared" si="58"/>
        <v>0</v>
      </c>
    </row>
    <row r="1748" spans="8:8" x14ac:dyDescent="0.3">
      <c r="H1748" s="10">
        <f t="shared" si="58"/>
        <v>0</v>
      </c>
    </row>
    <row r="1749" spans="8:8" x14ac:dyDescent="0.3">
      <c r="H1749" s="10">
        <f t="shared" si="58"/>
        <v>0</v>
      </c>
    </row>
    <row r="1750" spans="8:8" x14ac:dyDescent="0.3">
      <c r="H1750" s="10">
        <f t="shared" si="58"/>
        <v>0</v>
      </c>
    </row>
    <row r="1751" spans="8:8" x14ac:dyDescent="0.3">
      <c r="H1751" s="10">
        <f t="shared" si="58"/>
        <v>0</v>
      </c>
    </row>
    <row r="1752" spans="8:8" x14ac:dyDescent="0.3">
      <c r="H1752" s="10">
        <f t="shared" si="58"/>
        <v>0</v>
      </c>
    </row>
    <row r="1753" spans="8:8" x14ac:dyDescent="0.3">
      <c r="H1753" s="10">
        <f t="shared" si="58"/>
        <v>0</v>
      </c>
    </row>
    <row r="1754" spans="8:8" x14ac:dyDescent="0.3">
      <c r="H1754" s="10">
        <f t="shared" si="58"/>
        <v>0</v>
      </c>
    </row>
    <row r="1755" spans="8:8" x14ac:dyDescent="0.3">
      <c r="H1755" s="10">
        <f t="shared" si="58"/>
        <v>0</v>
      </c>
    </row>
    <row r="1756" spans="8:8" x14ac:dyDescent="0.3">
      <c r="H1756" s="10">
        <f t="shared" si="58"/>
        <v>0</v>
      </c>
    </row>
  </sheetData>
  <mergeCells count="23">
    <mergeCell ref="A495:D500"/>
    <mergeCell ref="E495:H500"/>
    <mergeCell ref="I495:R495"/>
    <mergeCell ref="I496:R504"/>
    <mergeCell ref="A491:D491"/>
    <mergeCell ref="F491:G491"/>
    <mergeCell ref="A493:D493"/>
    <mergeCell ref="E493:H493"/>
    <mergeCell ref="I493:R494"/>
    <mergeCell ref="A494:D494"/>
    <mergeCell ref="E494:H494"/>
    <mergeCell ref="A7:B7"/>
    <mergeCell ref="A8:B8"/>
    <mergeCell ref="A488:H488"/>
    <mergeCell ref="A489:D489"/>
    <mergeCell ref="F489:G489"/>
    <mergeCell ref="A490:C490"/>
    <mergeCell ref="A1:H1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BAO CAO</vt:lpstr>
      <vt:lpstr>BAO CAO (2)</vt:lpstr>
      <vt:lpstr>'BAO CAO'!Print_Area</vt:lpstr>
      <vt:lpstr>'BAO CAO (2)'!Print_Area</vt:lpstr>
      <vt:lpstr>'BAO CAO'!Print_Titles</vt:lpstr>
      <vt:lpstr>'BAO CAO (2)'!Print_Titles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khang vu</cp:lastModifiedBy>
  <cp:lastPrinted>2026-04-07T15:23:32Z</cp:lastPrinted>
  <dcterms:created xsi:type="dcterms:W3CDTF">2016-01-06T08:22:23Z</dcterms:created>
  <dcterms:modified xsi:type="dcterms:W3CDTF">2026-04-15T01:38:32Z</dcterms:modified>
</cp:coreProperties>
</file>