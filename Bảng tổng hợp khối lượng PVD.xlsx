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NCN E&amp;C\Theo dõi TC bấc thấm\"/>
    </mc:Choice>
  </mc:AlternateContent>
  <bookViews>
    <workbookView xWindow="0" yWindow="0" windowWidth="19090" windowHeight="6130"/>
  </bookViews>
  <sheets>
    <sheet name="PVD" sheetId="10" r:id="rId1"/>
    <sheet name="SBD" sheetId="12" r:id="rId2"/>
    <sheet name="CDM" sheetId="1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1" i="10" l="1"/>
  <c r="F69" i="10"/>
  <c r="A67" i="10" l="1"/>
  <c r="A68" i="10"/>
  <c r="F68" i="10"/>
  <c r="F67" i="10" l="1"/>
  <c r="A61" i="10" l="1"/>
  <c r="A62" i="10" s="1"/>
  <c r="A63" i="10" s="1"/>
  <c r="A64" i="10" s="1"/>
  <c r="A65" i="10" s="1"/>
  <c r="A66" i="10" s="1"/>
  <c r="F66" i="10" l="1"/>
  <c r="F70" i="10" l="1"/>
  <c r="G70" i="10"/>
  <c r="G62" i="10"/>
  <c r="F64" i="10"/>
  <c r="F62" i="10"/>
  <c r="D62" i="10"/>
  <c r="F61" i="10"/>
  <c r="F65" i="10" l="1"/>
  <c r="D10" i="11" l="1"/>
  <c r="G10" i="11"/>
  <c r="F10" i="11"/>
  <c r="E77" i="10" l="1"/>
  <c r="D13" i="10"/>
  <c r="F13" i="10" s="1"/>
  <c r="E89" i="10" l="1"/>
  <c r="E90" i="10"/>
  <c r="A78" i="10" l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E95" i="10"/>
  <c r="E94" i="10"/>
  <c r="E93" i="10"/>
  <c r="E92" i="10"/>
  <c r="E91" i="10" l="1"/>
  <c r="E78" i="10"/>
  <c r="F78" i="10" s="1"/>
  <c r="A33" i="10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F60" i="10"/>
  <c r="F59" i="10" l="1"/>
  <c r="D54" i="10" l="1"/>
  <c r="F54" i="10" s="1"/>
  <c r="F53" i="10"/>
  <c r="F55" i="10" l="1"/>
  <c r="F51" i="10" l="1"/>
  <c r="D50" i="10" l="1"/>
  <c r="F50" i="10" s="1"/>
  <c r="F47" i="10" l="1"/>
  <c r="A6" i="10" l="1"/>
  <c r="A7" i="10" s="1"/>
  <c r="A8" i="10" s="1"/>
  <c r="A9" i="10" s="1"/>
  <c r="A10" i="10" s="1"/>
  <c r="A11" i="10" s="1"/>
  <c r="A12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F49" i="10"/>
  <c r="F48" i="10"/>
  <c r="F46" i="10"/>
  <c r="F45" i="10"/>
  <c r="F43" i="10"/>
  <c r="F41" i="10"/>
  <c r="F40" i="10"/>
  <c r="F39" i="10"/>
  <c r="F38" i="10"/>
  <c r="F37" i="10"/>
  <c r="F36" i="10"/>
  <c r="F35" i="10"/>
  <c r="F34" i="10"/>
  <c r="F33" i="10"/>
  <c r="F32" i="10"/>
  <c r="F80" i="10"/>
  <c r="F81" i="10"/>
  <c r="F82" i="10"/>
  <c r="D83" i="10"/>
  <c r="F84" i="10"/>
  <c r="F85" i="10"/>
  <c r="F86" i="10"/>
  <c r="F5" i="10" l="1"/>
  <c r="D96" i="10" l="1"/>
  <c r="F89" i="10"/>
  <c r="F88" i="10"/>
  <c r="F87" i="10"/>
  <c r="F29" i="10"/>
  <c r="F28" i="10"/>
  <c r="F27" i="10"/>
  <c r="F26" i="10"/>
  <c r="F25" i="10"/>
  <c r="F24" i="10"/>
  <c r="G22" i="10"/>
  <c r="F22" i="10"/>
  <c r="F21" i="10"/>
  <c r="F20" i="10"/>
  <c r="F16" i="10"/>
  <c r="F15" i="10"/>
  <c r="F14" i="10"/>
  <c r="F12" i="10"/>
  <c r="F11" i="10"/>
  <c r="F10" i="10"/>
  <c r="F9" i="10"/>
  <c r="F8" i="10"/>
  <c r="F7" i="10"/>
  <c r="F6" i="10"/>
  <c r="E79" i="10" l="1"/>
  <c r="E83" i="10" s="1"/>
  <c r="E97" i="10" s="1"/>
  <c r="F30" i="10"/>
  <c r="F71" i="10" s="1"/>
  <c r="G30" i="10"/>
  <c r="E96" i="10"/>
  <c r="F96" i="10"/>
  <c r="F79" i="10" l="1"/>
  <c r="F77" i="10"/>
  <c r="F83" i="10" s="1"/>
</calcChain>
</file>

<file path=xl/sharedStrings.xml><?xml version="1.0" encoding="utf-8"?>
<sst xmlns="http://schemas.openxmlformats.org/spreadsheetml/2006/main" count="102" uniqueCount="70">
  <si>
    <t>STT</t>
  </si>
  <si>
    <t>Lý trình</t>
  </si>
  <si>
    <t>Ghi chú</t>
  </si>
  <si>
    <t>Chiều sâu thiết kế(m)</t>
  </si>
  <si>
    <t>Đạt chiều sâu thiết kế</t>
  </si>
  <si>
    <t>Số tim đã thi công</t>
  </si>
  <si>
    <t>Tổng số mét thiết kế(m)</t>
  </si>
  <si>
    <t>Tổng số mét thực tế(m)</t>
  </si>
  <si>
    <t>DỰ ÁN ĐẦU TƯ XÂY DỰNG ĐƯỜNG CAO TỐC MỸ AN - CAO LÃNH, GIAI ĐOẠN 1</t>
  </si>
  <si>
    <t>30/01/2026</t>
  </si>
  <si>
    <t>Mũi thi công</t>
  </si>
  <si>
    <t>Tổng khối lượng còn lại</t>
  </si>
  <si>
    <t>Kênh Tư Mới</t>
  </si>
  <si>
    <t>Km6+152,3</t>
  </si>
  <si>
    <t>Km6+340</t>
  </si>
  <si>
    <t>Km6+460</t>
  </si>
  <si>
    <t>Tổng</t>
  </si>
  <si>
    <t>Km8+600</t>
  </si>
  <si>
    <t>Km8+650</t>
  </si>
  <si>
    <t>Km8+700</t>
  </si>
  <si>
    <t>Km8+750</t>
  </si>
  <si>
    <t>Km8+800</t>
  </si>
  <si>
    <t>Hoàn thành</t>
  </si>
  <si>
    <t>Nguyễn Văn Tiếp</t>
  </si>
  <si>
    <t>Lũy kế</t>
  </si>
  <si>
    <t>Km 5+486,3 - Km 5+560</t>
  </si>
  <si>
    <t>BẢNG TỔNG HỢP KHỐI LƯỢNG THI CÔNG BẤC THẤM(PVD) Km 5+250 - Km 10+607</t>
  </si>
  <si>
    <t>Km 5+560 - Km 5+793,4</t>
  </si>
  <si>
    <t>Km 5+838,6 - Km5+920</t>
  </si>
  <si>
    <t>Km 5+920 - Km 6+107</t>
  </si>
  <si>
    <t>Máy 4700 mũi thi công số 1 đoạn M2 cầu kênh tư mới - M1 cầu mỹ an 2 (Km 5+250 Km 7+800)</t>
  </si>
  <si>
    <t>Chuyển máy</t>
  </si>
  <si>
    <t>8/2 - 24/2</t>
  </si>
  <si>
    <t>Nghỉ tết ÂL</t>
  </si>
  <si>
    <t>Km 10+00 - Km 10+050</t>
  </si>
  <si>
    <t>Km 10+050 - Km  10+130</t>
  </si>
  <si>
    <t>Km 10+230 - Km 10+280</t>
  </si>
  <si>
    <t>Km 10+170 - Km 10+230</t>
  </si>
  <si>
    <t>Máy hư</t>
  </si>
  <si>
    <t>Km 10+130 - Km 10+170</t>
  </si>
  <si>
    <t>Km 9+180 - Km 9+280</t>
  </si>
  <si>
    <t>Km5+560 - Km 5+793,4</t>
  </si>
  <si>
    <t>Km5+486,3- Km 5+560</t>
  </si>
  <si>
    <t>Km5+838,6 - Km6+107</t>
  </si>
  <si>
    <t>Km10+00 - Km 10+050</t>
  </si>
  <si>
    <t>Km10+050 - Km 10+130</t>
  </si>
  <si>
    <t>Km10+130 - Km 10+170</t>
  </si>
  <si>
    <t>Km10+170 - Km 10+230</t>
  </si>
  <si>
    <t>Km10+230 - Km 10+280</t>
  </si>
  <si>
    <t>Stt</t>
  </si>
  <si>
    <t>Km9+053,2 - Km 9+180</t>
  </si>
  <si>
    <t>BẢNG TỔNG HỢP KHỐI LƯỢNG THI CÔNG</t>
  </si>
  <si>
    <t>LŨY KẾ TỔNG KL:</t>
  </si>
  <si>
    <t>Máy 2900 mũi thi công số 2 đoạn M2 cầu mỹ an 2 - M1 cầu Nguyễn văn tiếp (Km 8+200 Km 10+324)</t>
  </si>
  <si>
    <t>Tổng khối lượng thi công:</t>
  </si>
  <si>
    <t>Tổng chiều dài đã thi công (m)</t>
  </si>
  <si>
    <t>Ngày/tháng</t>
  </si>
  <si>
    <t>Ngày</t>
  </si>
  <si>
    <t>Số tim đã
thi công</t>
  </si>
  <si>
    <t>Chiều sâu 
thiết kế (m)</t>
  </si>
  <si>
    <t>Tổng số mét 
thiết kế (m)</t>
  </si>
  <si>
    <t>Tổng số mét 
thực tế (m)</t>
  </si>
  <si>
    <t>Luỹ kế (m)</t>
  </si>
  <si>
    <t>BẢNG TỔNG HỢP KHỐI LƯỢNG THI CÔNG CỌC XI MĂNG ĐẤT (CDM) Km5+250-Km10+324</t>
  </si>
  <si>
    <t>Bấc thấm ngang (m)</t>
  </si>
  <si>
    <t>Bấc thấm dọc (m)</t>
  </si>
  <si>
    <t>BẢNG TỔNG HỢP KHỐI LƯỢNG THI CÔNG BẤC THẤM NGANG PHD Km5+250-Km10+324</t>
  </si>
  <si>
    <t>Km 9+153,2 - Km 9+180</t>
  </si>
  <si>
    <t>Km 9+053,2 - Km9+153,2</t>
  </si>
  <si>
    <t>Km 8+600 - Km 9+009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</si>
</sst>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dd/mm/yyyy;@"/>
    <numFmt numFmtId="165" formatCode="#,##0.00;[Red]#,##0.00"/>
    <numFmt numFmtId="166" formatCode="_(* #,##0.0_);_(* \(#,##0.0\);_(* &quot;-&quot;??_);_(@_)"/>
    <numFmt numFmtId="167" formatCode="_(* #,##0.0_);_(* \(#,##0.0\);_(* &quot;-&quot;?_);_(@_)"/>
    <numFmt numFmtId="168" formatCode="dd/mm/yyyy"/>
    <numFmt numFmtId="169" formatCode="#&quot;.&quot;##0.00;[Red]#&quot;.&quot;##0.00"/>
  </numFmts>
  <fonts count="14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b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1" fillId="0" borderId="0"/>
    <xf numFmtId="0" fontId="3" fillId="0" borderId="0"/>
  </cellStyleXfs>
  <cellXfs count="121">
    <xf numFmtId="0" fontId="0" fillId="0" borderId="0" xfId="0"/>
    <xf numFmtId="0" fontId="5" fillId="0" borderId="0" xfId="0" applyFont="1"/>
    <xf numFmtId="0" fontId="5" fillId="0" borderId="1" xfId="2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65" fontId="5" fillId="0" borderId="1" xfId="1" applyNumberFormat="1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2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165" fontId="5" fillId="0" borderId="2" xfId="1" applyNumberFormat="1" applyFont="1" applyBorder="1" applyAlignment="1">
      <alignment horizontal="right" vertical="center" wrapText="1"/>
    </xf>
    <xf numFmtId="49" fontId="5" fillId="0" borderId="1" xfId="2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6" fontId="5" fillId="0" borderId="1" xfId="1" applyNumberFormat="1" applyFont="1" applyBorder="1" applyAlignment="1">
      <alignment horizontal="right" vertical="center"/>
    </xf>
    <xf numFmtId="167" fontId="5" fillId="0" borderId="1" xfId="0" applyNumberFormat="1" applyFont="1" applyBorder="1"/>
    <xf numFmtId="0" fontId="4" fillId="0" borderId="1" xfId="0" applyFont="1" applyBorder="1" applyAlignment="1">
      <alignment horizontal="center"/>
    </xf>
    <xf numFmtId="166" fontId="4" fillId="0" borderId="1" xfId="1" applyNumberFormat="1" applyFont="1" applyBorder="1"/>
    <xf numFmtId="166" fontId="5" fillId="0" borderId="1" xfId="1" applyNumberFormat="1" applyFont="1" applyBorder="1"/>
    <xf numFmtId="166" fontId="5" fillId="0" borderId="0" xfId="0" applyNumberFormat="1" applyFont="1"/>
    <xf numFmtId="0" fontId="5" fillId="4" borderId="1" xfId="0" applyFont="1" applyFill="1" applyBorder="1"/>
    <xf numFmtId="0" fontId="5" fillId="5" borderId="1" xfId="0" applyFont="1" applyFill="1" applyBorder="1"/>
    <xf numFmtId="0" fontId="7" fillId="0" borderId="1" xfId="0" applyFont="1" applyBorder="1"/>
    <xf numFmtId="168" fontId="6" fillId="2" borderId="1" xfId="3" applyNumberFormat="1" applyFont="1" applyFill="1" applyBorder="1" applyAlignment="1">
      <alignment horizontal="left" vertical="center"/>
    </xf>
    <xf numFmtId="49" fontId="5" fillId="0" borderId="1" xfId="2" applyNumberFormat="1" applyFont="1" applyBorder="1" applyAlignment="1">
      <alignment horizontal="left" vertical="center" wrapText="1"/>
    </xf>
    <xf numFmtId="49" fontId="5" fillId="0" borderId="4" xfId="2" applyNumberFormat="1" applyFont="1" applyBorder="1" applyAlignment="1">
      <alignment horizontal="center" vertical="center" wrapText="1"/>
    </xf>
    <xf numFmtId="165" fontId="4" fillId="4" borderId="1" xfId="1" applyNumberFormat="1" applyFont="1" applyFill="1" applyBorder="1" applyAlignment="1">
      <alignment vertical="center" wrapText="1"/>
    </xf>
    <xf numFmtId="165" fontId="8" fillId="4" borderId="1" xfId="1" applyNumberFormat="1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166" fontId="5" fillId="0" borderId="2" xfId="1" applyNumberFormat="1" applyFont="1" applyBorder="1" applyAlignment="1">
      <alignment vertical="center"/>
    </xf>
    <xf numFmtId="166" fontId="5" fillId="0" borderId="3" xfId="1" applyNumberFormat="1" applyFont="1" applyBorder="1" applyAlignment="1">
      <alignment vertical="center"/>
    </xf>
    <xf numFmtId="0" fontId="7" fillId="0" borderId="7" xfId="2" applyFont="1" applyFill="1" applyBorder="1" applyAlignment="1">
      <alignment vertical="center" wrapText="1"/>
    </xf>
    <xf numFmtId="0" fontId="5" fillId="0" borderId="1" xfId="0" applyFont="1" applyFill="1" applyBorder="1"/>
    <xf numFmtId="166" fontId="5" fillId="0" borderId="4" xfId="1" applyNumberFormat="1" applyFont="1" applyBorder="1" applyAlignment="1">
      <alignment vertical="center"/>
    </xf>
    <xf numFmtId="166" fontId="5" fillId="0" borderId="2" xfId="1" applyNumberFormat="1" applyFont="1" applyBorder="1"/>
    <xf numFmtId="167" fontId="5" fillId="0" borderId="2" xfId="0" applyNumberFormat="1" applyFont="1" applyBorder="1"/>
    <xf numFmtId="0" fontId="5" fillId="0" borderId="0" xfId="0" applyFont="1" applyBorder="1"/>
    <xf numFmtId="166" fontId="8" fillId="3" borderId="1" xfId="1" applyNumberFormat="1" applyFont="1" applyFill="1" applyBorder="1"/>
    <xf numFmtId="165" fontId="9" fillId="4" borderId="1" xfId="1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9" fontId="5" fillId="0" borderId="0" xfId="0" applyNumberFormat="1" applyFont="1"/>
    <xf numFmtId="166" fontId="5" fillId="0" borderId="1" xfId="1" applyNumberFormat="1" applyFont="1" applyBorder="1" applyAlignment="1">
      <alignment vertical="center"/>
    </xf>
    <xf numFmtId="167" fontId="5" fillId="0" borderId="1" xfId="0" applyNumberFormat="1" applyFont="1" applyBorder="1" applyAlignment="1"/>
    <xf numFmtId="0" fontId="5" fillId="0" borderId="1" xfId="0" applyFont="1" applyBorder="1" applyAlignment="1"/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/>
    <xf numFmtId="169" fontId="8" fillId="3" borderId="1" xfId="0" applyNumberFormat="1" applyFont="1" applyFill="1" applyBorder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8" fontId="6" fillId="2" borderId="1" xfId="3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8" fontId="6" fillId="2" borderId="2" xfId="3" applyNumberFormat="1" applyFont="1" applyFill="1" applyBorder="1" applyAlignment="1">
      <alignment horizontal="center" vertical="center"/>
    </xf>
    <xf numFmtId="168" fontId="6" fillId="2" borderId="3" xfId="3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textRotation="90"/>
    </xf>
    <xf numFmtId="167" fontId="5" fillId="0" borderId="2" xfId="0" applyNumberFormat="1" applyFont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167" fontId="5" fillId="0" borderId="3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164" fontId="5" fillId="0" borderId="2" xfId="2" applyNumberFormat="1" applyFont="1" applyBorder="1" applyAlignment="1">
      <alignment horizontal="center" vertical="center" wrapText="1"/>
    </xf>
    <xf numFmtId="164" fontId="5" fillId="0" borderId="4" xfId="2" applyNumberFormat="1" applyFont="1" applyBorder="1" applyAlignment="1">
      <alignment horizontal="center" vertical="center" wrapText="1"/>
    </xf>
    <xf numFmtId="164" fontId="5" fillId="0" borderId="3" xfId="2" applyNumberFormat="1" applyFont="1" applyBorder="1" applyAlignment="1">
      <alignment horizontal="center" vertical="center" wrapText="1"/>
    </xf>
    <xf numFmtId="49" fontId="5" fillId="0" borderId="2" xfId="2" applyNumberFormat="1" applyFont="1" applyBorder="1" applyAlignment="1">
      <alignment horizontal="center" vertical="center" wrapText="1"/>
    </xf>
    <xf numFmtId="49" fontId="5" fillId="0" borderId="4" xfId="2" applyNumberFormat="1" applyFont="1" applyBorder="1" applyAlignment="1">
      <alignment horizontal="center" vertical="center" wrapText="1"/>
    </xf>
    <xf numFmtId="49" fontId="5" fillId="0" borderId="3" xfId="2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5" xfId="2" applyFont="1" applyFill="1" applyBorder="1" applyAlignment="1">
      <alignment horizontal="center" vertical="center" wrapText="1"/>
    </xf>
    <xf numFmtId="0" fontId="7" fillId="0" borderId="6" xfId="2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168" fontId="6" fillId="2" borderId="2" xfId="3" applyNumberFormat="1" applyFont="1" applyFill="1" applyBorder="1" applyAlignment="1">
      <alignment horizontal="left" vertical="center"/>
    </xf>
    <xf numFmtId="168" fontId="6" fillId="2" borderId="3" xfId="3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7" fillId="0" borderId="8" xfId="2" applyFont="1" applyFill="1" applyBorder="1" applyAlignment="1">
      <alignment horizontal="center" vertical="center" wrapText="1"/>
    </xf>
    <xf numFmtId="0" fontId="7" fillId="0" borderId="9" xfId="2" applyFont="1" applyFill="1" applyBorder="1" applyAlignment="1">
      <alignment horizontal="center" vertical="center" wrapText="1"/>
    </xf>
    <xf numFmtId="0" fontId="7" fillId="0" borderId="10" xfId="2" applyFont="1" applyFill="1" applyBorder="1" applyAlignment="1">
      <alignment horizontal="center" vertical="center" wrapText="1"/>
    </xf>
    <xf numFmtId="0" fontId="7" fillId="0" borderId="11" xfId="2" applyFont="1" applyFill="1" applyBorder="1" applyAlignment="1">
      <alignment horizontal="center" vertical="center" wrapText="1"/>
    </xf>
    <xf numFmtId="0" fontId="7" fillId="0" borderId="0" xfId="2" applyFont="1" applyFill="1" applyBorder="1" applyAlignment="1">
      <alignment horizontal="center" vertical="center" wrapText="1"/>
    </xf>
    <xf numFmtId="0" fontId="7" fillId="0" borderId="12" xfId="2" applyFont="1" applyFill="1" applyBorder="1" applyAlignment="1">
      <alignment horizontal="center" vertical="center" wrapText="1"/>
    </xf>
    <xf numFmtId="0" fontId="7" fillId="0" borderId="13" xfId="2" applyFont="1" applyFill="1" applyBorder="1" applyAlignment="1">
      <alignment horizontal="center" vertical="center" wrapText="1"/>
    </xf>
    <xf numFmtId="0" fontId="7" fillId="0" borderId="14" xfId="2" applyFont="1" applyFill="1" applyBorder="1" applyAlignment="1">
      <alignment horizontal="center" vertical="center" wrapText="1"/>
    </xf>
    <xf numFmtId="0" fontId="7" fillId="0" borderId="15" xfId="2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/>
    <cellStyle name="Normal 3 3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5"/>
  <sheetViews>
    <sheetView tabSelected="1" topLeftCell="A63" zoomScale="75" zoomScaleNormal="75" workbookViewId="0">
      <selection activeCell="G72" sqref="G72"/>
    </sheetView>
  </sheetViews>
  <sheetFormatPr defaultColWidth="8.90625" defaultRowHeight="15.5"/>
  <cols>
    <col min="1" max="1" width="8.90625" style="1"/>
    <col min="2" max="3" width="25" style="1" bestFit="1" customWidth="1"/>
    <col min="4" max="4" width="16" style="1" customWidth="1"/>
    <col min="5" max="5" width="18.81640625" style="1" customWidth="1"/>
    <col min="6" max="6" width="19.1796875" style="1" customWidth="1"/>
    <col min="7" max="7" width="18.54296875" style="1" customWidth="1"/>
    <col min="8" max="8" width="22.6328125" style="1" bestFit="1" customWidth="1"/>
    <col min="9" max="16384" width="8.90625" style="1"/>
  </cols>
  <sheetData>
    <row r="1" spans="1:11" ht="25.5" customHeight="1">
      <c r="A1" s="100" t="s">
        <v>8</v>
      </c>
      <c r="B1" s="100"/>
      <c r="C1" s="100"/>
      <c r="D1" s="100"/>
      <c r="E1" s="100"/>
      <c r="F1" s="100"/>
      <c r="G1" s="100"/>
      <c r="H1" s="100"/>
    </row>
    <row r="2" spans="1:11" ht="36" customHeight="1">
      <c r="A2" s="101" t="s">
        <v>26</v>
      </c>
      <c r="B2" s="101"/>
      <c r="C2" s="101"/>
      <c r="D2" s="101"/>
      <c r="E2" s="101"/>
      <c r="F2" s="101"/>
      <c r="G2" s="101"/>
      <c r="H2" s="101"/>
    </row>
    <row r="3" spans="1:11" s="13" customFormat="1" ht="44.4" customHeight="1">
      <c r="A3" s="29" t="s">
        <v>0</v>
      </c>
      <c r="B3" s="29" t="s">
        <v>1</v>
      </c>
      <c r="C3" s="29" t="s">
        <v>56</v>
      </c>
      <c r="D3" s="29" t="s">
        <v>5</v>
      </c>
      <c r="E3" s="29" t="s">
        <v>3</v>
      </c>
      <c r="F3" s="29" t="s">
        <v>6</v>
      </c>
      <c r="G3" s="29" t="s">
        <v>7</v>
      </c>
      <c r="H3" s="29" t="s">
        <v>2</v>
      </c>
    </row>
    <row r="4" spans="1:11" s="13" customFormat="1" ht="32" customHeight="1">
      <c r="A4" s="94" t="s">
        <v>30</v>
      </c>
      <c r="B4" s="95"/>
      <c r="C4" s="95"/>
      <c r="D4" s="95"/>
      <c r="E4" s="95"/>
      <c r="F4" s="95"/>
      <c r="G4" s="95"/>
      <c r="H4" s="96"/>
    </row>
    <row r="5" spans="1:11" ht="31" customHeight="1">
      <c r="A5" s="12">
        <v>1</v>
      </c>
      <c r="B5" s="83" t="s">
        <v>27</v>
      </c>
      <c r="C5" s="24">
        <v>46044</v>
      </c>
      <c r="D5" s="2">
        <v>252</v>
      </c>
      <c r="E5" s="3">
        <v>8.4700000000000006</v>
      </c>
      <c r="F5" s="4">
        <f>D5*E5</f>
        <v>2134.44</v>
      </c>
      <c r="G5" s="5">
        <v>2134</v>
      </c>
      <c r="H5" s="6" t="s">
        <v>4</v>
      </c>
    </row>
    <row r="6" spans="1:11" ht="25" customHeight="1">
      <c r="A6" s="12">
        <f>A5+1</f>
        <v>2</v>
      </c>
      <c r="B6" s="84"/>
      <c r="C6" s="24">
        <v>46045</v>
      </c>
      <c r="D6" s="2">
        <v>615</v>
      </c>
      <c r="E6" s="3">
        <v>8.4700000000000006</v>
      </c>
      <c r="F6" s="4">
        <f t="shared" ref="F6:F29" si="0">D6*E6</f>
        <v>5209.05</v>
      </c>
      <c r="G6" s="5">
        <v>5209</v>
      </c>
      <c r="H6" s="12"/>
    </row>
    <row r="7" spans="1:11" ht="25" customHeight="1">
      <c r="A7" s="12">
        <f t="shared" ref="A7:A29" si="1">A6+1</f>
        <v>3</v>
      </c>
      <c r="B7" s="84"/>
      <c r="C7" s="24">
        <v>46046</v>
      </c>
      <c r="D7" s="2">
        <v>663</v>
      </c>
      <c r="E7" s="3">
        <v>8.4700000000000006</v>
      </c>
      <c r="F7" s="4">
        <f t="shared" si="0"/>
        <v>5615.6100000000006</v>
      </c>
      <c r="G7" s="5">
        <v>5615</v>
      </c>
      <c r="H7" s="12"/>
    </row>
    <row r="8" spans="1:11" ht="25" customHeight="1">
      <c r="A8" s="12">
        <f t="shared" si="1"/>
        <v>4</v>
      </c>
      <c r="B8" s="84"/>
      <c r="C8" s="24">
        <v>46047</v>
      </c>
      <c r="D8" s="2">
        <v>405</v>
      </c>
      <c r="E8" s="3">
        <v>8.4700000000000006</v>
      </c>
      <c r="F8" s="4">
        <f t="shared" si="0"/>
        <v>3430.3500000000004</v>
      </c>
      <c r="G8" s="5">
        <v>3430</v>
      </c>
      <c r="H8" s="12"/>
    </row>
    <row r="9" spans="1:11" ht="25" customHeight="1">
      <c r="A9" s="12">
        <f t="shared" si="1"/>
        <v>5</v>
      </c>
      <c r="B9" s="84"/>
      <c r="C9" s="24">
        <v>46048</v>
      </c>
      <c r="D9" s="2">
        <v>750</v>
      </c>
      <c r="E9" s="3">
        <v>8.4700000000000006</v>
      </c>
      <c r="F9" s="4">
        <f t="shared" si="0"/>
        <v>6352.5000000000009</v>
      </c>
      <c r="G9" s="5">
        <v>6352</v>
      </c>
      <c r="H9" s="12"/>
    </row>
    <row r="10" spans="1:11" ht="25" customHeight="1">
      <c r="A10" s="12">
        <f t="shared" si="1"/>
        <v>6</v>
      </c>
      <c r="B10" s="84"/>
      <c r="C10" s="24">
        <v>46049</v>
      </c>
      <c r="D10" s="2">
        <v>787</v>
      </c>
      <c r="E10" s="3">
        <v>8.4700000000000006</v>
      </c>
      <c r="F10" s="4">
        <f t="shared" si="0"/>
        <v>6665.89</v>
      </c>
      <c r="G10" s="5">
        <v>6665</v>
      </c>
      <c r="H10" s="12"/>
    </row>
    <row r="11" spans="1:11" ht="25" customHeight="1">
      <c r="A11" s="12">
        <f t="shared" si="1"/>
        <v>7</v>
      </c>
      <c r="B11" s="84"/>
      <c r="C11" s="24">
        <v>46050</v>
      </c>
      <c r="D11" s="2">
        <v>718</v>
      </c>
      <c r="E11" s="3">
        <v>8.4700000000000006</v>
      </c>
      <c r="F11" s="4">
        <f t="shared" si="0"/>
        <v>6081.46</v>
      </c>
      <c r="G11" s="5">
        <v>6081</v>
      </c>
      <c r="H11" s="12"/>
    </row>
    <row r="12" spans="1:11" ht="25" customHeight="1">
      <c r="A12" s="12">
        <f t="shared" si="1"/>
        <v>8</v>
      </c>
      <c r="B12" s="85"/>
      <c r="C12" s="98">
        <v>46051</v>
      </c>
      <c r="D12" s="2">
        <v>484</v>
      </c>
      <c r="E12" s="3">
        <v>8.4700000000000006</v>
      </c>
      <c r="F12" s="4">
        <f t="shared" si="0"/>
        <v>4099.4800000000005</v>
      </c>
      <c r="G12" s="10">
        <v>4099.4799999999996</v>
      </c>
      <c r="H12" s="12"/>
      <c r="J12" s="45"/>
      <c r="K12" s="45"/>
    </row>
    <row r="13" spans="1:11" ht="25" customHeight="1">
      <c r="A13" s="12"/>
      <c r="B13" s="86" t="s">
        <v>25</v>
      </c>
      <c r="C13" s="99"/>
      <c r="D13" s="2">
        <f>672-D12</f>
        <v>188</v>
      </c>
      <c r="E13" s="12">
        <v>7.65</v>
      </c>
      <c r="F13" s="4">
        <f t="shared" si="0"/>
        <v>1438.2</v>
      </c>
      <c r="G13" s="10">
        <v>1437.52</v>
      </c>
      <c r="H13" s="12"/>
    </row>
    <row r="14" spans="1:11" ht="25" customHeight="1">
      <c r="A14" s="12">
        <f>A12+1</f>
        <v>9</v>
      </c>
      <c r="B14" s="87"/>
      <c r="C14" s="25" t="s">
        <v>9</v>
      </c>
      <c r="D14" s="2">
        <v>610</v>
      </c>
      <c r="E14" s="12">
        <v>7.65</v>
      </c>
      <c r="F14" s="4">
        <f t="shared" si="0"/>
        <v>4666.5</v>
      </c>
      <c r="G14" s="5">
        <v>4666.47</v>
      </c>
      <c r="H14" s="12"/>
    </row>
    <row r="15" spans="1:11" ht="25" customHeight="1">
      <c r="A15" s="12">
        <f t="shared" si="1"/>
        <v>10</v>
      </c>
      <c r="B15" s="87"/>
      <c r="C15" s="24">
        <v>46053</v>
      </c>
      <c r="D15" s="2">
        <v>621</v>
      </c>
      <c r="E15" s="12">
        <v>7.65</v>
      </c>
      <c r="F15" s="4">
        <f t="shared" si="0"/>
        <v>4750.6500000000005</v>
      </c>
      <c r="G15" s="5">
        <v>4750</v>
      </c>
      <c r="H15" s="12"/>
    </row>
    <row r="16" spans="1:11" ht="25" customHeight="1">
      <c r="A16" s="12">
        <f t="shared" si="1"/>
        <v>11</v>
      </c>
      <c r="B16" s="88"/>
      <c r="C16" s="24">
        <v>46054</v>
      </c>
      <c r="D16" s="2">
        <v>95</v>
      </c>
      <c r="E16" s="12">
        <v>7.65</v>
      </c>
      <c r="F16" s="4">
        <f t="shared" si="0"/>
        <v>726.75</v>
      </c>
      <c r="G16" s="5">
        <v>726</v>
      </c>
      <c r="H16" s="12"/>
    </row>
    <row r="17" spans="1:8" ht="25" customHeight="1">
      <c r="A17" s="12">
        <f t="shared" si="1"/>
        <v>12</v>
      </c>
      <c r="B17" s="26"/>
      <c r="C17" s="24">
        <v>46055</v>
      </c>
      <c r="D17" s="104" t="s">
        <v>31</v>
      </c>
      <c r="E17" s="105"/>
      <c r="F17" s="105"/>
      <c r="G17" s="106"/>
      <c r="H17" s="12"/>
    </row>
    <row r="18" spans="1:8" ht="25" customHeight="1">
      <c r="A18" s="12">
        <f t="shared" si="1"/>
        <v>13</v>
      </c>
      <c r="B18" s="26"/>
      <c r="C18" s="24">
        <v>46056</v>
      </c>
      <c r="D18" s="107"/>
      <c r="E18" s="108"/>
      <c r="F18" s="108"/>
      <c r="G18" s="109"/>
      <c r="H18" s="12"/>
    </row>
    <row r="19" spans="1:8" ht="25" customHeight="1">
      <c r="A19" s="12">
        <f t="shared" si="1"/>
        <v>14</v>
      </c>
      <c r="B19" s="26"/>
      <c r="C19" s="24">
        <v>46057</v>
      </c>
      <c r="D19" s="110"/>
      <c r="E19" s="111"/>
      <c r="F19" s="111"/>
      <c r="G19" s="112"/>
      <c r="H19" s="12"/>
    </row>
    <row r="20" spans="1:8" ht="31" customHeight="1">
      <c r="A20" s="12">
        <f t="shared" si="1"/>
        <v>15</v>
      </c>
      <c r="B20" s="86" t="s">
        <v>28</v>
      </c>
      <c r="C20" s="24">
        <v>46058</v>
      </c>
      <c r="D20" s="2">
        <v>185</v>
      </c>
      <c r="E20" s="12">
        <v>7.52</v>
      </c>
      <c r="F20" s="4">
        <f t="shared" si="0"/>
        <v>1391.1999999999998</v>
      </c>
      <c r="G20" s="5">
        <v>1396</v>
      </c>
      <c r="H20" s="7"/>
    </row>
    <row r="21" spans="1:8" ht="18" customHeight="1">
      <c r="A21" s="12">
        <f t="shared" si="1"/>
        <v>16</v>
      </c>
      <c r="B21" s="87"/>
      <c r="C21" s="24">
        <v>46059</v>
      </c>
      <c r="D21" s="2">
        <v>707</v>
      </c>
      <c r="E21" s="12">
        <v>7.52</v>
      </c>
      <c r="F21" s="4">
        <f t="shared" si="0"/>
        <v>5316.6399999999994</v>
      </c>
      <c r="G21" s="5">
        <v>5316</v>
      </c>
      <c r="H21" s="7"/>
    </row>
    <row r="22" spans="1:8" ht="18" customHeight="1">
      <c r="A22" s="12">
        <f t="shared" si="1"/>
        <v>17</v>
      </c>
      <c r="B22" s="88"/>
      <c r="C22" s="24">
        <v>46060</v>
      </c>
      <c r="D22" s="2">
        <v>660</v>
      </c>
      <c r="E22" s="12">
        <v>7.52</v>
      </c>
      <c r="F22" s="4">
        <f t="shared" si="0"/>
        <v>4963.2</v>
      </c>
      <c r="G22" s="5">
        <f t="shared" ref="G22" si="2">D22*E22</f>
        <v>4963.2</v>
      </c>
      <c r="H22" s="7"/>
    </row>
    <row r="23" spans="1:8" ht="18" customHeight="1">
      <c r="A23" s="12">
        <f t="shared" si="1"/>
        <v>18</v>
      </c>
      <c r="B23" s="11"/>
      <c r="C23" s="24" t="s">
        <v>32</v>
      </c>
      <c r="D23" s="91" t="s">
        <v>33</v>
      </c>
      <c r="E23" s="92"/>
      <c r="F23" s="92"/>
      <c r="G23" s="34"/>
      <c r="H23" s="7"/>
    </row>
    <row r="24" spans="1:8" ht="18" customHeight="1">
      <c r="A24" s="12">
        <f t="shared" si="1"/>
        <v>19</v>
      </c>
      <c r="B24" s="86" t="s">
        <v>29</v>
      </c>
      <c r="C24" s="24">
        <v>46078</v>
      </c>
      <c r="D24" s="2">
        <v>365</v>
      </c>
      <c r="E24" s="12">
        <v>7.52</v>
      </c>
      <c r="F24" s="4">
        <f t="shared" si="0"/>
        <v>2744.7999999999997</v>
      </c>
      <c r="G24" s="5">
        <v>2744</v>
      </c>
      <c r="H24" s="7"/>
    </row>
    <row r="25" spans="1:8" ht="18" customHeight="1">
      <c r="A25" s="12">
        <f t="shared" si="1"/>
        <v>20</v>
      </c>
      <c r="B25" s="87"/>
      <c r="C25" s="24">
        <v>46079</v>
      </c>
      <c r="D25" s="2">
        <v>610</v>
      </c>
      <c r="E25" s="12">
        <v>7.52</v>
      </c>
      <c r="F25" s="4">
        <f t="shared" si="0"/>
        <v>4587.2</v>
      </c>
      <c r="G25" s="5">
        <v>4587</v>
      </c>
      <c r="H25" s="7"/>
    </row>
    <row r="26" spans="1:8" ht="18" customHeight="1">
      <c r="A26" s="12">
        <f t="shared" si="1"/>
        <v>21</v>
      </c>
      <c r="B26" s="87"/>
      <c r="C26" s="24">
        <v>46080</v>
      </c>
      <c r="D26" s="2">
        <v>395</v>
      </c>
      <c r="E26" s="12">
        <v>7.52</v>
      </c>
      <c r="F26" s="4">
        <f t="shared" si="0"/>
        <v>2970.3999999999996</v>
      </c>
      <c r="G26" s="5">
        <v>2970</v>
      </c>
      <c r="H26" s="7"/>
    </row>
    <row r="27" spans="1:8" ht="18" customHeight="1">
      <c r="A27" s="12">
        <f t="shared" si="1"/>
        <v>22</v>
      </c>
      <c r="B27" s="87"/>
      <c r="C27" s="24">
        <v>46081</v>
      </c>
      <c r="D27" s="2">
        <v>460</v>
      </c>
      <c r="E27" s="12">
        <v>7.52</v>
      </c>
      <c r="F27" s="4">
        <f t="shared" si="0"/>
        <v>3459.2</v>
      </c>
      <c r="G27" s="5">
        <v>3459.2</v>
      </c>
      <c r="H27" s="7"/>
    </row>
    <row r="28" spans="1:8" ht="18" customHeight="1">
      <c r="A28" s="12">
        <f t="shared" si="1"/>
        <v>23</v>
      </c>
      <c r="B28" s="87"/>
      <c r="C28" s="24">
        <v>46082</v>
      </c>
      <c r="D28" s="8">
        <v>902</v>
      </c>
      <c r="E28" s="12">
        <v>7.52</v>
      </c>
      <c r="F28" s="4">
        <f t="shared" si="0"/>
        <v>6783.04</v>
      </c>
      <c r="G28" s="5">
        <v>6783</v>
      </c>
      <c r="H28" s="7"/>
    </row>
    <row r="29" spans="1:8" ht="18" customHeight="1">
      <c r="A29" s="12">
        <f t="shared" si="1"/>
        <v>24</v>
      </c>
      <c r="B29" s="88"/>
      <c r="C29" s="24">
        <v>46083</v>
      </c>
      <c r="D29" s="8">
        <v>713</v>
      </c>
      <c r="E29" s="12">
        <v>7.52</v>
      </c>
      <c r="F29" s="4">
        <f t="shared" si="0"/>
        <v>5361.7599999999993</v>
      </c>
      <c r="G29" s="5">
        <v>5361</v>
      </c>
      <c r="H29" s="7"/>
    </row>
    <row r="30" spans="1:8">
      <c r="A30" s="68" t="s">
        <v>54</v>
      </c>
      <c r="B30" s="68"/>
      <c r="C30" s="68"/>
      <c r="D30" s="68"/>
      <c r="E30" s="68"/>
      <c r="F30" s="27">
        <f>SUBTOTAL(9,F5:F29)</f>
        <v>88748.319999999978</v>
      </c>
      <c r="G30" s="28">
        <f>SUBTOTAL(9,G5:G29)</f>
        <v>88744.869999999981</v>
      </c>
      <c r="H30" s="21"/>
    </row>
    <row r="31" spans="1:8" ht="32" customHeight="1">
      <c r="A31" s="94" t="s">
        <v>53</v>
      </c>
      <c r="B31" s="95"/>
      <c r="C31" s="95"/>
      <c r="D31" s="95"/>
      <c r="E31" s="95"/>
      <c r="F31" s="95"/>
      <c r="G31" s="95"/>
      <c r="H31" s="96"/>
    </row>
    <row r="32" spans="1:8" ht="32" customHeight="1">
      <c r="A32" s="12">
        <v>1</v>
      </c>
      <c r="B32" s="62" t="s">
        <v>34</v>
      </c>
      <c r="C32" s="24">
        <v>46053</v>
      </c>
      <c r="D32" s="2">
        <v>301</v>
      </c>
      <c r="E32" s="12">
        <v>7.9</v>
      </c>
      <c r="F32" s="4">
        <f t="shared" ref="F32:F49" si="3">D32*E32</f>
        <v>2377.9</v>
      </c>
      <c r="G32" s="5">
        <v>2379.5</v>
      </c>
      <c r="H32" s="14"/>
    </row>
    <row r="33" spans="1:8" ht="32" customHeight="1">
      <c r="A33" s="12">
        <f t="shared" ref="A33:A68" si="4">A32+1</f>
        <v>2</v>
      </c>
      <c r="B33" s="62"/>
      <c r="C33" s="24">
        <v>46054</v>
      </c>
      <c r="D33" s="2">
        <v>539</v>
      </c>
      <c r="E33" s="12">
        <v>7.9</v>
      </c>
      <c r="F33" s="4">
        <f t="shared" si="3"/>
        <v>4258.1000000000004</v>
      </c>
      <c r="G33" s="5">
        <v>4676</v>
      </c>
      <c r="H33" s="14"/>
    </row>
    <row r="34" spans="1:8" ht="32" customHeight="1">
      <c r="A34" s="12">
        <f t="shared" si="4"/>
        <v>3</v>
      </c>
      <c r="B34" s="62" t="s">
        <v>35</v>
      </c>
      <c r="C34" s="24">
        <v>46055</v>
      </c>
      <c r="D34" s="2">
        <v>662</v>
      </c>
      <c r="E34" s="12">
        <v>9.09</v>
      </c>
      <c r="F34" s="4">
        <f t="shared" si="3"/>
        <v>6017.58</v>
      </c>
      <c r="G34" s="5">
        <v>6017</v>
      </c>
      <c r="H34" s="14"/>
    </row>
    <row r="35" spans="1:8" ht="32" customHeight="1">
      <c r="A35" s="12">
        <f t="shared" si="4"/>
        <v>4</v>
      </c>
      <c r="B35" s="62"/>
      <c r="C35" s="24">
        <v>46056</v>
      </c>
      <c r="D35" s="2">
        <v>338</v>
      </c>
      <c r="E35" s="12">
        <v>9.09</v>
      </c>
      <c r="F35" s="4">
        <f t="shared" si="3"/>
        <v>3072.42</v>
      </c>
      <c r="G35" s="5">
        <v>3072</v>
      </c>
      <c r="H35" s="14"/>
    </row>
    <row r="36" spans="1:8" ht="32" customHeight="1">
      <c r="A36" s="12">
        <f t="shared" si="4"/>
        <v>5</v>
      </c>
      <c r="B36" s="62"/>
      <c r="C36" s="65">
        <v>46057</v>
      </c>
      <c r="D36" s="2">
        <v>201</v>
      </c>
      <c r="E36" s="12">
        <v>9.09</v>
      </c>
      <c r="F36" s="4">
        <f t="shared" si="3"/>
        <v>1827.09</v>
      </c>
      <c r="G36" s="5">
        <v>3255.91</v>
      </c>
      <c r="H36" s="14"/>
    </row>
    <row r="37" spans="1:8" ht="32" customHeight="1">
      <c r="A37" s="12">
        <f t="shared" si="4"/>
        <v>6</v>
      </c>
      <c r="B37" s="62" t="s">
        <v>36</v>
      </c>
      <c r="C37" s="65"/>
      <c r="D37" s="2">
        <v>280</v>
      </c>
      <c r="E37" s="12">
        <v>11.63</v>
      </c>
      <c r="F37" s="4">
        <f t="shared" si="3"/>
        <v>3256.4</v>
      </c>
      <c r="G37" s="5">
        <v>1827.1</v>
      </c>
      <c r="H37" s="14"/>
    </row>
    <row r="38" spans="1:8" ht="32" customHeight="1">
      <c r="A38" s="12">
        <f t="shared" si="4"/>
        <v>7</v>
      </c>
      <c r="B38" s="62"/>
      <c r="C38" s="24">
        <v>46058</v>
      </c>
      <c r="D38" s="2">
        <v>454</v>
      </c>
      <c r="E38" s="12">
        <v>11.63</v>
      </c>
      <c r="F38" s="4">
        <f t="shared" si="3"/>
        <v>5280.02</v>
      </c>
      <c r="G38" s="5">
        <v>5280</v>
      </c>
      <c r="H38" s="14"/>
    </row>
    <row r="39" spans="1:8" ht="32" customHeight="1">
      <c r="A39" s="12">
        <f t="shared" si="4"/>
        <v>8</v>
      </c>
      <c r="B39" s="62"/>
      <c r="C39" s="65">
        <v>46059</v>
      </c>
      <c r="D39" s="2">
        <v>408</v>
      </c>
      <c r="E39" s="12">
        <v>11.63</v>
      </c>
      <c r="F39" s="4">
        <f t="shared" si="3"/>
        <v>4745.04</v>
      </c>
      <c r="G39" s="5">
        <v>1135.9000000000001</v>
      </c>
      <c r="H39" s="14"/>
    </row>
    <row r="40" spans="1:8" ht="32" customHeight="1">
      <c r="A40" s="12">
        <f t="shared" si="4"/>
        <v>9</v>
      </c>
      <c r="B40" s="62" t="s">
        <v>37</v>
      </c>
      <c r="C40" s="65"/>
      <c r="D40" s="2">
        <v>76</v>
      </c>
      <c r="E40" s="12">
        <v>14.96</v>
      </c>
      <c r="F40" s="4">
        <f t="shared" si="3"/>
        <v>1136.96</v>
      </c>
      <c r="G40" s="5">
        <v>4744.1000000000004</v>
      </c>
      <c r="H40" s="14"/>
    </row>
    <row r="41" spans="1:8" ht="32" customHeight="1">
      <c r="A41" s="12">
        <f t="shared" si="4"/>
        <v>10</v>
      </c>
      <c r="B41" s="62"/>
      <c r="C41" s="24">
        <v>46060</v>
      </c>
      <c r="D41" s="2">
        <v>384</v>
      </c>
      <c r="E41" s="12">
        <v>14.96</v>
      </c>
      <c r="F41" s="4">
        <f t="shared" si="3"/>
        <v>5744.64</v>
      </c>
      <c r="G41" s="5">
        <v>5744</v>
      </c>
      <c r="H41" s="14"/>
    </row>
    <row r="42" spans="1:8" ht="32" customHeight="1">
      <c r="A42" s="12">
        <f t="shared" si="4"/>
        <v>11</v>
      </c>
      <c r="B42" s="62"/>
      <c r="C42" s="24" t="s">
        <v>32</v>
      </c>
      <c r="D42" s="93" t="s">
        <v>33</v>
      </c>
      <c r="E42" s="93"/>
      <c r="F42" s="93"/>
      <c r="G42" s="5"/>
      <c r="H42" s="14"/>
    </row>
    <row r="43" spans="1:8" ht="32" customHeight="1">
      <c r="A43" s="12">
        <f t="shared" si="4"/>
        <v>12</v>
      </c>
      <c r="B43" s="62"/>
      <c r="C43" s="24">
        <v>46079</v>
      </c>
      <c r="D43" s="2">
        <v>14</v>
      </c>
      <c r="E43" s="12">
        <v>14.96</v>
      </c>
      <c r="F43" s="4">
        <f t="shared" si="3"/>
        <v>209.44</v>
      </c>
      <c r="G43" s="5">
        <v>209</v>
      </c>
      <c r="H43" s="14"/>
    </row>
    <row r="44" spans="1:8" ht="32" customHeight="1">
      <c r="A44" s="12">
        <f t="shared" si="4"/>
        <v>13</v>
      </c>
      <c r="B44" s="62"/>
      <c r="C44" s="24">
        <v>46080</v>
      </c>
      <c r="D44" s="97" t="s">
        <v>38</v>
      </c>
      <c r="E44" s="97"/>
      <c r="F44" s="97"/>
      <c r="G44" s="5"/>
      <c r="H44" s="14"/>
    </row>
    <row r="45" spans="1:8" ht="32" customHeight="1">
      <c r="A45" s="12">
        <f t="shared" si="4"/>
        <v>14</v>
      </c>
      <c r="B45" s="62"/>
      <c r="C45" s="24">
        <v>46081</v>
      </c>
      <c r="D45" s="2">
        <v>340</v>
      </c>
      <c r="E45" s="12">
        <v>14.96</v>
      </c>
      <c r="F45" s="4">
        <f t="shared" si="3"/>
        <v>5086.4000000000005</v>
      </c>
      <c r="G45" s="5">
        <v>5086</v>
      </c>
      <c r="H45" s="14"/>
    </row>
    <row r="46" spans="1:8" ht="32" customHeight="1">
      <c r="A46" s="12">
        <f t="shared" si="4"/>
        <v>15</v>
      </c>
      <c r="B46" s="62"/>
      <c r="C46" s="24">
        <v>46082</v>
      </c>
      <c r="D46" s="8">
        <v>336</v>
      </c>
      <c r="E46" s="12">
        <v>14.96</v>
      </c>
      <c r="F46" s="4">
        <f t="shared" si="3"/>
        <v>5026.5600000000004</v>
      </c>
      <c r="G46" s="5">
        <v>5026</v>
      </c>
      <c r="H46" s="14"/>
    </row>
    <row r="47" spans="1:8" ht="32" customHeight="1">
      <c r="A47" s="12">
        <f t="shared" si="4"/>
        <v>16</v>
      </c>
      <c r="B47" s="62" t="s">
        <v>39</v>
      </c>
      <c r="C47" s="24">
        <v>46083</v>
      </c>
      <c r="D47" s="8">
        <v>465</v>
      </c>
      <c r="E47" s="12">
        <v>13.3</v>
      </c>
      <c r="F47" s="4">
        <f>D47*E47</f>
        <v>6184.5</v>
      </c>
      <c r="G47" s="5">
        <v>6198</v>
      </c>
      <c r="H47" s="14"/>
    </row>
    <row r="48" spans="1:8" ht="32" customHeight="1">
      <c r="A48" s="12">
        <f t="shared" si="4"/>
        <v>17</v>
      </c>
      <c r="B48" s="62"/>
      <c r="C48" s="24">
        <v>46084</v>
      </c>
      <c r="D48" s="8">
        <v>376</v>
      </c>
      <c r="E48" s="12">
        <v>13.3</v>
      </c>
      <c r="F48" s="4">
        <f t="shared" si="3"/>
        <v>5000.8</v>
      </c>
      <c r="G48" s="5">
        <v>5012</v>
      </c>
      <c r="H48" s="14"/>
    </row>
    <row r="49" spans="1:12" ht="32" customHeight="1">
      <c r="A49" s="12">
        <f t="shared" si="4"/>
        <v>18</v>
      </c>
      <c r="B49" s="62"/>
      <c r="C49" s="65">
        <v>46085</v>
      </c>
      <c r="D49" s="8">
        <v>139</v>
      </c>
      <c r="E49" s="12">
        <v>13.3</v>
      </c>
      <c r="F49" s="4">
        <f t="shared" si="3"/>
        <v>1848.7</v>
      </c>
      <c r="G49" s="5">
        <v>1848.7</v>
      </c>
      <c r="H49" s="14"/>
    </row>
    <row r="50" spans="1:12" ht="32" customHeight="1">
      <c r="A50" s="12">
        <f t="shared" si="4"/>
        <v>19</v>
      </c>
      <c r="B50" s="62" t="s">
        <v>40</v>
      </c>
      <c r="C50" s="65"/>
      <c r="D50" s="8">
        <f>292-D49</f>
        <v>153</v>
      </c>
      <c r="E50" s="9">
        <v>7.59</v>
      </c>
      <c r="F50" s="4">
        <f>D50*E50</f>
        <v>1161.27</v>
      </c>
      <c r="G50" s="5">
        <v>1165.3</v>
      </c>
      <c r="H50" s="14"/>
    </row>
    <row r="51" spans="1:12" ht="32" customHeight="1">
      <c r="A51" s="12">
        <f t="shared" si="4"/>
        <v>20</v>
      </c>
      <c r="B51" s="62"/>
      <c r="C51" s="24">
        <v>46086</v>
      </c>
      <c r="D51" s="8">
        <v>529</v>
      </c>
      <c r="E51" s="9">
        <v>7.59</v>
      </c>
      <c r="F51" s="4">
        <f>D51*E51</f>
        <v>4015.11</v>
      </c>
      <c r="G51" s="5">
        <v>4015</v>
      </c>
      <c r="H51" s="14"/>
    </row>
    <row r="52" spans="1:12" ht="32" customHeight="1">
      <c r="A52" s="12">
        <f t="shared" si="4"/>
        <v>21</v>
      </c>
      <c r="B52" s="62"/>
      <c r="C52" s="24">
        <v>46087</v>
      </c>
      <c r="D52" s="103" t="s">
        <v>38</v>
      </c>
      <c r="E52" s="103"/>
      <c r="F52" s="103"/>
      <c r="G52" s="5"/>
      <c r="H52" s="14"/>
    </row>
    <row r="53" spans="1:12" ht="32" customHeight="1">
      <c r="A53" s="12">
        <f t="shared" si="4"/>
        <v>22</v>
      </c>
      <c r="B53" s="62"/>
      <c r="C53" s="65">
        <v>46088</v>
      </c>
      <c r="D53" s="30">
        <v>270</v>
      </c>
      <c r="E53" s="9">
        <v>7.59</v>
      </c>
      <c r="F53" s="4">
        <f>D53*E53</f>
        <v>2049.3000000000002</v>
      </c>
      <c r="G53" s="5">
        <v>2049.3000000000002</v>
      </c>
      <c r="H53" s="14"/>
    </row>
    <row r="54" spans="1:12" ht="32" customHeight="1">
      <c r="A54" s="12">
        <f t="shared" si="4"/>
        <v>23</v>
      </c>
      <c r="B54" s="63" t="s">
        <v>67</v>
      </c>
      <c r="C54" s="65"/>
      <c r="D54" s="8">
        <f>830-D53</f>
        <v>560</v>
      </c>
      <c r="E54" s="9">
        <v>7.11</v>
      </c>
      <c r="F54" s="4">
        <f>D54*E54</f>
        <v>3981.6000000000004</v>
      </c>
      <c r="G54" s="5">
        <v>3972.7</v>
      </c>
      <c r="H54" s="14"/>
    </row>
    <row r="55" spans="1:12" ht="32" customHeight="1">
      <c r="A55" s="12">
        <f t="shared" si="4"/>
        <v>24</v>
      </c>
      <c r="B55" s="64"/>
      <c r="C55" s="24">
        <v>46089</v>
      </c>
      <c r="D55" s="8">
        <v>406</v>
      </c>
      <c r="E55" s="9">
        <v>7.11</v>
      </c>
      <c r="F55" s="4">
        <f>D55*E55</f>
        <v>2886.6600000000003</v>
      </c>
      <c r="G55" s="5">
        <v>2886</v>
      </c>
      <c r="H55" s="14"/>
    </row>
    <row r="56" spans="1:12" ht="32" customHeight="1">
      <c r="A56" s="12">
        <f t="shared" si="4"/>
        <v>25</v>
      </c>
      <c r="B56" s="14"/>
      <c r="C56" s="24">
        <v>46090</v>
      </c>
      <c r="D56" s="103" t="s">
        <v>38</v>
      </c>
      <c r="E56" s="103"/>
      <c r="F56" s="103"/>
      <c r="G56" s="5"/>
      <c r="H56" s="14"/>
    </row>
    <row r="57" spans="1:12" ht="32" customHeight="1">
      <c r="A57" s="12">
        <f t="shared" si="4"/>
        <v>26</v>
      </c>
      <c r="B57" s="14"/>
      <c r="C57" s="24">
        <v>46091</v>
      </c>
      <c r="D57" s="103"/>
      <c r="E57" s="103"/>
      <c r="F57" s="103"/>
      <c r="G57" s="5"/>
      <c r="H57" s="14"/>
    </row>
    <row r="58" spans="1:12" ht="32" customHeight="1">
      <c r="A58" s="12">
        <f t="shared" si="4"/>
        <v>27</v>
      </c>
      <c r="B58" s="14"/>
      <c r="C58" s="24">
        <v>46092</v>
      </c>
      <c r="D58" s="103"/>
      <c r="E58" s="103"/>
      <c r="F58" s="103"/>
      <c r="G58" s="5"/>
      <c r="H58" s="14"/>
    </row>
    <row r="59" spans="1:12" ht="32" customHeight="1">
      <c r="A59" s="12">
        <f t="shared" si="4"/>
        <v>28</v>
      </c>
      <c r="B59" s="63" t="s">
        <v>40</v>
      </c>
      <c r="C59" s="24">
        <v>46093</v>
      </c>
      <c r="D59" s="8">
        <v>480</v>
      </c>
      <c r="E59" s="9">
        <v>7.59</v>
      </c>
      <c r="F59" s="4">
        <f>D59*E59</f>
        <v>3643.2</v>
      </c>
      <c r="G59" s="5">
        <v>3658.4</v>
      </c>
      <c r="H59" s="14"/>
    </row>
    <row r="60" spans="1:12" ht="32" customHeight="1">
      <c r="A60" s="12">
        <f t="shared" si="4"/>
        <v>29</v>
      </c>
      <c r="B60" s="72"/>
      <c r="C60" s="24">
        <v>46094</v>
      </c>
      <c r="D60" s="31">
        <v>610</v>
      </c>
      <c r="E60" s="9">
        <v>7.59</v>
      </c>
      <c r="F60" s="4">
        <f>D60*E60</f>
        <v>4629.8999999999996</v>
      </c>
      <c r="G60" s="5">
        <v>4629.91</v>
      </c>
      <c r="H60" s="14"/>
    </row>
    <row r="61" spans="1:12" ht="32" customHeight="1">
      <c r="A61" s="12">
        <f t="shared" si="4"/>
        <v>30</v>
      </c>
      <c r="B61" s="64"/>
      <c r="C61" s="70">
        <v>46095</v>
      </c>
      <c r="D61" s="31">
        <v>76</v>
      </c>
      <c r="E61" s="9">
        <v>7.59</v>
      </c>
      <c r="F61" s="4">
        <f>D61*E61</f>
        <v>576.84</v>
      </c>
      <c r="G61" s="5">
        <v>576.84</v>
      </c>
      <c r="H61" s="49"/>
      <c r="J61" s="1">
        <v>102</v>
      </c>
      <c r="L61" s="5">
        <v>761.7</v>
      </c>
    </row>
    <row r="62" spans="1:12" ht="32" customHeight="1">
      <c r="A62" s="12">
        <f t="shared" si="4"/>
        <v>31</v>
      </c>
      <c r="B62" s="63" t="s">
        <v>68</v>
      </c>
      <c r="C62" s="71"/>
      <c r="D62" s="31">
        <f>J61-D61</f>
        <v>26</v>
      </c>
      <c r="E62" s="9">
        <v>7.11</v>
      </c>
      <c r="F62" s="4">
        <f>D62*E62</f>
        <v>184.86</v>
      </c>
      <c r="G62" s="5">
        <f>L61-F61</f>
        <v>184.86</v>
      </c>
      <c r="H62" s="49"/>
    </row>
    <row r="63" spans="1:12" ht="32" customHeight="1">
      <c r="A63" s="12">
        <f t="shared" si="4"/>
        <v>32</v>
      </c>
      <c r="B63" s="72"/>
      <c r="C63" s="24">
        <v>46096</v>
      </c>
      <c r="D63" s="73" t="s">
        <v>38</v>
      </c>
      <c r="E63" s="74"/>
      <c r="F63" s="4"/>
      <c r="G63" s="5"/>
      <c r="H63" s="49"/>
    </row>
    <row r="64" spans="1:12" ht="32" customHeight="1">
      <c r="A64" s="12">
        <f t="shared" si="4"/>
        <v>33</v>
      </c>
      <c r="B64" s="72"/>
      <c r="C64" s="24">
        <v>46097</v>
      </c>
      <c r="D64" s="31">
        <v>316</v>
      </c>
      <c r="E64" s="9">
        <v>7.11</v>
      </c>
      <c r="F64" s="4">
        <f>D64*E64</f>
        <v>2246.7600000000002</v>
      </c>
      <c r="G64" s="5">
        <v>2247</v>
      </c>
      <c r="H64" s="49"/>
    </row>
    <row r="65" spans="1:8" ht="32" customHeight="1">
      <c r="A65" s="12">
        <f t="shared" si="4"/>
        <v>34</v>
      </c>
      <c r="B65" s="64"/>
      <c r="C65" s="24">
        <v>46098</v>
      </c>
      <c r="D65" s="31">
        <v>275</v>
      </c>
      <c r="E65" s="9">
        <v>7.11</v>
      </c>
      <c r="F65" s="4">
        <f>D65*E65</f>
        <v>1955.25</v>
      </c>
      <c r="G65" s="5">
        <v>1955</v>
      </c>
      <c r="H65" s="43"/>
    </row>
    <row r="66" spans="1:8" ht="32" customHeight="1">
      <c r="A66" s="12">
        <f t="shared" si="4"/>
        <v>35</v>
      </c>
      <c r="B66" s="63" t="s">
        <v>69</v>
      </c>
      <c r="C66" s="24">
        <v>46099</v>
      </c>
      <c r="D66" s="31">
        <v>545</v>
      </c>
      <c r="E66" s="9">
        <v>11.14</v>
      </c>
      <c r="F66" s="4">
        <f>D66*E66</f>
        <v>6071.3</v>
      </c>
      <c r="G66" s="5">
        <v>6071.31</v>
      </c>
      <c r="H66" s="43"/>
    </row>
    <row r="67" spans="1:8" ht="32" customHeight="1">
      <c r="A67" s="12">
        <f t="shared" si="4"/>
        <v>36</v>
      </c>
      <c r="B67" s="72"/>
      <c r="C67" s="24">
        <v>46100</v>
      </c>
      <c r="D67" s="31">
        <v>735</v>
      </c>
      <c r="E67" s="9">
        <v>11.14</v>
      </c>
      <c r="F67" s="4">
        <f>D67*E67</f>
        <v>8187.9000000000005</v>
      </c>
      <c r="G67" s="5">
        <v>8817.93</v>
      </c>
      <c r="H67" s="43"/>
    </row>
    <row r="68" spans="1:8" ht="32" customHeight="1">
      <c r="A68" s="12">
        <f t="shared" si="4"/>
        <v>37</v>
      </c>
      <c r="B68" s="72"/>
      <c r="C68" s="24">
        <v>46101</v>
      </c>
      <c r="D68" s="31">
        <v>91</v>
      </c>
      <c r="E68" s="9">
        <v>11.14</v>
      </c>
      <c r="F68" s="4">
        <f>D68*E68</f>
        <v>1013.74</v>
      </c>
      <c r="G68" s="5">
        <v>1013.74</v>
      </c>
      <c r="H68" s="43"/>
    </row>
    <row r="69" spans="1:8" ht="32" customHeight="1">
      <c r="A69" s="12"/>
      <c r="B69" s="64"/>
      <c r="C69" s="24">
        <v>46102</v>
      </c>
      <c r="D69" s="31">
        <v>460</v>
      </c>
      <c r="E69" s="9">
        <v>11.14</v>
      </c>
      <c r="F69" s="4">
        <f>D69*E69</f>
        <v>5124.4000000000005</v>
      </c>
      <c r="G69" s="5">
        <v>5124.3999999999996</v>
      </c>
      <c r="H69" s="42"/>
    </row>
    <row r="70" spans="1:8">
      <c r="A70" s="68" t="s">
        <v>54</v>
      </c>
      <c r="B70" s="68"/>
      <c r="C70" s="68"/>
      <c r="D70" s="68"/>
      <c r="E70" s="68"/>
      <c r="F70" s="27">
        <f>SUBTOTAL(9,F32:F69)</f>
        <v>108800.63999999998</v>
      </c>
      <c r="G70" s="41">
        <f>SUBTOTAL(9,G32:G69)</f>
        <v>109878.90000000001</v>
      </c>
      <c r="H70" s="21"/>
    </row>
    <row r="71" spans="1:8" ht="18" customHeight="1">
      <c r="A71" s="75" t="s">
        <v>52</v>
      </c>
      <c r="B71" s="76"/>
      <c r="C71" s="76"/>
      <c r="D71" s="76"/>
      <c r="E71" s="77"/>
      <c r="F71" s="61">
        <f>F70+F30</f>
        <v>197548.95999999996</v>
      </c>
      <c r="G71" s="61">
        <f>G70+G30</f>
        <v>198623.77</v>
      </c>
      <c r="H71" s="60"/>
    </row>
    <row r="73" spans="1:8" hidden="1">
      <c r="A73" s="67" t="s">
        <v>51</v>
      </c>
      <c r="B73" s="67"/>
      <c r="C73" s="67"/>
      <c r="D73" s="67"/>
      <c r="E73" s="67"/>
      <c r="F73" s="67"/>
      <c r="G73" s="67"/>
    </row>
    <row r="74" spans="1:8" hidden="1"/>
    <row r="75" spans="1:8" ht="31.25" hidden="1" customHeight="1">
      <c r="A75" s="66" t="s">
        <v>49</v>
      </c>
      <c r="B75" s="102" t="s">
        <v>10</v>
      </c>
      <c r="C75" s="89" t="s">
        <v>1</v>
      </c>
      <c r="D75" s="89" t="s">
        <v>6</v>
      </c>
      <c r="E75" s="89" t="s">
        <v>55</v>
      </c>
      <c r="F75" s="89" t="s">
        <v>11</v>
      </c>
      <c r="G75" s="69" t="s">
        <v>2</v>
      </c>
    </row>
    <row r="76" spans="1:8" hidden="1">
      <c r="A76" s="66"/>
      <c r="B76" s="102"/>
      <c r="C76" s="90"/>
      <c r="D76" s="90"/>
      <c r="E76" s="90"/>
      <c r="F76" s="90"/>
      <c r="G76" s="69"/>
    </row>
    <row r="77" spans="1:8" hidden="1">
      <c r="A77" s="1">
        <v>1</v>
      </c>
      <c r="B77" s="78" t="s">
        <v>12</v>
      </c>
      <c r="C77" s="23" t="s">
        <v>42</v>
      </c>
      <c r="D77" s="46">
        <v>15542.1</v>
      </c>
      <c r="E77" s="46">
        <f>SUM(G13:G16)</f>
        <v>11579.99</v>
      </c>
      <c r="F77" s="47">
        <f>D77-E77</f>
        <v>3962.1100000000006</v>
      </c>
      <c r="G77" s="48" t="s">
        <v>22</v>
      </c>
    </row>
    <row r="78" spans="1:8" hidden="1">
      <c r="A78" s="1">
        <f>A77+1</f>
        <v>2</v>
      </c>
      <c r="B78" s="78"/>
      <c r="C78" s="23" t="s">
        <v>41</v>
      </c>
      <c r="D78" s="46">
        <v>40481.599999999999</v>
      </c>
      <c r="E78" s="46">
        <f>SUM(G5:G12)</f>
        <v>39585.479999999996</v>
      </c>
      <c r="F78" s="47">
        <f>D78-E78</f>
        <v>896.12000000000262</v>
      </c>
      <c r="G78" s="48" t="s">
        <v>22</v>
      </c>
    </row>
    <row r="79" spans="1:8" hidden="1">
      <c r="A79" s="1">
        <f t="shared" ref="A79:A96" si="5">A78+1</f>
        <v>3</v>
      </c>
      <c r="B79" s="78"/>
      <c r="C79" s="23" t="s">
        <v>43</v>
      </c>
      <c r="D79" s="15">
        <v>40428.800000000003</v>
      </c>
      <c r="E79" s="15">
        <f>SUM(G20:G29)</f>
        <v>37579.4</v>
      </c>
      <c r="F79" s="16">
        <f>D79-E79</f>
        <v>2849.4000000000015</v>
      </c>
      <c r="G79" s="7" t="s">
        <v>22</v>
      </c>
    </row>
    <row r="80" spans="1:8" hidden="1">
      <c r="A80" s="1">
        <f t="shared" si="5"/>
        <v>4</v>
      </c>
      <c r="B80" s="78"/>
      <c r="C80" s="7" t="s">
        <v>13</v>
      </c>
      <c r="D80" s="15">
        <v>39244.5</v>
      </c>
      <c r="E80" s="15">
        <v>0</v>
      </c>
      <c r="F80" s="16">
        <f t="shared" ref="F80:F89" si="6">D80-E80</f>
        <v>39244.5</v>
      </c>
      <c r="G80" s="7"/>
    </row>
    <row r="81" spans="1:7" hidden="1">
      <c r="A81" s="1">
        <f t="shared" si="5"/>
        <v>5</v>
      </c>
      <c r="B81" s="78"/>
      <c r="C81" s="7" t="s">
        <v>14</v>
      </c>
      <c r="D81" s="15">
        <v>19929.3</v>
      </c>
      <c r="E81" s="15">
        <v>0</v>
      </c>
      <c r="F81" s="16">
        <f t="shared" si="6"/>
        <v>19929.3</v>
      </c>
      <c r="G81" s="7"/>
    </row>
    <row r="82" spans="1:7" hidden="1">
      <c r="A82" s="1">
        <f t="shared" si="5"/>
        <v>6</v>
      </c>
      <c r="B82" s="78"/>
      <c r="C82" s="7" t="s">
        <v>15</v>
      </c>
      <c r="D82" s="15">
        <v>24586.799999999999</v>
      </c>
      <c r="E82" s="15">
        <v>0</v>
      </c>
      <c r="F82" s="16">
        <f t="shared" si="6"/>
        <v>24586.799999999999</v>
      </c>
      <c r="G82" s="7"/>
    </row>
    <row r="83" spans="1:7" hidden="1">
      <c r="A83" s="1">
        <f t="shared" si="5"/>
        <v>7</v>
      </c>
      <c r="B83" s="78"/>
      <c r="C83" s="17" t="s">
        <v>16</v>
      </c>
      <c r="D83" s="18">
        <f>SUBTOTAL(9,D77:D82)</f>
        <v>180213.09999999998</v>
      </c>
      <c r="E83" s="18">
        <f>SUBTOTAL(9,E77:E82)</f>
        <v>88744.87</v>
      </c>
      <c r="F83" s="18">
        <f>SUMIF(F77:F82,"&gt;0")</f>
        <v>91468.23000000001</v>
      </c>
      <c r="G83" s="7"/>
    </row>
    <row r="84" spans="1:7" ht="15.65" hidden="1" customHeight="1">
      <c r="A84" s="1">
        <f t="shared" si="5"/>
        <v>8</v>
      </c>
      <c r="B84" s="78" t="s">
        <v>23</v>
      </c>
      <c r="C84" s="7" t="s">
        <v>17</v>
      </c>
      <c r="D84" s="19">
        <v>11980.8</v>
      </c>
      <c r="E84" s="19"/>
      <c r="F84" s="16">
        <f t="shared" si="6"/>
        <v>11980.8</v>
      </c>
      <c r="G84" s="7"/>
    </row>
    <row r="85" spans="1:7" hidden="1">
      <c r="A85" s="1">
        <f t="shared" si="5"/>
        <v>9</v>
      </c>
      <c r="B85" s="78"/>
      <c r="C85" s="7" t="s">
        <v>18</v>
      </c>
      <c r="D85" s="19">
        <v>23551.599999999999</v>
      </c>
      <c r="E85" s="19"/>
      <c r="F85" s="16">
        <f t="shared" si="6"/>
        <v>23551.599999999999</v>
      </c>
      <c r="G85" s="7"/>
    </row>
    <row r="86" spans="1:7" hidden="1">
      <c r="A86" s="1">
        <f t="shared" si="5"/>
        <v>10</v>
      </c>
      <c r="B86" s="78"/>
      <c r="C86" s="7" t="s">
        <v>19</v>
      </c>
      <c r="D86" s="19">
        <v>19190</v>
      </c>
      <c r="E86" s="19"/>
      <c r="F86" s="16">
        <f t="shared" si="6"/>
        <v>19190</v>
      </c>
      <c r="G86" s="7"/>
    </row>
    <row r="87" spans="1:7" hidden="1">
      <c r="A87" s="1">
        <f t="shared" si="5"/>
        <v>11</v>
      </c>
      <c r="B87" s="78"/>
      <c r="C87" s="7" t="s">
        <v>20</v>
      </c>
      <c r="D87" s="19">
        <v>13625</v>
      </c>
      <c r="E87" s="19"/>
      <c r="F87" s="16">
        <f t="shared" si="6"/>
        <v>13625</v>
      </c>
      <c r="G87" s="7"/>
    </row>
    <row r="88" spans="1:7" hidden="1">
      <c r="A88" s="1">
        <f t="shared" si="5"/>
        <v>12</v>
      </c>
      <c r="B88" s="78"/>
      <c r="C88" s="7" t="s">
        <v>21</v>
      </c>
      <c r="D88" s="19">
        <v>14915.8</v>
      </c>
      <c r="E88" s="19"/>
      <c r="F88" s="16">
        <f t="shared" si="6"/>
        <v>14915.8</v>
      </c>
      <c r="G88" s="7"/>
    </row>
    <row r="89" spans="1:7" hidden="1">
      <c r="A89" s="1">
        <f t="shared" si="5"/>
        <v>13</v>
      </c>
      <c r="B89" s="78"/>
      <c r="C89" s="7" t="s">
        <v>50</v>
      </c>
      <c r="D89" s="19">
        <v>21360.5</v>
      </c>
      <c r="E89" s="19">
        <f>G54+G55</f>
        <v>6858.7</v>
      </c>
      <c r="F89" s="16">
        <f t="shared" si="6"/>
        <v>14501.8</v>
      </c>
      <c r="G89" s="7"/>
    </row>
    <row r="90" spans="1:7" hidden="1">
      <c r="A90" s="1">
        <f t="shared" si="5"/>
        <v>14</v>
      </c>
      <c r="B90" s="78"/>
      <c r="C90" s="7" t="s">
        <v>40</v>
      </c>
      <c r="D90" s="19">
        <v>19782</v>
      </c>
      <c r="E90" s="37">
        <f>G50+G51+G53+G59+G60</f>
        <v>15517.91</v>
      </c>
      <c r="F90" s="38"/>
      <c r="G90" s="48" t="s">
        <v>22</v>
      </c>
    </row>
    <row r="91" spans="1:7" hidden="1">
      <c r="A91" s="1">
        <f t="shared" si="5"/>
        <v>15</v>
      </c>
      <c r="B91" s="78"/>
      <c r="C91" s="35" t="s">
        <v>44</v>
      </c>
      <c r="D91" s="19">
        <v>9145.5</v>
      </c>
      <c r="E91" s="32">
        <f>SUM(G32:G33)</f>
        <v>7055.5</v>
      </c>
      <c r="F91" s="79"/>
      <c r="G91" s="48" t="s">
        <v>22</v>
      </c>
    </row>
    <row r="92" spans="1:7" hidden="1">
      <c r="A92" s="1">
        <f t="shared" si="5"/>
        <v>16</v>
      </c>
      <c r="B92" s="78"/>
      <c r="C92" s="35" t="s">
        <v>45</v>
      </c>
      <c r="D92" s="19">
        <v>17304</v>
      </c>
      <c r="E92" s="36">
        <f>SUM(G34:G36)</f>
        <v>12344.91</v>
      </c>
      <c r="F92" s="80"/>
      <c r="G92" s="48" t="s">
        <v>22</v>
      </c>
    </row>
    <row r="93" spans="1:7" hidden="1">
      <c r="A93" s="1">
        <f t="shared" si="5"/>
        <v>17</v>
      </c>
      <c r="B93" s="78"/>
      <c r="C93" s="35" t="s">
        <v>46</v>
      </c>
      <c r="D93" s="19">
        <v>11745.3</v>
      </c>
      <c r="E93" s="36">
        <f>SUM(G47:G49)</f>
        <v>13058.7</v>
      </c>
      <c r="F93" s="80"/>
      <c r="G93" s="48" t="s">
        <v>22</v>
      </c>
    </row>
    <row r="94" spans="1:7" hidden="1">
      <c r="A94" s="1">
        <f t="shared" si="5"/>
        <v>18</v>
      </c>
      <c r="B94" s="78"/>
      <c r="C94" s="35" t="s">
        <v>47</v>
      </c>
      <c r="D94" s="19">
        <v>20582</v>
      </c>
      <c r="E94" s="36">
        <f>SUM(G40:G46)</f>
        <v>20809.099999999999</v>
      </c>
      <c r="F94" s="80"/>
      <c r="G94" s="48" t="s">
        <v>22</v>
      </c>
    </row>
    <row r="95" spans="1:7" hidden="1">
      <c r="A95" s="1">
        <f t="shared" si="5"/>
        <v>19</v>
      </c>
      <c r="B95" s="78"/>
      <c r="C95" s="35" t="s">
        <v>48</v>
      </c>
      <c r="D95" s="19">
        <v>15314</v>
      </c>
      <c r="E95" s="33">
        <f>SUM(G37:G39)</f>
        <v>8243</v>
      </c>
      <c r="F95" s="81"/>
      <c r="G95" s="48" t="s">
        <v>22</v>
      </c>
    </row>
    <row r="96" spans="1:7" hidden="1">
      <c r="A96" s="1">
        <f t="shared" si="5"/>
        <v>20</v>
      </c>
      <c r="B96" s="78"/>
      <c r="C96" s="17" t="s">
        <v>16</v>
      </c>
      <c r="D96" s="18">
        <f>SUBTOTAL(9,D84:D95)</f>
        <v>198496.5</v>
      </c>
      <c r="E96" s="18">
        <f>SUBTOTAL(9,E84:E95)</f>
        <v>83887.82</v>
      </c>
      <c r="F96" s="18">
        <f>SUMIF(F84:F95,"&gt;0")</f>
        <v>97765</v>
      </c>
      <c r="G96" s="7"/>
    </row>
    <row r="97" spans="1:8" hidden="1">
      <c r="A97" s="82" t="s">
        <v>24</v>
      </c>
      <c r="B97" s="82"/>
      <c r="C97" s="82"/>
      <c r="D97" s="22"/>
      <c r="E97" s="40">
        <f>SUBTOTAL(9,E77:E95)</f>
        <v>172632.69</v>
      </c>
      <c r="F97" s="22"/>
      <c r="G97" s="22"/>
      <c r="H97" s="39"/>
    </row>
    <row r="101" spans="1:8">
      <c r="E101" s="20"/>
    </row>
    <row r="105" spans="1:8">
      <c r="E105" s="20"/>
    </row>
  </sheetData>
  <mergeCells count="46">
    <mergeCell ref="A1:H1"/>
    <mergeCell ref="A2:H2"/>
    <mergeCell ref="A30:E30"/>
    <mergeCell ref="B75:B76"/>
    <mergeCell ref="D75:D76"/>
    <mergeCell ref="D56:F58"/>
    <mergeCell ref="A4:H4"/>
    <mergeCell ref="D17:G19"/>
    <mergeCell ref="B32:B33"/>
    <mergeCell ref="C36:C37"/>
    <mergeCell ref="B34:B36"/>
    <mergeCell ref="B37:B39"/>
    <mergeCell ref="C39:C40"/>
    <mergeCell ref="D52:F52"/>
    <mergeCell ref="C53:C54"/>
    <mergeCell ref="C75:C76"/>
    <mergeCell ref="B84:B96"/>
    <mergeCell ref="F91:F95"/>
    <mergeCell ref="A97:C97"/>
    <mergeCell ref="B5:B12"/>
    <mergeCell ref="B20:B22"/>
    <mergeCell ref="E75:E76"/>
    <mergeCell ref="F75:F76"/>
    <mergeCell ref="B77:B83"/>
    <mergeCell ref="B24:B29"/>
    <mergeCell ref="D23:F23"/>
    <mergeCell ref="D42:F42"/>
    <mergeCell ref="A31:H31"/>
    <mergeCell ref="B40:B46"/>
    <mergeCell ref="D44:F44"/>
    <mergeCell ref="C12:C13"/>
    <mergeCell ref="B13:B16"/>
    <mergeCell ref="B47:B49"/>
    <mergeCell ref="B50:B53"/>
    <mergeCell ref="B54:B55"/>
    <mergeCell ref="C49:C50"/>
    <mergeCell ref="A75:A76"/>
    <mergeCell ref="A73:G73"/>
    <mergeCell ref="A70:E70"/>
    <mergeCell ref="G75:G76"/>
    <mergeCell ref="C61:C62"/>
    <mergeCell ref="B59:B61"/>
    <mergeCell ref="B62:B65"/>
    <mergeCell ref="D63:E63"/>
    <mergeCell ref="A71:E71"/>
    <mergeCell ref="B66:B6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3"/>
  <sheetViews>
    <sheetView zoomScale="55" zoomScaleNormal="55" workbookViewId="0">
      <selection activeCell="B11" sqref="B11"/>
    </sheetView>
  </sheetViews>
  <sheetFormatPr defaultColWidth="14.453125" defaultRowHeight="14.5"/>
  <cols>
    <col min="1" max="1" width="4.08984375" bestFit="1" customWidth="1"/>
    <col min="2" max="2" width="24.6328125" customWidth="1"/>
    <col min="3" max="3" width="12.6328125" customWidth="1"/>
    <col min="4" max="4" width="11.54296875" customWidth="1"/>
    <col min="5" max="7" width="13.6328125" customWidth="1"/>
    <col min="8" max="8" width="15.6328125" customWidth="1"/>
    <col min="9" max="25" width="8.6328125" customWidth="1"/>
  </cols>
  <sheetData>
    <row r="1" spans="1:17" ht="33.75" customHeight="1">
      <c r="A1" s="113" t="s">
        <v>8</v>
      </c>
      <c r="B1" s="113"/>
      <c r="C1" s="113"/>
      <c r="D1" s="113"/>
      <c r="E1" s="113"/>
      <c r="F1" s="113"/>
      <c r="G1" s="113"/>
      <c r="H1" s="113"/>
      <c r="I1" s="50"/>
      <c r="J1" s="113"/>
      <c r="K1" s="113"/>
      <c r="L1" s="113"/>
      <c r="M1" s="113"/>
      <c r="N1" s="113"/>
      <c r="O1" s="113"/>
      <c r="P1" s="113"/>
      <c r="Q1" s="113"/>
    </row>
    <row r="2" spans="1:17" ht="30" customHeight="1">
      <c r="A2" s="116" t="s">
        <v>66</v>
      </c>
      <c r="B2" s="116"/>
      <c r="C2" s="116"/>
      <c r="D2" s="116"/>
      <c r="E2" s="116"/>
      <c r="F2" s="116"/>
      <c r="G2" s="116"/>
      <c r="H2" s="116"/>
    </row>
    <row r="3" spans="1:17" ht="36" customHeight="1">
      <c r="A3" s="51" t="s">
        <v>0</v>
      </c>
      <c r="B3" s="44" t="s">
        <v>1</v>
      </c>
      <c r="C3" s="44" t="s">
        <v>57</v>
      </c>
      <c r="D3" s="43" t="s">
        <v>64</v>
      </c>
      <c r="E3" s="43" t="s">
        <v>60</v>
      </c>
      <c r="F3" s="43" t="s">
        <v>65</v>
      </c>
      <c r="G3" s="43" t="s">
        <v>60</v>
      </c>
      <c r="H3" s="44" t="s">
        <v>2</v>
      </c>
    </row>
    <row r="4" spans="1:17" ht="24.75" customHeight="1">
      <c r="A4" s="51"/>
      <c r="B4" s="57"/>
      <c r="C4" s="53"/>
      <c r="D4" s="12"/>
      <c r="E4" s="51"/>
      <c r="F4" s="12"/>
      <c r="G4" s="12"/>
      <c r="H4" s="12"/>
    </row>
    <row r="5" spans="1:17" ht="24.75" customHeight="1">
      <c r="A5" s="51"/>
      <c r="B5" s="57"/>
      <c r="C5" s="53"/>
      <c r="D5" s="12"/>
      <c r="E5" s="51"/>
      <c r="F5" s="12"/>
      <c r="G5" s="12"/>
      <c r="H5" s="12"/>
    </row>
    <row r="6" spans="1:17" ht="24.75" customHeight="1">
      <c r="A6" s="51"/>
      <c r="B6" s="51"/>
      <c r="C6" s="51"/>
      <c r="D6" s="54"/>
      <c r="E6" s="51"/>
      <c r="F6" s="54"/>
      <c r="G6" s="55"/>
      <c r="H6" s="56"/>
    </row>
    <row r="7" spans="1:17" ht="24.75" customHeight="1">
      <c r="A7" s="51"/>
      <c r="B7" s="51"/>
      <c r="C7" s="56"/>
      <c r="D7" s="56"/>
      <c r="E7" s="51"/>
      <c r="F7" s="56"/>
      <c r="G7" s="56"/>
      <c r="H7" s="56"/>
    </row>
    <row r="8" spans="1:17" ht="24.75" customHeight="1">
      <c r="A8" s="51"/>
      <c r="B8" s="51"/>
      <c r="C8" s="56"/>
      <c r="D8" s="56"/>
      <c r="E8" s="51"/>
      <c r="F8" s="56"/>
      <c r="G8" s="56"/>
      <c r="H8" s="56"/>
    </row>
    <row r="9" spans="1:17">
      <c r="A9" s="51"/>
      <c r="B9" s="51"/>
      <c r="C9" s="51"/>
      <c r="D9" s="51"/>
      <c r="E9" s="51"/>
      <c r="F9" s="51"/>
      <c r="G9" s="51"/>
      <c r="H9" s="51"/>
    </row>
    <row r="10" spans="1:17" ht="24.75" customHeight="1">
      <c r="A10" s="51"/>
      <c r="B10" s="51"/>
      <c r="C10" s="56"/>
      <c r="D10" s="56"/>
      <c r="E10" s="56"/>
      <c r="F10" s="56"/>
      <c r="G10" s="56"/>
      <c r="H10" s="56"/>
    </row>
    <row r="11" spans="1:17" ht="24.75" customHeight="1">
      <c r="A11" s="51"/>
      <c r="B11" s="51"/>
      <c r="C11" s="52"/>
      <c r="D11" s="52"/>
      <c r="E11" s="52"/>
      <c r="F11" s="52"/>
      <c r="G11" s="52"/>
      <c r="H11" s="52"/>
    </row>
    <row r="12" spans="1:17" ht="24.75" customHeight="1">
      <c r="A12" s="51"/>
      <c r="B12" s="51"/>
      <c r="C12" s="52"/>
      <c r="D12" s="52"/>
      <c r="E12" s="52"/>
      <c r="F12" s="52"/>
      <c r="G12" s="52"/>
      <c r="H12" s="52"/>
    </row>
    <row r="13" spans="1:17" ht="24.75" customHeight="1">
      <c r="A13" s="51"/>
      <c r="B13" s="51"/>
      <c r="C13" s="52"/>
      <c r="D13" s="52"/>
      <c r="E13" s="52"/>
      <c r="F13" s="52"/>
      <c r="G13" s="52"/>
      <c r="H13" s="52"/>
    </row>
    <row r="14" spans="1:17" ht="24.75" customHeight="1">
      <c r="A14" s="51"/>
      <c r="B14" s="51"/>
      <c r="C14" s="52"/>
      <c r="D14" s="52"/>
      <c r="E14" s="52"/>
      <c r="F14" s="52"/>
      <c r="G14" s="52"/>
      <c r="H14" s="52"/>
    </row>
    <row r="15" spans="1:17" ht="24.75" customHeight="1">
      <c r="A15" s="51"/>
      <c r="B15" s="51"/>
      <c r="C15" s="52"/>
      <c r="D15" s="52"/>
      <c r="E15" s="52"/>
      <c r="F15" s="52"/>
      <c r="G15" s="52"/>
      <c r="H15" s="52"/>
    </row>
    <row r="16" spans="1:17" ht="24.75" customHeight="1">
      <c r="A16" s="51"/>
      <c r="B16" s="114" t="s">
        <v>62</v>
      </c>
      <c r="C16" s="115"/>
      <c r="D16" s="52"/>
      <c r="E16" s="52"/>
      <c r="F16" s="52"/>
      <c r="G16" s="52"/>
      <c r="H16" s="52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4">
    <mergeCell ref="J1:Q1"/>
    <mergeCell ref="B16:C16"/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7"/>
  <sheetViews>
    <sheetView zoomScale="70" zoomScaleNormal="70" workbookViewId="0">
      <selection activeCell="B12" sqref="B12"/>
    </sheetView>
  </sheetViews>
  <sheetFormatPr defaultColWidth="14.453125" defaultRowHeight="14.5"/>
  <cols>
    <col min="2" max="2" width="24.6328125" customWidth="1"/>
    <col min="3" max="3" width="12.6328125" customWidth="1"/>
    <col min="4" max="4" width="11.54296875" customWidth="1"/>
    <col min="5" max="7" width="13.6328125" customWidth="1"/>
    <col min="8" max="8" width="15.6328125" customWidth="1"/>
    <col min="9" max="25" width="8.6328125" customWidth="1"/>
  </cols>
  <sheetData>
    <row r="1" spans="1:17" ht="33.75" customHeight="1">
      <c r="A1" s="117" t="s">
        <v>8</v>
      </c>
      <c r="B1" s="117"/>
      <c r="C1" s="117"/>
      <c r="D1" s="117"/>
      <c r="E1" s="117"/>
      <c r="F1" s="117"/>
      <c r="G1" s="117"/>
      <c r="H1" s="118"/>
      <c r="I1" s="50"/>
      <c r="J1" s="113"/>
      <c r="K1" s="113"/>
      <c r="L1" s="113"/>
      <c r="M1" s="113"/>
      <c r="N1" s="113"/>
      <c r="O1" s="113"/>
      <c r="P1" s="113"/>
      <c r="Q1" s="113"/>
    </row>
    <row r="2" spans="1:17" ht="30" customHeight="1">
      <c r="A2" s="119" t="s">
        <v>63</v>
      </c>
      <c r="B2" s="119"/>
      <c r="C2" s="119"/>
      <c r="D2" s="119"/>
      <c r="E2" s="119"/>
      <c r="F2" s="119"/>
      <c r="G2" s="119"/>
      <c r="H2" s="120"/>
    </row>
    <row r="3" spans="1:17" ht="36" customHeight="1">
      <c r="A3" s="51" t="s">
        <v>0</v>
      </c>
      <c r="B3" s="44" t="s">
        <v>1</v>
      </c>
      <c r="C3" s="44" t="s">
        <v>57</v>
      </c>
      <c r="D3" s="43" t="s">
        <v>58</v>
      </c>
      <c r="E3" s="43" t="s">
        <v>59</v>
      </c>
      <c r="F3" s="43" t="s">
        <v>60</v>
      </c>
      <c r="G3" s="43" t="s">
        <v>61</v>
      </c>
      <c r="H3" s="44" t="s">
        <v>2</v>
      </c>
    </row>
    <row r="4" spans="1:17" ht="36" customHeight="1">
      <c r="A4" s="51"/>
      <c r="B4" s="58"/>
      <c r="C4" s="59"/>
      <c r="D4" s="3"/>
      <c r="E4" s="3"/>
      <c r="F4" s="3"/>
      <c r="G4" s="3"/>
      <c r="H4" s="3"/>
    </row>
    <row r="5" spans="1:17" ht="24.75" customHeight="1">
      <c r="A5" s="51"/>
      <c r="B5" s="58"/>
      <c r="C5" s="59"/>
      <c r="D5" s="3"/>
      <c r="E5" s="3"/>
      <c r="F5" s="3"/>
      <c r="G5" s="3"/>
      <c r="H5" s="51"/>
    </row>
    <row r="6" spans="1:17" ht="24.75" customHeight="1">
      <c r="A6" s="51"/>
      <c r="B6" s="58"/>
      <c r="C6" s="59"/>
      <c r="D6" s="56"/>
      <c r="E6" s="3"/>
      <c r="F6" s="3"/>
      <c r="G6" s="3"/>
      <c r="H6" s="56"/>
    </row>
    <row r="7" spans="1:17" ht="24.75" customHeight="1">
      <c r="A7" s="51"/>
      <c r="B7" s="58"/>
      <c r="C7" s="59"/>
      <c r="D7" s="56"/>
      <c r="E7" s="3"/>
      <c r="F7" s="3"/>
      <c r="G7" s="3"/>
      <c r="H7" s="56"/>
    </row>
    <row r="8" spans="1:17" ht="24.75" customHeight="1">
      <c r="A8" s="51"/>
      <c r="B8" s="51"/>
      <c r="C8" s="59"/>
      <c r="D8" s="56"/>
      <c r="E8" s="3"/>
      <c r="F8" s="3"/>
      <c r="G8" s="3"/>
      <c r="H8" s="56"/>
    </row>
    <row r="9" spans="1:17" ht="24.75" customHeight="1">
      <c r="A9" s="51"/>
      <c r="B9" s="51"/>
      <c r="C9" s="59"/>
      <c r="D9" s="56"/>
      <c r="E9" s="56"/>
      <c r="F9" s="56"/>
      <c r="G9" s="3"/>
      <c r="H9" s="56"/>
    </row>
    <row r="10" spans="1:17" ht="24.75" customHeight="1">
      <c r="A10" s="51"/>
      <c r="B10" s="55" t="s">
        <v>62</v>
      </c>
      <c r="C10" s="56"/>
      <c r="D10" s="55">
        <f>SUM(D5:D9)</f>
        <v>0</v>
      </c>
      <c r="E10" s="56"/>
      <c r="F10" s="55">
        <f>SUM(F5:F9)</f>
        <v>0</v>
      </c>
      <c r="G10" s="55">
        <f>SUM(G5:G9)</f>
        <v>0</v>
      </c>
      <c r="H10" s="56"/>
    </row>
    <row r="11" spans="1:17" ht="14.25" customHeight="1"/>
    <row r="12" spans="1:17" ht="14.25" customHeight="1"/>
    <row r="13" spans="1:17" ht="14.25" customHeight="1"/>
    <row r="14" spans="1:17" ht="14.25" customHeight="1"/>
    <row r="15" spans="1:17" ht="14.25" customHeight="1"/>
    <row r="16" spans="1:1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3">
    <mergeCell ref="J1:Q1"/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PVD</vt:lpstr>
      <vt:lpstr>SBD</vt:lpstr>
      <vt:lpstr>CDM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 Ang</cp:lastModifiedBy>
  <dcterms:created xsi:type="dcterms:W3CDTF">2026-03-04T03:47:31Z</dcterms:created>
  <dcterms:modified xsi:type="dcterms:W3CDTF">2026-03-22T01:20:18Z</dcterms:modified>
</cp:coreProperties>
</file>