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HANGVU\Desktop\gitfoder\"/>
    </mc:Choice>
  </mc:AlternateContent>
  <xr:revisionPtr revIDLastSave="0" documentId="13_ncr:1_{02426C7D-AA82-42DB-B16F-D97C3EE4BBDA}" xr6:coauthVersionLast="47" xr6:coauthVersionMax="47" xr10:uidLastSave="{00000000-0000-0000-0000-000000000000}"/>
  <bookViews>
    <workbookView xWindow="-108" yWindow="-108" windowWidth="23256" windowHeight="12576" tabRatio="935" xr2:uid="{00000000-000D-0000-FFFF-FFFF00000000}"/>
  </bookViews>
  <sheets>
    <sheet name="BAO CAO" sheetId="11" r:id="rId1"/>
  </sheets>
  <definedNames>
    <definedName name="_xlnm.Print_Area" localSheetId="0">'BAO CAO'!$A$1:$H$821</definedName>
    <definedName name="_xlnm.Print_Titles" localSheetId="0">'BAO CAO'!$9:$9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10" i="11" l="1"/>
  <c r="E810" i="11"/>
  <c r="D811" i="11"/>
  <c r="E812" i="11"/>
  <c r="H710" i="11"/>
  <c r="H711" i="11"/>
  <c r="H712" i="11"/>
  <c r="H713" i="11"/>
  <c r="H714" i="11"/>
  <c r="H715" i="11"/>
  <c r="H716" i="11"/>
  <c r="H717" i="11"/>
  <c r="H718" i="11"/>
  <c r="H719" i="11"/>
  <c r="H720" i="11"/>
  <c r="H721" i="11"/>
  <c r="H722" i="11"/>
  <c r="H723" i="11"/>
  <c r="H724" i="11"/>
  <c r="H725" i="11"/>
  <c r="H726" i="11"/>
  <c r="H727" i="11"/>
  <c r="H728" i="11"/>
  <c r="H729" i="11"/>
  <c r="H730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H745" i="11"/>
  <c r="H746" i="11"/>
  <c r="H747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60" i="11"/>
  <c r="H761" i="11"/>
  <c r="H762" i="11"/>
  <c r="H763" i="11"/>
  <c r="H764" i="11"/>
  <c r="H765" i="11"/>
  <c r="H766" i="11"/>
  <c r="H767" i="11"/>
  <c r="H768" i="11"/>
  <c r="H769" i="11"/>
  <c r="H770" i="11"/>
  <c r="H771" i="11"/>
  <c r="H772" i="11"/>
  <c r="H773" i="11"/>
  <c r="H774" i="11"/>
  <c r="H775" i="11"/>
  <c r="H776" i="11"/>
  <c r="H777" i="11"/>
  <c r="H778" i="11"/>
  <c r="H779" i="11"/>
  <c r="H780" i="11"/>
  <c r="H781" i="11"/>
  <c r="H782" i="11"/>
  <c r="H783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796" i="11"/>
  <c r="H797" i="11"/>
  <c r="H798" i="11"/>
  <c r="H799" i="11"/>
  <c r="H800" i="11"/>
  <c r="H801" i="11"/>
  <c r="H802" i="11"/>
  <c r="H803" i="11"/>
  <c r="H804" i="11"/>
  <c r="H805" i="11"/>
  <c r="H806" i="11"/>
  <c r="H807" i="11"/>
  <c r="H808" i="11"/>
  <c r="H708" i="11"/>
  <c r="H707" i="11"/>
  <c r="H812" i="11" l="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H687" i="11"/>
  <c r="H688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01" i="11"/>
  <c r="H702" i="11"/>
  <c r="H703" i="11"/>
  <c r="H704" i="11"/>
  <c r="H705" i="11"/>
  <c r="H706" i="11"/>
  <c r="H709" i="11"/>
  <c r="I262" i="11" l="1"/>
  <c r="I263" i="11" s="1"/>
  <c r="B261" i="11"/>
  <c r="A11" i="1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285" i="11" s="1"/>
  <c r="A286" i="11" s="1"/>
  <c r="A287" i="11" s="1"/>
  <c r="A288" i="11" s="1"/>
  <c r="A289" i="11" s="1"/>
  <c r="A290" i="11" s="1"/>
  <c r="A291" i="11" s="1"/>
  <c r="A292" i="11" s="1"/>
  <c r="A293" i="11" s="1"/>
  <c r="A294" i="11" s="1"/>
  <c r="A295" i="11" s="1"/>
  <c r="A296" i="11" s="1"/>
  <c r="A297" i="11" s="1"/>
  <c r="A298" i="11" s="1"/>
  <c r="A299" i="11" s="1"/>
  <c r="A300" i="11" s="1"/>
  <c r="A301" i="11" s="1"/>
  <c r="A302" i="11" s="1"/>
  <c r="A303" i="11" s="1"/>
  <c r="A304" i="11" s="1"/>
  <c r="A305" i="11" s="1"/>
  <c r="A306" i="11" s="1"/>
  <c r="A307" i="11" s="1"/>
  <c r="A308" i="11" s="1"/>
  <c r="A309" i="11" s="1"/>
  <c r="A310" i="11" s="1"/>
  <c r="A311" i="11" s="1"/>
  <c r="A312" i="11" s="1"/>
  <c r="A313" i="11" s="1"/>
  <c r="A314" i="11" s="1"/>
  <c r="A315" i="11" s="1"/>
  <c r="A316" i="11" s="1"/>
  <c r="A317" i="11" s="1"/>
  <c r="A318" i="11" s="1"/>
  <c r="A319" i="11" s="1"/>
  <c r="A320" i="11" s="1"/>
  <c r="A321" i="11" s="1"/>
  <c r="A322" i="11" s="1"/>
  <c r="A323" i="11" s="1"/>
  <c r="A324" i="11" s="1"/>
  <c r="A325" i="11" s="1"/>
  <c r="A326" i="11" s="1"/>
  <c r="A327" i="11" s="1"/>
  <c r="A328" i="11" s="1"/>
  <c r="A329" i="11" s="1"/>
  <c r="A330" i="11" s="1"/>
  <c r="A331" i="11" s="1"/>
  <c r="A332" i="11" s="1"/>
  <c r="A333" i="11" s="1"/>
  <c r="A334" i="11" s="1"/>
  <c r="A335" i="11" s="1"/>
  <c r="A336" i="11" s="1"/>
  <c r="A337" i="11" s="1"/>
  <c r="A338" i="11" s="1"/>
  <c r="A339" i="11" s="1"/>
  <c r="A340" i="11" s="1"/>
  <c r="A341" i="11" s="1"/>
  <c r="A342" i="11" s="1"/>
  <c r="A343" i="11" s="1"/>
  <c r="A344" i="11" s="1"/>
  <c r="A345" i="11" s="1"/>
  <c r="A346" i="11" s="1"/>
  <c r="A347" i="11" s="1"/>
  <c r="A348" i="11" s="1"/>
  <c r="A349" i="11" s="1"/>
  <c r="A350" i="11" s="1"/>
  <c r="A351" i="11" s="1"/>
  <c r="A352" i="11" s="1"/>
  <c r="A353" i="11" s="1"/>
  <c r="A354" i="11" s="1"/>
  <c r="A355" i="11" s="1"/>
  <c r="A356" i="11" s="1"/>
  <c r="A357" i="11" s="1"/>
  <c r="A358" i="11" s="1"/>
  <c r="A359" i="11" s="1"/>
  <c r="A360" i="11" s="1"/>
  <c r="A361" i="11" s="1"/>
  <c r="A362" i="11" s="1"/>
  <c r="A363" i="11" s="1"/>
  <c r="A364" i="11" s="1"/>
  <c r="A365" i="11" s="1"/>
  <c r="A366" i="11" s="1"/>
  <c r="A367" i="11" s="1"/>
  <c r="A368" i="11" s="1"/>
  <c r="A369" i="11" s="1"/>
  <c r="A370" i="11" s="1"/>
  <c r="A371" i="11" s="1"/>
  <c r="A372" i="11" s="1"/>
  <c r="A373" i="11" s="1"/>
  <c r="A374" i="11" s="1"/>
  <c r="A375" i="11" s="1"/>
  <c r="A376" i="11" s="1"/>
  <c r="A377" i="11" s="1"/>
  <c r="A378" i="11" s="1"/>
  <c r="A379" i="11" s="1"/>
  <c r="A380" i="11" s="1"/>
  <c r="A381" i="11" s="1"/>
  <c r="A382" i="11" s="1"/>
  <c r="A383" i="11" s="1"/>
  <c r="A384" i="11" s="1"/>
  <c r="A385" i="11" s="1"/>
  <c r="A386" i="11" s="1"/>
  <c r="A387" i="11" s="1"/>
  <c r="A388" i="11" s="1"/>
  <c r="A389" i="11" s="1"/>
  <c r="A390" i="11" s="1"/>
  <c r="A391" i="11" s="1"/>
  <c r="A392" i="11" s="1"/>
  <c r="A393" i="11" s="1"/>
  <c r="A394" i="11" s="1"/>
  <c r="A395" i="11" s="1"/>
  <c r="A396" i="11" s="1"/>
  <c r="A397" i="11" s="1"/>
  <c r="A398" i="11" s="1"/>
  <c r="A399" i="11" s="1"/>
  <c r="A400" i="11" s="1"/>
  <c r="A401" i="11" s="1"/>
  <c r="A402" i="11" s="1"/>
  <c r="A403" i="11" s="1"/>
  <c r="A404" i="11" s="1"/>
  <c r="A405" i="11" s="1"/>
  <c r="A406" i="11" s="1"/>
  <c r="A407" i="11" s="1"/>
  <c r="A408" i="11" s="1"/>
  <c r="A409" i="11" s="1"/>
  <c r="A410" i="11" s="1"/>
  <c r="A411" i="11" s="1"/>
  <c r="A412" i="11" s="1"/>
  <c r="A413" i="11" s="1"/>
  <c r="A414" i="11" s="1"/>
  <c r="A415" i="11" s="1"/>
  <c r="A416" i="11" s="1"/>
  <c r="A417" i="11" s="1"/>
  <c r="A418" i="11" s="1"/>
  <c r="A419" i="11" s="1"/>
  <c r="A420" i="11" s="1"/>
  <c r="A421" i="11" s="1"/>
  <c r="A422" i="11" s="1"/>
  <c r="A423" i="11" s="1"/>
  <c r="A424" i="11" s="1"/>
  <c r="A425" i="11" s="1"/>
  <c r="A426" i="11" s="1"/>
  <c r="A427" i="11" s="1"/>
  <c r="A428" i="11" s="1"/>
  <c r="A429" i="11" s="1"/>
  <c r="A430" i="11" s="1"/>
  <c r="A431" i="11" s="1"/>
  <c r="A432" i="11" s="1"/>
  <c r="A433" i="11" s="1"/>
  <c r="A434" i="11" s="1"/>
  <c r="A435" i="11" s="1"/>
  <c r="A436" i="11" s="1"/>
  <c r="A437" i="11" s="1"/>
  <c r="A438" i="11" s="1"/>
  <c r="A439" i="11" s="1"/>
  <c r="A440" i="11" s="1"/>
  <c r="A441" i="11" s="1"/>
  <c r="A442" i="11" s="1"/>
  <c r="A443" i="11" s="1"/>
  <c r="A444" i="11" s="1"/>
  <c r="A445" i="11" s="1"/>
  <c r="A446" i="11" s="1"/>
  <c r="A447" i="11" s="1"/>
  <c r="A448" i="11" s="1"/>
  <c r="A449" i="11" s="1"/>
  <c r="A450" i="11" s="1"/>
  <c r="A451" i="11" s="1"/>
  <c r="A452" i="11" s="1"/>
  <c r="A453" i="11" s="1"/>
  <c r="A454" i="11" s="1"/>
  <c r="A455" i="11" s="1"/>
  <c r="A456" i="11" s="1"/>
  <c r="A457" i="11" s="1"/>
  <c r="A458" i="11" s="1"/>
  <c r="A459" i="11" s="1"/>
  <c r="A460" i="11" s="1"/>
  <c r="A461" i="11" s="1"/>
  <c r="A462" i="11" s="1"/>
  <c r="A463" i="11" s="1"/>
  <c r="A464" i="11" s="1"/>
  <c r="A465" i="11" s="1"/>
  <c r="A466" i="11" s="1"/>
  <c r="A467" i="11" s="1"/>
  <c r="A468" i="11" s="1"/>
  <c r="A469" i="11" s="1"/>
  <c r="A470" i="11" s="1"/>
  <c r="A471" i="11" s="1"/>
  <c r="A472" i="11" s="1"/>
  <c r="A473" i="11" s="1"/>
  <c r="A474" i="11" s="1"/>
  <c r="A475" i="11" s="1"/>
  <c r="A476" i="11" s="1"/>
  <c r="A477" i="11" s="1"/>
  <c r="A478" i="11" s="1"/>
  <c r="A479" i="11" s="1"/>
  <c r="A480" i="11" s="1"/>
  <c r="A481" i="11" s="1"/>
  <c r="A482" i="11" s="1"/>
  <c r="A483" i="11" s="1"/>
  <c r="A484" i="11" s="1"/>
  <c r="A485" i="11" s="1"/>
  <c r="A486" i="11" s="1"/>
  <c r="A487" i="11" s="1"/>
  <c r="A488" i="11" s="1"/>
  <c r="A489" i="11" s="1"/>
  <c r="A490" i="11" s="1"/>
  <c r="A491" i="11" s="1"/>
  <c r="A492" i="11" s="1"/>
  <c r="H11" i="11"/>
  <c r="H10" i="11"/>
  <c r="M9" i="1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AH9" i="11" s="1"/>
  <c r="AI9" i="11" s="1"/>
  <c r="AJ9" i="11" s="1"/>
  <c r="AK9" i="11" s="1"/>
  <c r="AL9" i="11" s="1"/>
  <c r="AM9" i="11" s="1"/>
  <c r="AN9" i="11" s="1"/>
  <c r="AO9" i="11" s="1"/>
  <c r="AP9" i="11" s="1"/>
  <c r="AQ9" i="11" s="1"/>
  <c r="AR9" i="11" s="1"/>
  <c r="AS9" i="11" s="1"/>
  <c r="AT9" i="11" s="1"/>
  <c r="AU9" i="11" s="1"/>
  <c r="AV9" i="11" s="1"/>
  <c r="AW9" i="11" s="1"/>
  <c r="AX9" i="11" s="1"/>
  <c r="AY9" i="11" s="1"/>
  <c r="AZ9" i="11" s="1"/>
  <c r="BA9" i="11" s="1"/>
  <c r="BB9" i="11" s="1"/>
  <c r="BC9" i="11" s="1"/>
  <c r="BD9" i="11" s="1"/>
  <c r="BE9" i="11" s="1"/>
  <c r="BF9" i="11" s="1"/>
  <c r="BG9" i="11" s="1"/>
  <c r="BH9" i="11" s="1"/>
  <c r="BI9" i="11" s="1"/>
  <c r="BJ9" i="11" s="1"/>
  <c r="BK9" i="11" s="1"/>
  <c r="BL9" i="11" s="1"/>
  <c r="BM9" i="11" s="1"/>
  <c r="BN9" i="11" s="1"/>
  <c r="BO9" i="11" s="1"/>
  <c r="BP9" i="11" s="1"/>
  <c r="BQ9" i="11" s="1"/>
  <c r="BR9" i="11" s="1"/>
  <c r="BS9" i="11" s="1"/>
  <c r="BT9" i="11" s="1"/>
  <c r="BU9" i="11" s="1"/>
  <c r="BV9" i="11" s="1"/>
  <c r="BW9" i="11" s="1"/>
  <c r="BX9" i="11" s="1"/>
  <c r="BY9" i="11" s="1"/>
  <c r="BZ9" i="11" s="1"/>
  <c r="CA9" i="11" s="1"/>
  <c r="CB9" i="11" s="1"/>
  <c r="CC9" i="11" s="1"/>
  <c r="CD9" i="11" s="1"/>
  <c r="CE9" i="11" s="1"/>
  <c r="CF9" i="11" s="1"/>
  <c r="CG9" i="11" s="1"/>
  <c r="CH9" i="11" s="1"/>
  <c r="CI9" i="11" s="1"/>
  <c r="CJ9" i="11" s="1"/>
  <c r="CK9" i="11" s="1"/>
  <c r="CL9" i="11" s="1"/>
  <c r="CM9" i="11" s="1"/>
  <c r="CN9" i="11" s="1"/>
  <c r="CO9" i="11" s="1"/>
  <c r="CP9" i="11" s="1"/>
  <c r="CQ9" i="11" s="1"/>
  <c r="CR9" i="11" s="1"/>
  <c r="CS9" i="11" s="1"/>
  <c r="CT9" i="11" s="1"/>
  <c r="CU9" i="11" s="1"/>
  <c r="CV9" i="11" s="1"/>
  <c r="CW9" i="11" s="1"/>
  <c r="CX9" i="11" s="1"/>
  <c r="CY9" i="11" s="1"/>
  <c r="CZ9" i="11" s="1"/>
  <c r="DA9" i="11" s="1"/>
  <c r="DB9" i="11" s="1"/>
  <c r="DC9" i="11" s="1"/>
  <c r="DD9" i="11" s="1"/>
  <c r="DE9" i="11" s="1"/>
  <c r="DF9" i="11" s="1"/>
  <c r="B262" i="11" l="1"/>
  <c r="I264" i="11"/>
  <c r="I265" i="11" s="1"/>
  <c r="B263" i="11"/>
  <c r="A493" i="11"/>
  <c r="A494" i="11" s="1"/>
  <c r="A495" i="11" s="1"/>
  <c r="A496" i="11" s="1"/>
  <c r="A497" i="11" s="1"/>
  <c r="A498" i="11" s="1"/>
  <c r="A499" i="11" s="1"/>
  <c r="A500" i="11" s="1"/>
  <c r="A501" i="11" s="1"/>
  <c r="A502" i="11" s="1"/>
  <c r="A503" i="11" s="1"/>
  <c r="A504" i="11" s="1"/>
  <c r="A505" i="11" s="1"/>
  <c r="A506" i="11" s="1"/>
  <c r="A507" i="11" s="1"/>
  <c r="A508" i="11" s="1"/>
  <c r="H826" i="11"/>
  <c r="H827" i="11"/>
  <c r="H828" i="11"/>
  <c r="H829" i="11"/>
  <c r="H830" i="11"/>
  <c r="H831" i="11"/>
  <c r="H832" i="11"/>
  <c r="H833" i="11"/>
  <c r="H834" i="11"/>
  <c r="H835" i="11"/>
  <c r="H836" i="11"/>
  <c r="H837" i="11"/>
  <c r="H838" i="11"/>
  <c r="H839" i="11"/>
  <c r="H840" i="11"/>
  <c r="H841" i="11"/>
  <c r="H842" i="11"/>
  <c r="H843" i="11"/>
  <c r="H844" i="11"/>
  <c r="H845" i="11"/>
  <c r="H846" i="11"/>
  <c r="H847" i="11"/>
  <c r="H848" i="11"/>
  <c r="H849" i="11"/>
  <c r="H850" i="11"/>
  <c r="H851" i="11"/>
  <c r="H852" i="11"/>
  <c r="H853" i="11"/>
  <c r="H854" i="11"/>
  <c r="H855" i="11"/>
  <c r="H856" i="11"/>
  <c r="H857" i="11"/>
  <c r="H858" i="11"/>
  <c r="H859" i="11"/>
  <c r="H860" i="11"/>
  <c r="H861" i="11"/>
  <c r="H862" i="11"/>
  <c r="H863" i="11"/>
  <c r="H864" i="11"/>
  <c r="H865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78" i="11"/>
  <c r="H879" i="11"/>
  <c r="H880" i="11"/>
  <c r="H881" i="11"/>
  <c r="H882" i="11"/>
  <c r="H883" i="11"/>
  <c r="H884" i="11"/>
  <c r="H885" i="11"/>
  <c r="H886" i="11"/>
  <c r="H887" i="11"/>
  <c r="H888" i="11"/>
  <c r="H889" i="11"/>
  <c r="H890" i="11"/>
  <c r="H891" i="11"/>
  <c r="H892" i="11"/>
  <c r="H893" i="11"/>
  <c r="H894" i="11"/>
  <c r="H895" i="11"/>
  <c r="H896" i="11"/>
  <c r="H897" i="11"/>
  <c r="H898" i="11"/>
  <c r="H899" i="11"/>
  <c r="H900" i="11"/>
  <c r="H901" i="11"/>
  <c r="H902" i="11"/>
  <c r="H903" i="11"/>
  <c r="H904" i="11"/>
  <c r="H905" i="11"/>
  <c r="H906" i="11"/>
  <c r="H907" i="11"/>
  <c r="H908" i="11"/>
  <c r="H909" i="11"/>
  <c r="H910" i="11"/>
  <c r="H911" i="11"/>
  <c r="H912" i="11"/>
  <c r="H913" i="11"/>
  <c r="H914" i="11"/>
  <c r="H915" i="11"/>
  <c r="H916" i="11"/>
  <c r="H917" i="11"/>
  <c r="H918" i="11"/>
  <c r="H919" i="11"/>
  <c r="H920" i="11"/>
  <c r="H921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6" i="11"/>
  <c r="H947" i="11"/>
  <c r="H948" i="11"/>
  <c r="H949" i="11"/>
  <c r="H950" i="11"/>
  <c r="H951" i="11"/>
  <c r="H952" i="11"/>
  <c r="H953" i="11"/>
  <c r="H954" i="11"/>
  <c r="H955" i="11"/>
  <c r="H956" i="11"/>
  <c r="H957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H970" i="11"/>
  <c r="H971" i="11"/>
  <c r="H972" i="11"/>
  <c r="H973" i="11"/>
  <c r="H974" i="11"/>
  <c r="H975" i="11"/>
  <c r="H976" i="11"/>
  <c r="H977" i="11"/>
  <c r="H978" i="11"/>
  <c r="H979" i="11"/>
  <c r="H980" i="11"/>
  <c r="H981" i="11"/>
  <c r="H982" i="11"/>
  <c r="H983" i="11"/>
  <c r="H984" i="11"/>
  <c r="H985" i="11"/>
  <c r="H986" i="11"/>
  <c r="H987" i="11"/>
  <c r="H988" i="11"/>
  <c r="H989" i="11"/>
  <c r="H990" i="11"/>
  <c r="H991" i="11"/>
  <c r="H992" i="11"/>
  <c r="H993" i="11"/>
  <c r="H994" i="11"/>
  <c r="H995" i="11"/>
  <c r="H996" i="11"/>
  <c r="H997" i="11"/>
  <c r="H998" i="11"/>
  <c r="H999" i="11"/>
  <c r="H1000" i="11"/>
  <c r="H1001" i="11"/>
  <c r="H1002" i="11"/>
  <c r="H1003" i="11"/>
  <c r="H1004" i="11"/>
  <c r="H1005" i="11"/>
  <c r="H1006" i="11"/>
  <c r="H1007" i="11"/>
  <c r="H1008" i="11"/>
  <c r="H1009" i="11"/>
  <c r="H1010" i="11"/>
  <c r="H1011" i="11"/>
  <c r="H1012" i="11"/>
  <c r="H1013" i="11"/>
  <c r="H1014" i="11"/>
  <c r="H1015" i="11"/>
  <c r="H1016" i="11"/>
  <c r="H1017" i="11"/>
  <c r="H1018" i="11"/>
  <c r="H1019" i="11"/>
  <c r="H1020" i="11"/>
  <c r="H1021" i="11"/>
  <c r="H1022" i="11"/>
  <c r="H1023" i="11"/>
  <c r="H1024" i="11"/>
  <c r="H1025" i="11"/>
  <c r="H1026" i="11"/>
  <c r="H1027" i="11"/>
  <c r="H1028" i="11"/>
  <c r="H1029" i="11"/>
  <c r="H1030" i="11"/>
  <c r="H1031" i="11"/>
  <c r="H1032" i="11"/>
  <c r="H1033" i="11"/>
  <c r="H1034" i="11"/>
  <c r="H1035" i="11"/>
  <c r="H1036" i="11"/>
  <c r="H1037" i="11"/>
  <c r="H1038" i="11"/>
  <c r="H1039" i="11"/>
  <c r="H1040" i="11"/>
  <c r="H1041" i="11"/>
  <c r="H1042" i="11"/>
  <c r="H1043" i="11"/>
  <c r="H1044" i="11"/>
  <c r="H1045" i="11"/>
  <c r="H1046" i="11"/>
  <c r="H1047" i="11"/>
  <c r="H1048" i="11"/>
  <c r="H1049" i="11"/>
  <c r="H1050" i="11"/>
  <c r="H1051" i="11"/>
  <c r="H1052" i="11"/>
  <c r="H1053" i="11"/>
  <c r="H1054" i="11"/>
  <c r="H1055" i="11"/>
  <c r="H1056" i="11"/>
  <c r="H1057" i="11"/>
  <c r="H1058" i="11"/>
  <c r="H1059" i="11"/>
  <c r="H1060" i="11"/>
  <c r="H1061" i="11"/>
  <c r="H1062" i="11"/>
  <c r="H1063" i="11"/>
  <c r="H1064" i="11"/>
  <c r="H1065" i="11"/>
  <c r="H1066" i="11"/>
  <c r="H1067" i="11"/>
  <c r="H1068" i="11"/>
  <c r="H1069" i="11"/>
  <c r="H1070" i="11"/>
  <c r="H1071" i="11"/>
  <c r="H1072" i="11"/>
  <c r="H1073" i="11"/>
  <c r="H1074" i="11"/>
  <c r="H1075" i="11"/>
  <c r="H1076" i="11"/>
  <c r="H1077" i="11"/>
  <c r="H1078" i="11"/>
  <c r="H1079" i="11"/>
  <c r="H1080" i="11"/>
  <c r="H1081" i="11"/>
  <c r="H1082" i="11"/>
  <c r="H1083" i="11"/>
  <c r="H1084" i="11"/>
  <c r="H1085" i="11"/>
  <c r="H1086" i="11"/>
  <c r="H1087" i="11"/>
  <c r="H1088" i="11"/>
  <c r="H1089" i="11"/>
  <c r="H1090" i="11"/>
  <c r="H1091" i="11"/>
  <c r="H1092" i="11"/>
  <c r="H1093" i="11"/>
  <c r="H1094" i="11"/>
  <c r="H1095" i="11"/>
  <c r="H1096" i="11"/>
  <c r="H1097" i="11"/>
  <c r="H1098" i="11"/>
  <c r="H1099" i="11"/>
  <c r="H1100" i="11"/>
  <c r="H1101" i="11"/>
  <c r="H1102" i="11"/>
  <c r="H1103" i="11"/>
  <c r="H1104" i="11"/>
  <c r="H1105" i="11"/>
  <c r="H1106" i="11"/>
  <c r="H1107" i="11"/>
  <c r="H1108" i="11"/>
  <c r="H1109" i="11"/>
  <c r="H1110" i="11"/>
  <c r="H1111" i="11"/>
  <c r="H1112" i="11"/>
  <c r="H1113" i="11"/>
  <c r="H1114" i="11"/>
  <c r="H1115" i="11"/>
  <c r="H1116" i="11"/>
  <c r="H1117" i="11"/>
  <c r="H1118" i="11"/>
  <c r="H1119" i="11"/>
  <c r="H1120" i="11"/>
  <c r="H1121" i="11"/>
  <c r="H1122" i="11"/>
  <c r="H1123" i="11"/>
  <c r="H1124" i="11"/>
  <c r="H1125" i="11"/>
  <c r="H1126" i="11"/>
  <c r="H1127" i="11"/>
  <c r="H1128" i="11"/>
  <c r="H1129" i="11"/>
  <c r="H1130" i="11"/>
  <c r="H1131" i="11"/>
  <c r="H1132" i="11"/>
  <c r="H1133" i="11"/>
  <c r="H1134" i="11"/>
  <c r="H1135" i="11"/>
  <c r="H1136" i="11"/>
  <c r="H1137" i="11"/>
  <c r="H1138" i="11"/>
  <c r="H1139" i="11"/>
  <c r="H1140" i="11"/>
  <c r="H1141" i="11"/>
  <c r="H1142" i="11"/>
  <c r="H1143" i="11"/>
  <c r="H1144" i="11"/>
  <c r="H1145" i="11"/>
  <c r="H1146" i="11"/>
  <c r="H1147" i="11"/>
  <c r="H1148" i="11"/>
  <c r="H1149" i="11"/>
  <c r="H1150" i="11"/>
  <c r="H1151" i="11"/>
  <c r="H1152" i="11"/>
  <c r="H1153" i="11"/>
  <c r="H1154" i="11"/>
  <c r="H1155" i="11"/>
  <c r="H1156" i="11"/>
  <c r="H1157" i="11"/>
  <c r="H1158" i="11"/>
  <c r="H1159" i="11"/>
  <c r="H1160" i="11"/>
  <c r="H1161" i="11"/>
  <c r="H1162" i="11"/>
  <c r="H1163" i="11"/>
  <c r="H1164" i="11"/>
  <c r="H1165" i="11"/>
  <c r="H1166" i="11"/>
  <c r="H1167" i="11"/>
  <c r="H1168" i="11"/>
  <c r="H1169" i="11"/>
  <c r="H1170" i="11"/>
  <c r="H1171" i="11"/>
  <c r="H1172" i="11"/>
  <c r="H1173" i="11"/>
  <c r="H1174" i="11"/>
  <c r="H1175" i="11"/>
  <c r="H1176" i="11"/>
  <c r="H1177" i="11"/>
  <c r="H1178" i="11"/>
  <c r="H1179" i="11"/>
  <c r="H1180" i="11"/>
  <c r="H1181" i="11"/>
  <c r="H1182" i="11"/>
  <c r="H1183" i="11"/>
  <c r="H1184" i="11"/>
  <c r="H1185" i="11"/>
  <c r="H1186" i="11"/>
  <c r="H1187" i="11"/>
  <c r="H1188" i="11"/>
  <c r="H1189" i="11"/>
  <c r="H1190" i="11"/>
  <c r="H1191" i="11"/>
  <c r="H1192" i="11"/>
  <c r="H1193" i="11"/>
  <c r="H1194" i="11"/>
  <c r="H1195" i="11"/>
  <c r="H1196" i="11"/>
  <c r="H1197" i="11"/>
  <c r="H1198" i="11"/>
  <c r="H1199" i="11"/>
  <c r="H1200" i="11"/>
  <c r="H1201" i="11"/>
  <c r="H1202" i="11"/>
  <c r="H1203" i="11"/>
  <c r="H1204" i="11"/>
  <c r="H1205" i="11"/>
  <c r="H1206" i="11"/>
  <c r="H1207" i="11"/>
  <c r="H1208" i="11"/>
  <c r="H1209" i="11"/>
  <c r="H1210" i="11"/>
  <c r="H1211" i="11"/>
  <c r="H1212" i="11"/>
  <c r="H1213" i="11"/>
  <c r="H1214" i="11"/>
  <c r="H1215" i="11"/>
  <c r="H1216" i="11"/>
  <c r="H1217" i="11"/>
  <c r="H1218" i="11"/>
  <c r="H1219" i="11"/>
  <c r="H1220" i="11"/>
  <c r="H1221" i="11"/>
  <c r="H1222" i="11"/>
  <c r="H1223" i="11"/>
  <c r="H1224" i="11"/>
  <c r="H1225" i="11"/>
  <c r="H1226" i="11"/>
  <c r="H1227" i="11"/>
  <c r="H1228" i="11"/>
  <c r="H1229" i="11"/>
  <c r="H1230" i="11"/>
  <c r="H1231" i="11"/>
  <c r="H1232" i="11"/>
  <c r="H1233" i="11"/>
  <c r="H1234" i="11"/>
  <c r="H1235" i="11"/>
  <c r="H1236" i="11"/>
  <c r="H1237" i="11"/>
  <c r="H1238" i="11"/>
  <c r="H1239" i="11"/>
  <c r="H1240" i="11"/>
  <c r="H1241" i="11"/>
  <c r="H1242" i="11"/>
  <c r="H1243" i="11"/>
  <c r="H1244" i="11"/>
  <c r="H1245" i="11"/>
  <c r="H1246" i="11"/>
  <c r="H1247" i="11"/>
  <c r="H1248" i="11"/>
  <c r="H1249" i="11"/>
  <c r="H1250" i="11"/>
  <c r="H1251" i="11"/>
  <c r="H1252" i="11"/>
  <c r="H1253" i="11"/>
  <c r="H1254" i="11"/>
  <c r="H1255" i="11"/>
  <c r="H1256" i="11"/>
  <c r="H1257" i="11"/>
  <c r="H1258" i="11"/>
  <c r="H1259" i="11"/>
  <c r="H1260" i="11"/>
  <c r="H1261" i="11"/>
  <c r="H1262" i="11"/>
  <c r="H1263" i="11"/>
  <c r="H1264" i="11"/>
  <c r="H1265" i="11"/>
  <c r="H1266" i="11"/>
  <c r="H1267" i="11"/>
  <c r="H1268" i="11"/>
  <c r="H1269" i="11"/>
  <c r="H1270" i="11"/>
  <c r="H1271" i="11"/>
  <c r="H1272" i="11"/>
  <c r="H1273" i="11"/>
  <c r="H1274" i="11"/>
  <c r="H1275" i="11"/>
  <c r="H1276" i="11"/>
  <c r="H1277" i="11"/>
  <c r="H1278" i="11"/>
  <c r="H1279" i="11"/>
  <c r="H1280" i="11"/>
  <c r="H1281" i="11"/>
  <c r="H1282" i="11"/>
  <c r="H1283" i="11"/>
  <c r="H1284" i="11"/>
  <c r="H1285" i="11"/>
  <c r="H1286" i="11"/>
  <c r="H1287" i="11"/>
  <c r="H1288" i="11"/>
  <c r="H1289" i="11"/>
  <c r="H1290" i="11"/>
  <c r="H1291" i="11"/>
  <c r="H1292" i="11"/>
  <c r="H1293" i="11"/>
  <c r="H1294" i="11"/>
  <c r="H1295" i="11"/>
  <c r="H1296" i="11"/>
  <c r="H1297" i="11"/>
  <c r="H1298" i="11"/>
  <c r="H1299" i="11"/>
  <c r="H1300" i="11"/>
  <c r="H1301" i="11"/>
  <c r="H1302" i="11"/>
  <c r="H1303" i="11"/>
  <c r="H1304" i="11"/>
  <c r="H1305" i="11"/>
  <c r="H1306" i="11"/>
  <c r="H1307" i="11"/>
  <c r="H1308" i="11"/>
  <c r="H1309" i="11"/>
  <c r="H1310" i="11"/>
  <c r="H1311" i="11"/>
  <c r="H1312" i="11"/>
  <c r="H1313" i="11"/>
  <c r="H1314" i="11"/>
  <c r="H1315" i="11"/>
  <c r="H1316" i="11"/>
  <c r="H1317" i="11"/>
  <c r="H1318" i="11"/>
  <c r="H1319" i="11"/>
  <c r="H1320" i="11"/>
  <c r="H1321" i="11"/>
  <c r="H1322" i="11"/>
  <c r="H1323" i="11"/>
  <c r="H1324" i="11"/>
  <c r="H1325" i="11"/>
  <c r="H1326" i="11"/>
  <c r="H1327" i="11"/>
  <c r="H1328" i="11"/>
  <c r="H1329" i="11"/>
  <c r="H1330" i="11"/>
  <c r="H1331" i="11"/>
  <c r="H1332" i="11"/>
  <c r="H1333" i="11"/>
  <c r="H1334" i="11"/>
  <c r="H1335" i="11"/>
  <c r="H1336" i="11"/>
  <c r="H1337" i="11"/>
  <c r="H1338" i="11"/>
  <c r="H1339" i="11"/>
  <c r="H1340" i="11"/>
  <c r="H1341" i="11"/>
  <c r="H1342" i="11"/>
  <c r="H1343" i="11"/>
  <c r="H1344" i="11"/>
  <c r="H1345" i="11"/>
  <c r="H1346" i="11"/>
  <c r="H1347" i="11"/>
  <c r="H1348" i="11"/>
  <c r="H1349" i="11"/>
  <c r="H1350" i="11"/>
  <c r="H1351" i="11"/>
  <c r="H1352" i="11"/>
  <c r="H1353" i="11"/>
  <c r="H1354" i="11"/>
  <c r="H1355" i="11"/>
  <c r="H1356" i="11"/>
  <c r="H1357" i="11"/>
  <c r="H1358" i="11"/>
  <c r="H1359" i="11"/>
  <c r="H1360" i="11"/>
  <c r="H1361" i="11"/>
  <c r="H1362" i="11"/>
  <c r="H1363" i="11"/>
  <c r="H1364" i="11"/>
  <c r="H1365" i="11"/>
  <c r="H1366" i="11"/>
  <c r="H1367" i="11"/>
  <c r="H1368" i="11"/>
  <c r="H1369" i="11"/>
  <c r="H1370" i="11"/>
  <c r="H1371" i="11"/>
  <c r="H1372" i="11"/>
  <c r="H1373" i="11"/>
  <c r="H1374" i="11"/>
  <c r="H1375" i="11"/>
  <c r="H1376" i="11"/>
  <c r="H1377" i="11"/>
  <c r="H1378" i="11"/>
  <c r="H1379" i="11"/>
  <c r="H1380" i="11"/>
  <c r="H1381" i="11"/>
  <c r="H1382" i="11"/>
  <c r="H1383" i="11"/>
  <c r="H1384" i="11"/>
  <c r="H1385" i="11"/>
  <c r="H1386" i="11"/>
  <c r="H1387" i="11"/>
  <c r="H1388" i="11"/>
  <c r="H1389" i="11"/>
  <c r="H1390" i="11"/>
  <c r="H1391" i="11"/>
  <c r="H1392" i="11"/>
  <c r="H1393" i="11"/>
  <c r="H1394" i="11"/>
  <c r="H1395" i="11"/>
  <c r="H1396" i="11"/>
  <c r="H1397" i="11"/>
  <c r="H1398" i="11"/>
  <c r="H1399" i="11"/>
  <c r="H1400" i="11"/>
  <c r="H1401" i="11"/>
  <c r="H1402" i="11"/>
  <c r="H1403" i="11"/>
  <c r="H1404" i="11"/>
  <c r="H1405" i="11"/>
  <c r="H1406" i="11"/>
  <c r="H1407" i="11"/>
  <c r="H1408" i="11"/>
  <c r="H1409" i="11"/>
  <c r="H1410" i="11"/>
  <c r="H1411" i="11"/>
  <c r="H1412" i="11"/>
  <c r="H1413" i="11"/>
  <c r="H1414" i="11"/>
  <c r="H1415" i="11"/>
  <c r="H1416" i="11"/>
  <c r="H1417" i="11"/>
  <c r="H1418" i="11"/>
  <c r="H1419" i="11"/>
  <c r="H1420" i="11"/>
  <c r="H1421" i="11"/>
  <c r="H1422" i="11"/>
  <c r="H1423" i="11"/>
  <c r="H1424" i="11"/>
  <c r="H1425" i="11"/>
  <c r="H1426" i="11"/>
  <c r="H1427" i="11"/>
  <c r="H1428" i="11"/>
  <c r="H1429" i="11"/>
  <c r="H1430" i="11"/>
  <c r="H1431" i="11"/>
  <c r="H1432" i="11"/>
  <c r="H1433" i="11"/>
  <c r="H1434" i="11"/>
  <c r="H1435" i="11"/>
  <c r="H1436" i="11"/>
  <c r="H1437" i="11"/>
  <c r="H1438" i="11"/>
  <c r="H1439" i="11"/>
  <c r="H1440" i="11"/>
  <c r="H1441" i="11"/>
  <c r="H1442" i="11"/>
  <c r="H1443" i="11"/>
  <c r="H1444" i="11"/>
  <c r="H1445" i="11"/>
  <c r="H1446" i="11"/>
  <c r="H1447" i="11"/>
  <c r="H1448" i="11"/>
  <c r="H1449" i="11"/>
  <c r="H1450" i="11"/>
  <c r="H1451" i="11"/>
  <c r="H1452" i="11"/>
  <c r="H1453" i="11"/>
  <c r="H1454" i="11"/>
  <c r="H1455" i="11"/>
  <c r="H1456" i="11"/>
  <c r="H1457" i="11"/>
  <c r="H1458" i="11"/>
  <c r="H1459" i="11"/>
  <c r="H1460" i="11"/>
  <c r="H1461" i="11"/>
  <c r="H1462" i="11"/>
  <c r="H1463" i="11"/>
  <c r="H1464" i="11"/>
  <c r="H1465" i="11"/>
  <c r="H1466" i="11"/>
  <c r="H1467" i="11"/>
  <c r="H1468" i="11"/>
  <c r="H1469" i="11"/>
  <c r="H1470" i="11"/>
  <c r="H1471" i="11"/>
  <c r="H1472" i="11"/>
  <c r="H1473" i="11"/>
  <c r="H1474" i="11"/>
  <c r="H1475" i="11"/>
  <c r="H1476" i="11"/>
  <c r="H1477" i="11"/>
  <c r="H1478" i="11"/>
  <c r="H1479" i="11"/>
  <c r="H1480" i="11"/>
  <c r="H1481" i="11"/>
  <c r="H1482" i="11"/>
  <c r="H1483" i="11"/>
  <c r="H1484" i="11"/>
  <c r="H1485" i="11"/>
  <c r="H1486" i="11"/>
  <c r="H1487" i="11"/>
  <c r="H1488" i="11"/>
  <c r="H1489" i="11"/>
  <c r="H1490" i="11"/>
  <c r="H1491" i="11"/>
  <c r="H1492" i="11"/>
  <c r="H1493" i="11"/>
  <c r="H1494" i="11"/>
  <c r="H1495" i="11"/>
  <c r="H1496" i="11"/>
  <c r="H1497" i="11"/>
  <c r="H1498" i="11"/>
  <c r="H1499" i="11"/>
  <c r="H1500" i="11"/>
  <c r="H1501" i="11"/>
  <c r="H1502" i="11"/>
  <c r="H1503" i="11"/>
  <c r="H1504" i="11"/>
  <c r="H1505" i="11"/>
  <c r="H1506" i="11"/>
  <c r="H1507" i="11"/>
  <c r="H1508" i="11"/>
  <c r="H1509" i="11"/>
  <c r="H1510" i="11"/>
  <c r="H1511" i="11"/>
  <c r="H1512" i="11"/>
  <c r="H1513" i="11"/>
  <c r="H1514" i="11"/>
  <c r="H1515" i="11"/>
  <c r="H1516" i="11"/>
  <c r="H1517" i="11"/>
  <c r="H1518" i="11"/>
  <c r="H1519" i="11"/>
  <c r="H1520" i="11"/>
  <c r="H1521" i="11"/>
  <c r="H1522" i="11"/>
  <c r="H1523" i="11"/>
  <c r="H1524" i="11"/>
  <c r="H1525" i="11"/>
  <c r="H1526" i="11"/>
  <c r="H1527" i="11"/>
  <c r="H1528" i="11"/>
  <c r="H1529" i="11"/>
  <c r="H1530" i="11"/>
  <c r="H1531" i="11"/>
  <c r="H1532" i="11"/>
  <c r="H1533" i="11"/>
  <c r="H1534" i="11"/>
  <c r="H1535" i="11"/>
  <c r="H1536" i="11"/>
  <c r="H1537" i="11"/>
  <c r="H1538" i="11"/>
  <c r="H1539" i="11"/>
  <c r="H1540" i="11"/>
  <c r="H1541" i="11"/>
  <c r="H1542" i="11"/>
  <c r="H1543" i="11"/>
  <c r="H1544" i="11"/>
  <c r="H1545" i="11"/>
  <c r="H1546" i="11"/>
  <c r="H1547" i="11"/>
  <c r="H1548" i="11"/>
  <c r="H1549" i="11"/>
  <c r="H1550" i="11"/>
  <c r="H1551" i="11"/>
  <c r="H1552" i="11"/>
  <c r="H1553" i="11"/>
  <c r="H1554" i="11"/>
  <c r="H1555" i="11"/>
  <c r="H1556" i="11"/>
  <c r="H1557" i="11"/>
  <c r="H1558" i="11"/>
  <c r="H1559" i="11"/>
  <c r="H1560" i="11"/>
  <c r="H1561" i="11"/>
  <c r="H1562" i="11"/>
  <c r="H1563" i="11"/>
  <c r="H1564" i="11"/>
  <c r="H1565" i="11"/>
  <c r="H1566" i="11"/>
  <c r="H1567" i="11"/>
  <c r="H1568" i="11"/>
  <c r="H1569" i="11"/>
  <c r="H1570" i="11"/>
  <c r="H1571" i="11"/>
  <c r="H1572" i="11"/>
  <c r="H1573" i="11"/>
  <c r="H1574" i="11"/>
  <c r="H1575" i="11"/>
  <c r="H1576" i="11"/>
  <c r="H1577" i="11"/>
  <c r="H1578" i="11"/>
  <c r="H1579" i="11"/>
  <c r="H1580" i="11"/>
  <c r="H1581" i="11"/>
  <c r="H1582" i="11"/>
  <c r="H1583" i="11"/>
  <c r="H1584" i="11"/>
  <c r="H1585" i="11"/>
  <c r="H1586" i="11"/>
  <c r="H1587" i="11"/>
  <c r="H1588" i="11"/>
  <c r="H1589" i="11"/>
  <c r="H1590" i="11"/>
  <c r="H1591" i="11"/>
  <c r="H1592" i="11"/>
  <c r="H1593" i="11"/>
  <c r="H1594" i="11"/>
  <c r="H1595" i="11"/>
  <c r="H1596" i="11"/>
  <c r="H1597" i="11"/>
  <c r="H1598" i="11"/>
  <c r="H1599" i="11"/>
  <c r="H1600" i="11"/>
  <c r="H1601" i="11"/>
  <c r="H1602" i="11"/>
  <c r="H1603" i="11"/>
  <c r="H1604" i="11"/>
  <c r="H1605" i="11"/>
  <c r="H1606" i="11"/>
  <c r="H1607" i="11"/>
  <c r="H1608" i="11"/>
  <c r="H1609" i="11"/>
  <c r="H1610" i="11"/>
  <c r="H1611" i="11"/>
  <c r="H1612" i="11"/>
  <c r="H1613" i="11"/>
  <c r="H1614" i="11"/>
  <c r="H1615" i="11"/>
  <c r="H1616" i="11"/>
  <c r="H1617" i="11"/>
  <c r="H1618" i="11"/>
  <c r="H1619" i="11"/>
  <c r="H1620" i="11"/>
  <c r="H1621" i="11"/>
  <c r="H1622" i="11"/>
  <c r="H1623" i="11"/>
  <c r="H1624" i="11"/>
  <c r="H1625" i="11"/>
  <c r="H1626" i="11"/>
  <c r="H1627" i="11"/>
  <c r="H1628" i="11"/>
  <c r="H1629" i="11"/>
  <c r="H1630" i="11"/>
  <c r="H1631" i="11"/>
  <c r="H1632" i="11"/>
  <c r="H1633" i="11"/>
  <c r="H1634" i="11"/>
  <c r="H1635" i="11"/>
  <c r="H1636" i="11"/>
  <c r="H1637" i="11"/>
  <c r="H1638" i="11"/>
  <c r="H1639" i="11"/>
  <c r="H1640" i="11"/>
  <c r="H1641" i="11"/>
  <c r="H1642" i="11"/>
  <c r="H1643" i="11"/>
  <c r="H1644" i="11"/>
  <c r="H1645" i="11"/>
  <c r="H1646" i="11"/>
  <c r="H1647" i="11"/>
  <c r="H1648" i="11"/>
  <c r="H1649" i="11"/>
  <c r="H1650" i="11"/>
  <c r="H1651" i="11"/>
  <c r="H1652" i="11"/>
  <c r="H1653" i="11"/>
  <c r="H1654" i="11"/>
  <c r="H1655" i="11"/>
  <c r="H1656" i="11"/>
  <c r="H1657" i="11"/>
  <c r="H1658" i="11"/>
  <c r="H1659" i="11"/>
  <c r="H1660" i="11"/>
  <c r="H1661" i="11"/>
  <c r="H1662" i="11"/>
  <c r="H1663" i="11"/>
  <c r="H1664" i="11"/>
  <c r="H1665" i="11"/>
  <c r="H1666" i="11"/>
  <c r="H1667" i="11"/>
  <c r="H1668" i="11"/>
  <c r="H1669" i="11"/>
  <c r="H1670" i="11"/>
  <c r="H1671" i="11"/>
  <c r="H1672" i="11"/>
  <c r="H1673" i="11"/>
  <c r="H1674" i="11"/>
  <c r="H1675" i="11"/>
  <c r="H1676" i="11"/>
  <c r="H1677" i="11"/>
  <c r="H1678" i="11"/>
  <c r="H1679" i="11"/>
  <c r="H1680" i="11"/>
  <c r="H1681" i="11"/>
  <c r="H1682" i="11"/>
  <c r="H1683" i="11"/>
  <c r="H1684" i="11"/>
  <c r="H1685" i="11"/>
  <c r="H1686" i="11"/>
  <c r="H1687" i="11"/>
  <c r="H1688" i="11"/>
  <c r="H1689" i="11"/>
  <c r="H1690" i="11"/>
  <c r="H1691" i="11"/>
  <c r="H1692" i="11"/>
  <c r="H1693" i="11"/>
  <c r="H1694" i="11"/>
  <c r="H1695" i="11"/>
  <c r="H1696" i="11"/>
  <c r="H1697" i="11"/>
  <c r="H1698" i="11"/>
  <c r="H1699" i="11"/>
  <c r="H1700" i="11"/>
  <c r="H1701" i="11"/>
  <c r="H1702" i="11"/>
  <c r="H1703" i="11"/>
  <c r="H1704" i="11"/>
  <c r="H1705" i="11"/>
  <c r="H1706" i="11"/>
  <c r="H1707" i="11"/>
  <c r="H1708" i="11"/>
  <c r="H1709" i="11"/>
  <c r="H1710" i="11"/>
  <c r="H1711" i="11"/>
  <c r="H1712" i="11"/>
  <c r="H1713" i="11"/>
  <c r="H1714" i="11"/>
  <c r="H1715" i="11"/>
  <c r="H1716" i="11"/>
  <c r="H1717" i="11"/>
  <c r="H1718" i="11"/>
  <c r="H1719" i="11"/>
  <c r="H1720" i="11"/>
  <c r="H1721" i="11"/>
  <c r="H1722" i="11"/>
  <c r="H1723" i="11"/>
  <c r="H1724" i="11"/>
  <c r="H1725" i="11"/>
  <c r="H1726" i="11"/>
  <c r="H1727" i="11"/>
  <c r="H1728" i="11"/>
  <c r="H1729" i="11"/>
  <c r="H1730" i="11"/>
  <c r="H1731" i="11"/>
  <c r="H1732" i="11"/>
  <c r="H1733" i="11"/>
  <c r="H1734" i="11"/>
  <c r="H1735" i="11"/>
  <c r="H1736" i="11"/>
  <c r="H1737" i="11"/>
  <c r="H1738" i="11"/>
  <c r="H1739" i="11"/>
  <c r="H1740" i="11"/>
  <c r="H1741" i="11"/>
  <c r="H1742" i="11"/>
  <c r="H1743" i="11"/>
  <c r="H1744" i="11"/>
  <c r="H1745" i="11"/>
  <c r="H1746" i="11"/>
  <c r="H1747" i="11"/>
  <c r="H1748" i="11"/>
  <c r="H1749" i="11"/>
  <c r="H1750" i="11"/>
  <c r="H1751" i="11"/>
  <c r="H1752" i="11"/>
  <c r="H1753" i="11"/>
  <c r="H1754" i="11"/>
  <c r="H1755" i="11"/>
  <c r="H1756" i="11"/>
  <c r="H1757" i="11"/>
  <c r="H1758" i="11"/>
  <c r="H1759" i="11"/>
  <c r="H1760" i="11"/>
  <c r="H1761" i="11"/>
  <c r="H1762" i="11"/>
  <c r="H1763" i="11"/>
  <c r="H1764" i="11"/>
  <c r="H1765" i="11"/>
  <c r="H1766" i="11"/>
  <c r="H1767" i="11"/>
  <c r="H1768" i="11"/>
  <c r="H1769" i="11"/>
  <c r="H1770" i="11"/>
  <c r="H1771" i="11"/>
  <c r="H1772" i="11"/>
  <c r="H1773" i="11"/>
  <c r="H1774" i="11"/>
  <c r="H1775" i="11"/>
  <c r="H1776" i="11"/>
  <c r="H1777" i="11"/>
  <c r="H1778" i="11"/>
  <c r="H1779" i="11"/>
  <c r="H1780" i="11"/>
  <c r="H1781" i="11"/>
  <c r="H1782" i="11"/>
  <c r="H1783" i="11"/>
  <c r="H1784" i="11"/>
  <c r="H1785" i="11"/>
  <c r="H1786" i="11"/>
  <c r="H1787" i="11"/>
  <c r="H1788" i="11"/>
  <c r="H1789" i="11"/>
  <c r="H1790" i="11"/>
  <c r="H1791" i="11"/>
  <c r="H1792" i="11"/>
  <c r="H1793" i="11"/>
  <c r="H1794" i="11"/>
  <c r="H1795" i="11"/>
  <c r="H1796" i="11"/>
  <c r="H1797" i="11"/>
  <c r="H1798" i="11"/>
  <c r="H1799" i="11"/>
  <c r="H1800" i="11"/>
  <c r="H1801" i="11"/>
  <c r="H1802" i="11"/>
  <c r="H1803" i="11"/>
  <c r="H1804" i="11"/>
  <c r="H1805" i="11"/>
  <c r="H1806" i="11"/>
  <c r="H1807" i="11"/>
  <c r="H1808" i="11"/>
  <c r="H1809" i="11"/>
  <c r="H1810" i="11"/>
  <c r="H1811" i="11"/>
  <c r="H1812" i="11"/>
  <c r="H1813" i="11"/>
  <c r="H1814" i="11"/>
  <c r="H1815" i="11"/>
  <c r="H1816" i="11"/>
  <c r="H1817" i="11"/>
  <c r="H1818" i="11"/>
  <c r="H1819" i="11"/>
  <c r="H1820" i="11"/>
  <c r="H1821" i="11"/>
  <c r="H1822" i="11"/>
  <c r="H1823" i="11"/>
  <c r="H1824" i="11"/>
  <c r="H1825" i="11"/>
  <c r="H1826" i="11"/>
  <c r="H1827" i="11"/>
  <c r="H1828" i="11"/>
  <c r="H1829" i="11"/>
  <c r="H1830" i="11"/>
  <c r="H1831" i="11"/>
  <c r="H1832" i="11"/>
  <c r="H1833" i="11"/>
  <c r="H1834" i="11"/>
  <c r="H1835" i="11"/>
  <c r="H1836" i="11"/>
  <c r="H1837" i="11"/>
  <c r="H1838" i="11"/>
  <c r="H1839" i="11"/>
  <c r="H1840" i="11"/>
  <c r="H1841" i="11"/>
  <c r="H1842" i="11"/>
  <c r="H1843" i="11"/>
  <c r="H1844" i="11"/>
  <c r="H1845" i="11"/>
  <c r="H1846" i="11"/>
  <c r="H1847" i="11"/>
  <c r="H1848" i="11"/>
  <c r="H1849" i="11"/>
  <c r="H1850" i="11"/>
  <c r="H1851" i="11"/>
  <c r="H1852" i="11"/>
  <c r="H1853" i="11"/>
  <c r="H1854" i="11"/>
  <c r="H1855" i="11"/>
  <c r="H1856" i="11"/>
  <c r="H1857" i="11"/>
  <c r="H1858" i="11"/>
  <c r="H1859" i="11"/>
  <c r="H1860" i="11"/>
  <c r="H1861" i="11"/>
  <c r="H1862" i="11"/>
  <c r="H1863" i="11"/>
  <c r="H1864" i="11"/>
  <c r="H1865" i="11"/>
  <c r="H1866" i="11"/>
  <c r="H1867" i="11"/>
  <c r="H1868" i="11"/>
  <c r="H1869" i="11"/>
  <c r="H1870" i="11"/>
  <c r="H1871" i="11"/>
  <c r="H1872" i="11"/>
  <c r="H1873" i="11"/>
  <c r="H1874" i="11"/>
  <c r="H1875" i="11"/>
  <c r="H1876" i="11"/>
  <c r="H1877" i="11"/>
  <c r="H1878" i="11"/>
  <c r="H1879" i="11"/>
  <c r="H1880" i="11"/>
  <c r="H1881" i="11"/>
  <c r="H1882" i="11"/>
  <c r="H1883" i="11"/>
  <c r="H1884" i="11"/>
  <c r="H1885" i="11"/>
  <c r="H1886" i="11"/>
  <c r="H1887" i="11"/>
  <c r="H1888" i="11"/>
  <c r="H1889" i="11"/>
  <c r="H1890" i="11"/>
  <c r="H1891" i="11"/>
  <c r="H1892" i="11"/>
  <c r="H1893" i="11"/>
  <c r="H1894" i="11"/>
  <c r="H1895" i="11"/>
  <c r="H1896" i="11"/>
  <c r="H1897" i="11"/>
  <c r="H1898" i="11"/>
  <c r="H1899" i="11"/>
  <c r="H1900" i="11"/>
  <c r="H1901" i="11"/>
  <c r="H1902" i="11"/>
  <c r="H1903" i="11"/>
  <c r="H1904" i="11"/>
  <c r="H1905" i="11"/>
  <c r="H1906" i="11"/>
  <c r="H1907" i="11"/>
  <c r="H1908" i="11"/>
  <c r="H1909" i="11"/>
  <c r="H1910" i="11"/>
  <c r="H1911" i="11"/>
  <c r="H1912" i="11"/>
  <c r="H1913" i="11"/>
  <c r="H1914" i="11"/>
  <c r="H1915" i="11"/>
  <c r="H1916" i="11"/>
  <c r="H1917" i="11"/>
  <c r="H1918" i="11"/>
  <c r="H1919" i="11"/>
  <c r="H1920" i="11"/>
  <c r="H1921" i="11"/>
  <c r="H1922" i="11"/>
  <c r="H1923" i="11"/>
  <c r="H1924" i="11"/>
  <c r="H1925" i="11"/>
  <c r="H1926" i="11"/>
  <c r="H1927" i="11"/>
  <c r="H1928" i="11"/>
  <c r="H1929" i="11"/>
  <c r="H1930" i="11"/>
  <c r="H1931" i="11"/>
  <c r="H1932" i="11"/>
  <c r="H1933" i="11"/>
  <c r="H1934" i="11"/>
  <c r="H1935" i="11"/>
  <c r="H1936" i="11"/>
  <c r="H1937" i="11"/>
  <c r="H1938" i="11"/>
  <c r="H1939" i="11"/>
  <c r="H1940" i="11"/>
  <c r="H1941" i="11"/>
  <c r="H1942" i="11"/>
  <c r="H1943" i="11"/>
  <c r="H1944" i="11"/>
  <c r="H1945" i="11"/>
  <c r="H1946" i="11"/>
  <c r="H1947" i="11"/>
  <c r="H1948" i="11"/>
  <c r="H1949" i="11"/>
  <c r="H1950" i="11"/>
  <c r="H1951" i="11"/>
  <c r="H1952" i="11"/>
  <c r="H1953" i="11"/>
  <c r="H1954" i="11"/>
  <c r="H1955" i="11"/>
  <c r="H1956" i="11"/>
  <c r="H1957" i="11"/>
  <c r="H1958" i="11"/>
  <c r="H1959" i="11"/>
  <c r="H1960" i="11"/>
  <c r="H1961" i="11"/>
  <c r="H1962" i="11"/>
  <c r="H1963" i="11"/>
  <c r="H1964" i="11"/>
  <c r="H1965" i="11"/>
  <c r="H1966" i="11"/>
  <c r="H1967" i="11"/>
  <c r="H1968" i="11"/>
  <c r="H1969" i="11"/>
  <c r="H1970" i="11"/>
  <c r="H1971" i="11"/>
  <c r="H1972" i="11"/>
  <c r="H1973" i="11"/>
  <c r="H1974" i="11"/>
  <c r="H1975" i="11"/>
  <c r="H1976" i="11"/>
  <c r="H1977" i="11"/>
  <c r="H1978" i="11"/>
  <c r="H1979" i="11"/>
  <c r="H1980" i="11"/>
  <c r="H1981" i="11"/>
  <c r="H1982" i="11"/>
  <c r="H1983" i="11"/>
  <c r="H1984" i="11"/>
  <c r="H1985" i="11"/>
  <c r="H1986" i="11"/>
  <c r="H1987" i="11"/>
  <c r="H1988" i="11"/>
  <c r="H1989" i="11"/>
  <c r="H1990" i="11"/>
  <c r="H1991" i="11"/>
  <c r="H1992" i="11"/>
  <c r="H1993" i="11"/>
  <c r="H1994" i="11"/>
  <c r="H1995" i="11"/>
  <c r="H1996" i="11"/>
  <c r="H1997" i="11"/>
  <c r="H1998" i="11"/>
  <c r="H1999" i="11"/>
  <c r="H2000" i="11"/>
  <c r="H2001" i="11"/>
  <c r="H2002" i="11"/>
  <c r="H2003" i="11"/>
  <c r="H2004" i="11"/>
  <c r="H2005" i="11"/>
  <c r="H2006" i="11"/>
  <c r="H2007" i="11"/>
  <c r="H2008" i="11"/>
  <c r="H2009" i="11"/>
  <c r="H2010" i="11"/>
  <c r="H2011" i="11"/>
  <c r="H2012" i="11"/>
  <c r="H2013" i="11"/>
  <c r="H2014" i="11"/>
  <c r="H2015" i="11"/>
  <c r="H2016" i="11"/>
  <c r="H2017" i="11"/>
  <c r="H2018" i="11"/>
  <c r="H2019" i="11"/>
  <c r="H2020" i="11"/>
  <c r="H2021" i="11"/>
  <c r="H2022" i="11"/>
  <c r="H2023" i="11"/>
  <c r="H2024" i="11"/>
  <c r="H2025" i="11"/>
  <c r="H2026" i="11"/>
  <c r="H2027" i="11"/>
  <c r="H2028" i="11"/>
  <c r="H2029" i="11"/>
  <c r="H2030" i="11"/>
  <c r="H2031" i="11"/>
  <c r="H2032" i="11"/>
  <c r="H2033" i="11"/>
  <c r="H2034" i="11"/>
  <c r="H2035" i="11"/>
  <c r="H2036" i="11"/>
  <c r="H2037" i="11"/>
  <c r="H2038" i="11"/>
  <c r="H2039" i="11"/>
  <c r="H2040" i="11"/>
  <c r="H2041" i="11"/>
  <c r="H2042" i="11"/>
  <c r="H2043" i="11"/>
  <c r="H2044" i="11"/>
  <c r="H2045" i="11"/>
  <c r="H2046" i="11"/>
  <c r="H2047" i="11"/>
  <c r="H2048" i="11"/>
  <c r="H2049" i="11"/>
  <c r="H2050" i="11"/>
  <c r="H2051" i="11"/>
  <c r="H2052" i="11"/>
  <c r="H2053" i="11"/>
  <c r="H2054" i="11"/>
  <c r="H2055" i="11"/>
  <c r="H2056" i="11"/>
  <c r="H2057" i="11"/>
  <c r="H2058" i="11"/>
  <c r="H2059" i="11"/>
  <c r="H2060" i="11"/>
  <c r="H2061" i="11"/>
  <c r="H2062" i="11"/>
  <c r="H2063" i="11"/>
  <c r="H2064" i="11"/>
  <c r="H2065" i="11"/>
  <c r="H2066" i="11"/>
  <c r="H2067" i="11"/>
  <c r="H2068" i="11"/>
  <c r="H2069" i="11"/>
  <c r="H2070" i="11"/>
  <c r="H2071" i="11"/>
  <c r="H2072" i="11"/>
  <c r="H2073" i="11"/>
  <c r="H2074" i="11"/>
  <c r="H2075" i="11"/>
  <c r="H2076" i="11"/>
  <c r="H2077" i="11"/>
  <c r="I266" i="11" l="1"/>
  <c r="I267" i="11" s="1"/>
  <c r="B265" i="11"/>
  <c r="A509" i="11"/>
  <c r="A510" i="11" s="1"/>
  <c r="B264" i="11"/>
  <c r="B266" i="11" l="1"/>
  <c r="A511" i="11"/>
  <c r="A512" i="11" s="1"/>
  <c r="I268" i="11"/>
  <c r="B267" i="11"/>
  <c r="A513" i="11" l="1"/>
  <c r="A514" i="11" s="1"/>
  <c r="A515" i="11" s="1"/>
  <c r="A516" i="11" s="1"/>
  <c r="A517" i="11" s="1"/>
  <c r="A518" i="11" s="1"/>
  <c r="A519" i="11" s="1"/>
  <c r="A520" i="11" s="1"/>
  <c r="A521" i="11" s="1"/>
  <c r="A522" i="11" s="1"/>
  <c r="A523" i="11" s="1"/>
  <c r="A524" i="11" s="1"/>
  <c r="A525" i="11" s="1"/>
  <c r="A526" i="11" s="1"/>
  <c r="A527" i="11" s="1"/>
  <c r="A528" i="11" s="1"/>
  <c r="A529" i="11" s="1"/>
  <c r="A530" i="11" s="1"/>
  <c r="A531" i="11" s="1"/>
  <c r="A532" i="11" s="1"/>
  <c r="A533" i="11" s="1"/>
  <c r="A534" i="11" s="1"/>
  <c r="A535" i="11" s="1"/>
  <c r="A536" i="11" s="1"/>
  <c r="A537" i="11" s="1"/>
  <c r="A538" i="11" s="1"/>
  <c r="A539" i="11" s="1"/>
  <c r="A540" i="11" s="1"/>
  <c r="A541" i="11" s="1"/>
  <c r="A542" i="11" s="1"/>
  <c r="A543" i="11" s="1"/>
  <c r="A544" i="11" s="1"/>
  <c r="A545" i="11" s="1"/>
  <c r="A546" i="11" s="1"/>
  <c r="A547" i="11" s="1"/>
  <c r="A548" i="11" s="1"/>
  <c r="A549" i="11" s="1"/>
  <c r="A550" i="11" s="1"/>
  <c r="A551" i="11" s="1"/>
  <c r="A552" i="11" s="1"/>
  <c r="A553" i="11" s="1"/>
  <c r="A554" i="11" s="1"/>
  <c r="A555" i="11" s="1"/>
  <c r="A556" i="11" s="1"/>
  <c r="A557" i="11" s="1"/>
  <c r="A558" i="11" s="1"/>
  <c r="A559" i="11" s="1"/>
  <c r="A560" i="11" s="1"/>
  <c r="A561" i="11" s="1"/>
  <c r="A562" i="11" s="1"/>
  <c r="A563" i="11" s="1"/>
  <c r="A564" i="11" s="1"/>
  <c r="A565" i="11" s="1"/>
  <c r="A566" i="11" s="1"/>
  <c r="A567" i="11" s="1"/>
  <c r="A568" i="11" s="1"/>
  <c r="A569" i="11" s="1"/>
  <c r="A570" i="11" s="1"/>
  <c r="A571" i="11" s="1"/>
  <c r="A572" i="11" s="1"/>
  <c r="A573" i="11" s="1"/>
  <c r="A574" i="11" s="1"/>
  <c r="A575" i="11" s="1"/>
  <c r="A576" i="11" s="1"/>
  <c r="A577" i="11" s="1"/>
  <c r="A578" i="11" s="1"/>
  <c r="A579" i="11" s="1"/>
  <c r="A580" i="11" s="1"/>
  <c r="A581" i="11" s="1"/>
  <c r="A582" i="11" s="1"/>
  <c r="A583" i="11" s="1"/>
  <c r="A584" i="11" s="1"/>
  <c r="A585" i="11" s="1"/>
  <c r="A586" i="11" s="1"/>
  <c r="A587" i="11" s="1"/>
  <c r="A588" i="11" s="1"/>
  <c r="A589" i="11" s="1"/>
  <c r="A590" i="11" s="1"/>
  <c r="A591" i="11" s="1"/>
  <c r="A592" i="11" s="1"/>
  <c r="A593" i="11" s="1"/>
  <c r="A594" i="11" s="1"/>
  <c r="A595" i="11" s="1"/>
  <c r="A596" i="11" s="1"/>
  <c r="A597" i="11" s="1"/>
  <c r="A598" i="11" s="1"/>
  <c r="A599" i="11" s="1"/>
  <c r="A600" i="11" s="1"/>
  <c r="A601" i="11" s="1"/>
  <c r="A602" i="11" s="1"/>
  <c r="A603" i="11" s="1"/>
  <c r="A604" i="11" s="1"/>
  <c r="A605" i="11" s="1"/>
  <c r="A606" i="11" s="1"/>
  <c r="A607" i="11" s="1"/>
  <c r="A608" i="11" s="1"/>
  <c r="A609" i="11" s="1"/>
  <c r="A610" i="11" s="1"/>
  <c r="A611" i="11" s="1"/>
  <c r="A612" i="11" s="1"/>
  <c r="A613" i="11" s="1"/>
  <c r="A614" i="11" s="1"/>
  <c r="A615" i="11" s="1"/>
  <c r="A616" i="11" s="1"/>
  <c r="A617" i="11" s="1"/>
  <c r="A618" i="11" s="1"/>
  <c r="A619" i="11" s="1"/>
  <c r="A620" i="11" s="1"/>
  <c r="A621" i="11" s="1"/>
  <c r="A622" i="11" s="1"/>
  <c r="A623" i="11" s="1"/>
  <c r="A624" i="11" s="1"/>
  <c r="A625" i="11" s="1"/>
  <c r="A626" i="11" s="1"/>
  <c r="A627" i="11" s="1"/>
  <c r="A628" i="11" s="1"/>
  <c r="A629" i="11" s="1"/>
  <c r="A630" i="11" s="1"/>
  <c r="A631" i="11" s="1"/>
  <c r="A632" i="11" s="1"/>
  <c r="A633" i="11" s="1"/>
  <c r="A634" i="11" s="1"/>
  <c r="A635" i="11" s="1"/>
  <c r="A636" i="11" s="1"/>
  <c r="A637" i="11" s="1"/>
  <c r="A638" i="11" s="1"/>
  <c r="A639" i="11" s="1"/>
  <c r="A640" i="11" s="1"/>
  <c r="A641" i="11" s="1"/>
  <c r="A642" i="11" s="1"/>
  <c r="A643" i="11" s="1"/>
  <c r="A644" i="11" s="1"/>
  <c r="A645" i="11" s="1"/>
  <c r="A646" i="11" s="1"/>
  <c r="A647" i="11" s="1"/>
  <c r="A648" i="11" s="1"/>
  <c r="A649" i="11" s="1"/>
  <c r="A650" i="11" s="1"/>
  <c r="A651" i="11" s="1"/>
  <c r="A652" i="11" s="1"/>
  <c r="A653" i="11" s="1"/>
  <c r="A654" i="11" s="1"/>
  <c r="A655" i="11" s="1"/>
  <c r="A656" i="11" s="1"/>
  <c r="A657" i="11" s="1"/>
  <c r="A658" i="11" s="1"/>
  <c r="A659" i="11" s="1"/>
  <c r="A660" i="11" s="1"/>
  <c r="A661" i="11" s="1"/>
  <c r="A662" i="11" s="1"/>
  <c r="A663" i="11" s="1"/>
  <c r="A664" i="11" s="1"/>
  <c r="A665" i="11" s="1"/>
  <c r="A666" i="11" s="1"/>
  <c r="A667" i="11" s="1"/>
  <c r="A668" i="11" s="1"/>
  <c r="A669" i="11" s="1"/>
  <c r="A670" i="11" s="1"/>
  <c r="A671" i="11" s="1"/>
  <c r="A672" i="11" s="1"/>
  <c r="A673" i="11" s="1"/>
  <c r="A674" i="11" s="1"/>
  <c r="A675" i="11" s="1"/>
  <c r="A676" i="11" s="1"/>
  <c r="A677" i="11" s="1"/>
  <c r="A678" i="11" s="1"/>
  <c r="A679" i="11" s="1"/>
  <c r="A680" i="11" s="1"/>
  <c r="A681" i="11" s="1"/>
  <c r="A682" i="11" s="1"/>
  <c r="A683" i="11" s="1"/>
  <c r="A684" i="11" s="1"/>
  <c r="A685" i="11" s="1"/>
  <c r="A686" i="11" s="1"/>
  <c r="A687" i="11" s="1"/>
  <c r="A688" i="11" s="1"/>
  <c r="A689" i="11" s="1"/>
  <c r="A690" i="11" s="1"/>
  <c r="A691" i="11" s="1"/>
  <c r="A692" i="11" s="1"/>
  <c r="A693" i="11" s="1"/>
  <c r="A694" i="11" s="1"/>
  <c r="A695" i="11" s="1"/>
  <c r="A696" i="11" s="1"/>
  <c r="A697" i="11" s="1"/>
  <c r="A698" i="11" s="1"/>
  <c r="A699" i="11" s="1"/>
  <c r="A700" i="11" s="1"/>
  <c r="A701" i="11" s="1"/>
  <c r="A702" i="11" s="1"/>
  <c r="A703" i="11" s="1"/>
  <c r="A704" i="11" s="1"/>
  <c r="A705" i="11" s="1"/>
  <c r="A706" i="11" s="1"/>
  <c r="A707" i="11" s="1"/>
  <c r="A708" i="11" s="1"/>
  <c r="A709" i="11" s="1"/>
  <c r="B268" i="11"/>
  <c r="I269" i="11"/>
  <c r="F811" i="11" l="1"/>
  <c r="A710" i="11"/>
  <c r="A711" i="11" s="1"/>
  <c r="A712" i="11" s="1"/>
  <c r="A713" i="11" s="1"/>
  <c r="A714" i="11" s="1"/>
  <c r="A715" i="11" s="1"/>
  <c r="A716" i="11" s="1"/>
  <c r="A717" i="11" s="1"/>
  <c r="A718" i="11" s="1"/>
  <c r="A719" i="11" s="1"/>
  <c r="A720" i="11" s="1"/>
  <c r="A721" i="11" s="1"/>
  <c r="A722" i="11" s="1"/>
  <c r="A723" i="11" s="1"/>
  <c r="A724" i="11" s="1"/>
  <c r="A725" i="11" s="1"/>
  <c r="A726" i="11" s="1"/>
  <c r="A727" i="11" s="1"/>
  <c r="A728" i="11" s="1"/>
  <c r="A729" i="11" s="1"/>
  <c r="A730" i="11" s="1"/>
  <c r="A731" i="11" s="1"/>
  <c r="A732" i="11" s="1"/>
  <c r="A733" i="11" s="1"/>
  <c r="A734" i="11" s="1"/>
  <c r="A735" i="11" s="1"/>
  <c r="A736" i="11" s="1"/>
  <c r="A737" i="11" s="1"/>
  <c r="A738" i="11" s="1"/>
  <c r="A739" i="11" s="1"/>
  <c r="A740" i="11" s="1"/>
  <c r="A741" i="11" s="1"/>
  <c r="A742" i="11" s="1"/>
  <c r="A743" i="11" s="1"/>
  <c r="A744" i="11" s="1"/>
  <c r="A745" i="11" s="1"/>
  <c r="A746" i="11" s="1"/>
  <c r="A747" i="11" s="1"/>
  <c r="A748" i="11" s="1"/>
  <c r="A749" i="11" s="1"/>
  <c r="A750" i="11" s="1"/>
  <c r="A751" i="11" s="1"/>
  <c r="A752" i="11" s="1"/>
  <c r="A753" i="11" s="1"/>
  <c r="A754" i="11" s="1"/>
  <c r="A755" i="11" s="1"/>
  <c r="A756" i="11" s="1"/>
  <c r="A757" i="11" s="1"/>
  <c r="A758" i="11" s="1"/>
  <c r="A759" i="11" s="1"/>
  <c r="A760" i="11" s="1"/>
  <c r="A761" i="11" s="1"/>
  <c r="A762" i="11" s="1"/>
  <c r="A763" i="11" s="1"/>
  <c r="A764" i="11" s="1"/>
  <c r="A765" i="11" s="1"/>
  <c r="A766" i="11" s="1"/>
  <c r="A767" i="11" s="1"/>
  <c r="A768" i="11" s="1"/>
  <c r="A769" i="11" s="1"/>
  <c r="A770" i="11" s="1"/>
  <c r="A771" i="11" s="1"/>
  <c r="A772" i="11" s="1"/>
  <c r="A773" i="11" s="1"/>
  <c r="A774" i="11" s="1"/>
  <c r="A775" i="11" s="1"/>
  <c r="A776" i="11" s="1"/>
  <c r="A777" i="11" s="1"/>
  <c r="A778" i="11" s="1"/>
  <c r="A779" i="11" s="1"/>
  <c r="A780" i="11" s="1"/>
  <c r="A781" i="11" s="1"/>
  <c r="A782" i="11" s="1"/>
  <c r="A783" i="11" s="1"/>
  <c r="A784" i="11" s="1"/>
  <c r="A785" i="11" s="1"/>
  <c r="A786" i="11" s="1"/>
  <c r="A787" i="11" s="1"/>
  <c r="A788" i="11" s="1"/>
  <c r="A789" i="11" s="1"/>
  <c r="A790" i="11" s="1"/>
  <c r="A791" i="11" s="1"/>
  <c r="A792" i="11" s="1"/>
  <c r="A793" i="11" s="1"/>
  <c r="A794" i="11" s="1"/>
  <c r="A795" i="11" s="1"/>
  <c r="A796" i="11" s="1"/>
  <c r="A797" i="11" s="1"/>
  <c r="A798" i="11" s="1"/>
  <c r="A799" i="11" s="1"/>
  <c r="A800" i="11" s="1"/>
  <c r="A801" i="11" s="1"/>
  <c r="A802" i="11" s="1"/>
  <c r="A803" i="11" s="1"/>
  <c r="A804" i="11" s="1"/>
  <c r="A805" i="11" s="1"/>
  <c r="A806" i="11" s="1"/>
  <c r="A807" i="11" s="1"/>
  <c r="A808" i="11" s="1"/>
  <c r="I270" i="11"/>
  <c r="B269" i="11"/>
  <c r="B270" i="11" l="1"/>
  <c r="I271" i="11"/>
  <c r="B271" i="11" l="1"/>
  <c r="I272" i="11"/>
  <c r="B272" i="11" l="1"/>
  <c r="I273" i="11"/>
  <c r="I274" i="11" s="1"/>
  <c r="I275" i="11" s="1"/>
  <c r="I276" i="11" s="1"/>
  <c r="I277" i="11" s="1"/>
  <c r="I278" i="11" s="1"/>
  <c r="I279" i="11" s="1"/>
  <c r="I280" i="11" s="1"/>
  <c r="I281" i="11" s="1"/>
  <c r="I282" i="11" s="1"/>
  <c r="I283" i="11" s="1"/>
  <c r="I284" i="11" s="1"/>
  <c r="B283" i="11" l="1"/>
  <c r="B273" i="11"/>
  <c r="B284" i="11" l="1"/>
  <c r="I285" i="11"/>
  <c r="B274" i="11"/>
  <c r="B285" i="11" l="1"/>
  <c r="I286" i="11"/>
  <c r="B275" i="11"/>
  <c r="B286" i="11" l="1"/>
  <c r="I287" i="11"/>
  <c r="B276" i="11"/>
  <c r="B287" i="11" l="1"/>
  <c r="I288" i="11"/>
  <c r="B277" i="11"/>
  <c r="I289" i="11" l="1"/>
  <c r="B288" i="11"/>
  <c r="B278" i="11"/>
  <c r="I290" i="11" l="1"/>
  <c r="B289" i="11"/>
  <c r="B279" i="11"/>
  <c r="B290" i="11" l="1"/>
  <c r="I291" i="11"/>
  <c r="B280" i="11"/>
  <c r="B291" i="11" l="1"/>
  <c r="I292" i="11"/>
  <c r="B282" i="11"/>
  <c r="B281" i="11"/>
  <c r="B292" i="11" l="1"/>
  <c r="I293" i="11"/>
  <c r="B293" i="11" l="1"/>
  <c r="I294" i="11"/>
  <c r="B294" i="11" l="1"/>
  <c r="I295" i="11"/>
  <c r="I296" i="11" l="1"/>
  <c r="B295" i="11"/>
  <c r="I297" i="11" l="1"/>
  <c r="B296" i="11"/>
  <c r="B297" i="11" l="1"/>
  <c r="I298" i="11"/>
  <c r="I299" i="11" l="1"/>
  <c r="B298" i="11"/>
  <c r="B299" i="11" l="1"/>
  <c r="I300" i="11"/>
  <c r="I301" i="11" l="1"/>
  <c r="B300" i="11"/>
  <c r="I302" i="11" l="1"/>
  <c r="B302" i="11" s="1"/>
  <c r="B301" i="11"/>
  <c r="I303" i="11" l="1"/>
  <c r="I304" i="11" l="1"/>
  <c r="B303" i="11"/>
  <c r="B304" i="11" l="1"/>
  <c r="I305" i="11"/>
  <c r="I306" i="11" l="1"/>
  <c r="B305" i="11"/>
  <c r="B306" i="11" l="1"/>
  <c r="I307" i="11"/>
  <c r="I308" i="11" l="1"/>
  <c r="B307" i="11"/>
  <c r="I309" i="11" l="1"/>
  <c r="B308" i="11"/>
  <c r="I310" i="11" l="1"/>
  <c r="B309" i="11"/>
  <c r="I311" i="11" l="1"/>
  <c r="B310" i="11"/>
  <c r="B311" i="11" l="1"/>
  <c r="I312" i="11"/>
  <c r="B312" i="11" l="1"/>
  <c r="I313" i="11"/>
  <c r="I314" i="11" l="1"/>
  <c r="B313" i="11"/>
  <c r="I315" i="11" l="1"/>
  <c r="B314" i="11"/>
  <c r="B315" i="11" l="1"/>
  <c r="I316" i="11"/>
  <c r="I317" i="11" l="1"/>
  <c r="B316" i="11"/>
  <c r="B317" i="11" l="1"/>
  <c r="I318" i="11"/>
  <c r="I319" i="11" l="1"/>
  <c r="B318" i="11"/>
  <c r="I320" i="11" l="1"/>
  <c r="B319" i="11"/>
  <c r="B320" i="11" l="1"/>
  <c r="I321" i="11"/>
  <c r="B321" i="11" l="1"/>
  <c r="I322" i="11"/>
  <c r="B322" i="11" l="1"/>
  <c r="I323" i="11"/>
  <c r="I324" i="11" l="1"/>
  <c r="B323" i="11"/>
  <c r="I325" i="11" l="1"/>
  <c r="B324" i="11"/>
  <c r="B325" i="11" l="1"/>
  <c r="I326" i="11"/>
  <c r="B326" i="11" l="1"/>
  <c r="I327" i="11"/>
  <c r="I328" i="11" l="1"/>
  <c r="B327" i="11"/>
  <c r="I329" i="11" l="1"/>
  <c r="B328" i="11"/>
  <c r="I330" i="11" l="1"/>
  <c r="B329" i="11"/>
  <c r="I331" i="11" l="1"/>
  <c r="B330" i="11"/>
  <c r="I332" i="11" l="1"/>
  <c r="B331" i="11"/>
  <c r="B332" i="11" l="1"/>
  <c r="I333" i="11"/>
  <c r="I334" i="11" l="1"/>
  <c r="B333" i="11"/>
  <c r="B334" i="11" l="1"/>
  <c r="I335" i="11"/>
  <c r="I336" i="11" l="1"/>
  <c r="B335" i="11"/>
  <c r="B336" i="11" l="1"/>
  <c r="I337" i="11"/>
  <c r="I338" i="11" l="1"/>
  <c r="B337" i="11"/>
  <c r="I339" i="11" l="1"/>
  <c r="B338" i="11"/>
  <c r="I340" i="11" l="1"/>
  <c r="B339" i="11"/>
  <c r="I341" i="11" l="1"/>
  <c r="B340" i="11"/>
  <c r="I342" i="11" l="1"/>
  <c r="B341" i="11"/>
  <c r="B342" i="11" l="1"/>
  <c r="I343" i="11"/>
  <c r="I344" i="11" l="1"/>
  <c r="B343" i="11"/>
  <c r="B344" i="11" l="1"/>
  <c r="I345" i="11"/>
  <c r="I346" i="11" l="1"/>
  <c r="B345" i="11"/>
  <c r="I347" i="11" l="1"/>
  <c r="B346" i="11"/>
  <c r="I348" i="11" l="1"/>
  <c r="B347" i="11"/>
  <c r="B348" i="11" l="1"/>
  <c r="I349" i="11"/>
  <c r="B349" i="11" l="1"/>
  <c r="I350" i="11"/>
  <c r="B350" i="11" l="1"/>
  <c r="I351" i="11"/>
  <c r="B351" i="11" l="1"/>
  <c r="I352" i="11"/>
  <c r="I353" i="11" l="1"/>
  <c r="B352" i="11"/>
  <c r="I354" i="11" l="1"/>
  <c r="B353" i="11"/>
  <c r="B354" i="11" l="1"/>
  <c r="I355" i="11"/>
  <c r="I356" i="11" l="1"/>
  <c r="B355" i="11"/>
  <c r="I357" i="11" l="1"/>
  <c r="B356" i="11"/>
  <c r="I358" i="11" l="1"/>
  <c r="B357" i="11"/>
  <c r="B358" i="11" l="1"/>
  <c r="I359" i="11"/>
  <c r="B359" i="11" l="1"/>
  <c r="I360" i="11"/>
  <c r="I361" i="11" l="1"/>
  <c r="B360" i="11"/>
  <c r="B361" i="11" l="1"/>
  <c r="I362" i="11"/>
  <c r="B362" i="11" l="1"/>
  <c r="I363" i="11"/>
  <c r="B363" i="11" l="1"/>
  <c r="I364" i="11"/>
  <c r="B364" i="11" l="1"/>
  <c r="I365" i="11"/>
  <c r="I366" i="11" l="1"/>
  <c r="B365" i="11"/>
  <c r="I367" i="11" l="1"/>
  <c r="B366" i="11"/>
  <c r="I368" i="11" l="1"/>
  <c r="B367" i="11"/>
  <c r="I369" i="11" l="1"/>
  <c r="B368" i="11"/>
  <c r="I370" i="11" l="1"/>
  <c r="B369" i="11"/>
  <c r="B370" i="11" l="1"/>
  <c r="I371" i="11"/>
  <c r="B371" i="11" l="1"/>
  <c r="I372" i="11"/>
  <c r="B372" i="11" l="1"/>
  <c r="I373" i="11"/>
  <c r="B373" i="11" l="1"/>
  <c r="I374" i="11"/>
  <c r="B374" i="11" l="1"/>
  <c r="I375" i="11"/>
  <c r="B375" i="11" l="1"/>
  <c r="I376" i="11"/>
  <c r="B376" i="11" l="1"/>
  <c r="I377" i="11"/>
  <c r="B377" i="11" l="1"/>
  <c r="I378" i="11"/>
  <c r="I379" i="11" l="1"/>
  <c r="B378" i="11"/>
  <c r="I380" i="11" l="1"/>
  <c r="B379" i="11"/>
  <c r="I381" i="11" l="1"/>
  <c r="B380" i="11"/>
  <c r="I382" i="11" l="1"/>
  <c r="B381" i="11"/>
  <c r="B382" i="11" l="1"/>
  <c r="I383" i="11"/>
  <c r="B383" i="11" l="1"/>
  <c r="I384" i="11"/>
  <c r="B384" i="11" l="1"/>
  <c r="I385" i="11"/>
  <c r="B385" i="11" l="1"/>
  <c r="I386" i="11"/>
  <c r="B386" i="11" l="1"/>
  <c r="I387" i="11"/>
  <c r="B387" i="11" l="1"/>
  <c r="I388" i="11"/>
  <c r="B388" i="11" l="1"/>
  <c r="I389" i="11"/>
  <c r="B389" i="11" l="1"/>
  <c r="I390" i="11"/>
  <c r="I391" i="11" l="1"/>
  <c r="B390" i="11"/>
  <c r="B391" i="11" l="1"/>
  <c r="I392" i="11"/>
  <c r="B392" i="11" l="1"/>
  <c r="I393" i="11"/>
  <c r="I394" i="11" l="1"/>
  <c r="B393" i="11"/>
  <c r="B394" i="11" l="1"/>
  <c r="I395" i="11"/>
  <c r="I396" i="11" l="1"/>
  <c r="B395" i="11"/>
  <c r="I397" i="11" l="1"/>
  <c r="B396" i="11"/>
  <c r="I398" i="11" l="1"/>
  <c r="B397" i="11"/>
  <c r="I399" i="11" l="1"/>
  <c r="B398" i="11"/>
  <c r="B399" i="11" l="1"/>
  <c r="I400" i="11"/>
  <c r="I401" i="11" l="1"/>
  <c r="B400" i="11"/>
  <c r="B401" i="11" l="1"/>
  <c r="I402" i="11"/>
  <c r="I403" i="11" l="1"/>
  <c r="B402" i="11"/>
  <c r="B403" i="11" l="1"/>
  <c r="I404" i="11"/>
  <c r="B404" i="11" l="1"/>
  <c r="I405" i="11"/>
  <c r="I406" i="11" l="1"/>
  <c r="B405" i="11"/>
  <c r="B406" i="11" l="1"/>
  <c r="I407" i="11"/>
  <c r="I408" i="11" l="1"/>
  <c r="B407" i="11"/>
  <c r="B408" i="11" l="1"/>
  <c r="I409" i="11"/>
  <c r="B409" i="11" l="1"/>
  <c r="I410" i="11"/>
  <c r="I411" i="11" l="1"/>
  <c r="B410" i="11"/>
  <c r="B411" i="11" l="1"/>
  <c r="I412" i="11"/>
  <c r="B412" i="11" l="1"/>
  <c r="I413" i="11"/>
  <c r="B413" i="11" l="1"/>
  <c r="I414" i="11"/>
  <c r="B414" i="11" l="1"/>
  <c r="I415" i="11"/>
  <c r="I416" i="11" l="1"/>
  <c r="B415" i="11"/>
  <c r="I417" i="11" l="1"/>
  <c r="B416" i="11"/>
  <c r="I418" i="11" l="1"/>
  <c r="B417" i="11"/>
  <c r="I419" i="11" l="1"/>
  <c r="B418" i="11"/>
  <c r="B419" i="11" l="1"/>
  <c r="I420" i="11"/>
  <c r="B420" i="11" l="1"/>
  <c r="I421" i="11"/>
  <c r="I422" i="11" l="1"/>
  <c r="B421" i="11"/>
  <c r="I423" i="11" l="1"/>
  <c r="B422" i="11"/>
  <c r="I424" i="11" l="1"/>
  <c r="B423" i="11"/>
  <c r="I425" i="11" l="1"/>
  <c r="B424" i="11"/>
  <c r="I426" i="11" l="1"/>
  <c r="B425" i="11"/>
  <c r="I427" i="11" l="1"/>
  <c r="B426" i="11"/>
  <c r="B427" i="11" l="1"/>
  <c r="I428" i="11"/>
  <c r="I429" i="11" l="1"/>
  <c r="B428" i="11"/>
  <c r="B429" i="11" l="1"/>
  <c r="I430" i="11"/>
  <c r="B430" i="11" l="1"/>
  <c r="I431" i="11"/>
  <c r="I432" i="11" l="1"/>
  <c r="B431" i="11"/>
  <c r="B432" i="11" l="1"/>
  <c r="I433" i="11"/>
  <c r="I434" i="11" l="1"/>
  <c r="B433" i="11"/>
  <c r="B434" i="11" l="1"/>
  <c r="I435" i="11"/>
  <c r="B435" i="11" l="1"/>
  <c r="I436" i="11"/>
  <c r="B436" i="11" l="1"/>
  <c r="I437" i="11"/>
  <c r="B437" i="11" l="1"/>
  <c r="I438" i="11"/>
  <c r="I439" i="11" l="1"/>
  <c r="B438" i="11"/>
  <c r="B439" i="11" l="1"/>
  <c r="I440" i="11"/>
  <c r="I441" i="11" l="1"/>
  <c r="B440" i="11"/>
  <c r="I442" i="11" l="1"/>
  <c r="B441" i="11"/>
  <c r="I443" i="11" l="1"/>
  <c r="B442" i="11"/>
  <c r="I444" i="11" l="1"/>
  <c r="B443" i="11"/>
  <c r="B444" i="11" l="1"/>
  <c r="I445" i="11"/>
  <c r="I446" i="11" l="1"/>
  <c r="B445" i="11"/>
  <c r="I447" i="11" l="1"/>
  <c r="B446" i="11"/>
  <c r="I448" i="11" l="1"/>
  <c r="B447" i="11"/>
  <c r="B448" i="11" l="1"/>
  <c r="I449" i="11"/>
  <c r="B449" i="11" l="1"/>
  <c r="I450" i="11"/>
  <c r="I451" i="11" l="1"/>
  <c r="B450" i="11"/>
  <c r="B451" i="11" l="1"/>
  <c r="I452" i="11"/>
  <c r="I453" i="11" l="1"/>
  <c r="B452" i="11"/>
  <c r="I454" i="11" l="1"/>
  <c r="B453" i="11"/>
  <c r="B454" i="11" l="1"/>
  <c r="I455" i="11"/>
  <c r="I456" i="11" l="1"/>
  <c r="B455" i="11"/>
  <c r="B456" i="11" l="1"/>
  <c r="I457" i="11"/>
  <c r="I458" i="11" l="1"/>
  <c r="B457" i="11"/>
  <c r="B458" i="11" l="1"/>
  <c r="I459" i="11"/>
  <c r="I460" i="11" l="1"/>
  <c r="B459" i="11"/>
  <c r="B460" i="11" l="1"/>
  <c r="I461" i="11"/>
  <c r="I462" i="11" l="1"/>
  <c r="B461" i="11"/>
  <c r="B462" i="11" l="1"/>
  <c r="I463" i="11"/>
  <c r="B463" i="11" l="1"/>
  <c r="I464" i="11"/>
  <c r="B464" i="11" l="1"/>
  <c r="I465" i="11"/>
  <c r="B465" i="11" l="1"/>
  <c r="I466" i="11"/>
  <c r="B466" i="11" l="1"/>
  <c r="I467" i="11"/>
  <c r="I468" i="11" l="1"/>
  <c r="B467" i="11"/>
  <c r="B468" i="11" l="1"/>
  <c r="I469" i="11"/>
  <c r="B469" i="11" l="1"/>
  <c r="I470" i="11"/>
  <c r="B470" i="11" l="1"/>
  <c r="I471" i="11"/>
  <c r="B471" i="11" l="1"/>
  <c r="I472" i="11"/>
  <c r="B472" i="11" l="1"/>
  <c r="I473" i="11"/>
  <c r="I474" i="11" l="1"/>
  <c r="B473" i="11"/>
  <c r="I475" i="11" l="1"/>
  <c r="B474" i="11"/>
  <c r="I476" i="11" l="1"/>
  <c r="B475" i="11"/>
  <c r="B476" i="11" l="1"/>
  <c r="I477" i="11"/>
  <c r="I478" i="11" l="1"/>
  <c r="B477" i="11"/>
  <c r="I479" i="11" l="1"/>
  <c r="B478" i="11"/>
  <c r="I480" i="11" l="1"/>
  <c r="B479" i="11"/>
  <c r="B480" i="11" l="1"/>
  <c r="I481" i="11"/>
  <c r="I482" i="11" l="1"/>
  <c r="B481" i="11"/>
  <c r="B482" i="11" l="1"/>
  <c r="I483" i="11"/>
  <c r="I484" i="11" l="1"/>
  <c r="B483" i="11"/>
  <c r="I485" i="11" l="1"/>
  <c r="B484" i="11"/>
  <c r="I486" i="11" l="1"/>
  <c r="B485" i="11"/>
  <c r="I487" i="11" l="1"/>
  <c r="B486" i="11"/>
  <c r="I488" i="11" l="1"/>
  <c r="B487" i="11"/>
  <c r="I489" i="11" l="1"/>
  <c r="B488" i="11"/>
  <c r="B489" i="11" l="1"/>
  <c r="I490" i="11"/>
  <c r="B490" i="11" l="1"/>
  <c r="I491" i="11"/>
  <c r="I492" i="11" l="1"/>
  <c r="B491" i="11"/>
  <c r="I493" i="11" l="1"/>
  <c r="B492" i="11"/>
  <c r="I494" i="11" l="1"/>
  <c r="B493" i="11"/>
  <c r="I495" i="11" l="1"/>
  <c r="B494" i="11"/>
  <c r="I496" i="11" l="1"/>
  <c r="B495" i="11"/>
  <c r="B496" i="11" l="1"/>
  <c r="I497" i="11"/>
  <c r="I498" i="11" l="1"/>
  <c r="B497" i="11"/>
  <c r="I499" i="11" l="1"/>
  <c r="B498" i="11"/>
  <c r="I500" i="11" l="1"/>
  <c r="B499" i="11"/>
  <c r="I501" i="11" l="1"/>
  <c r="B500" i="11"/>
  <c r="B501" i="11" l="1"/>
  <c r="I502" i="11"/>
  <c r="I503" i="11" s="1"/>
  <c r="B503" i="11" l="1"/>
  <c r="I504" i="11"/>
  <c r="B502" i="11"/>
  <c r="B504" i="11" l="1"/>
  <c r="I505" i="11"/>
  <c r="B505" i="11" l="1"/>
  <c r="I506" i="11"/>
  <c r="B506" i="11" l="1"/>
  <c r="I507" i="11"/>
  <c r="B507" i="11" l="1"/>
  <c r="I508" i="11"/>
  <c r="B508" i="11" l="1"/>
  <c r="I509" i="11"/>
  <c r="B509" i="11" l="1"/>
  <c r="I510" i="11"/>
  <c r="I511" i="11" l="1"/>
  <c r="B510" i="11"/>
  <c r="B511" i="11" l="1"/>
  <c r="I512" i="11"/>
  <c r="I513" i="11" l="1"/>
  <c r="B512" i="11"/>
  <c r="B513" i="11" l="1"/>
  <c r="I514" i="11"/>
  <c r="I515" i="11" l="1"/>
  <c r="B514" i="11"/>
  <c r="I516" i="11" l="1"/>
  <c r="B515" i="11"/>
  <c r="B516" i="11" l="1"/>
  <c r="I517" i="11"/>
  <c r="B517" i="11" l="1"/>
  <c r="I518" i="11"/>
  <c r="B518" i="11" l="1"/>
  <c r="I519" i="11"/>
  <c r="I520" i="11" l="1"/>
  <c r="B519" i="11"/>
  <c r="B520" i="11" l="1"/>
  <c r="I521" i="11"/>
  <c r="I522" i="11" l="1"/>
  <c r="B521" i="11"/>
  <c r="I523" i="11" l="1"/>
  <c r="B522" i="11"/>
  <c r="I524" i="11" l="1"/>
  <c r="B523" i="11"/>
  <c r="B524" i="11" l="1"/>
  <c r="I525" i="11"/>
  <c r="I526" i="11" l="1"/>
  <c r="B525" i="11"/>
  <c r="I527" i="11" l="1"/>
  <c r="B526" i="11"/>
  <c r="I528" i="11" l="1"/>
  <c r="B527" i="11"/>
  <c r="B528" i="11" l="1"/>
  <c r="I529" i="11"/>
  <c r="B529" i="11" l="1"/>
  <c r="I530" i="11"/>
  <c r="I531" i="11" l="1"/>
  <c r="B530" i="11"/>
  <c r="I532" i="11" l="1"/>
  <c r="B531" i="11"/>
  <c r="I533" i="11" l="1"/>
  <c r="B532" i="11"/>
  <c r="I534" i="11" l="1"/>
  <c r="B533" i="11"/>
  <c r="I535" i="11" l="1"/>
  <c r="B534" i="11"/>
  <c r="B535" i="11" l="1"/>
  <c r="I536" i="11"/>
  <c r="I537" i="11" l="1"/>
  <c r="B536" i="11"/>
  <c r="I538" i="11" l="1"/>
  <c r="B537" i="11"/>
  <c r="I539" i="11" l="1"/>
  <c r="B538" i="11"/>
  <c r="I540" i="11" l="1"/>
  <c r="B539" i="11"/>
  <c r="I541" i="11" l="1"/>
  <c r="B540" i="11"/>
  <c r="I542" i="11" l="1"/>
  <c r="B541" i="11"/>
  <c r="B542" i="11" l="1"/>
  <c r="I543" i="11"/>
  <c r="I544" i="11" l="1"/>
  <c r="B543" i="11"/>
  <c r="B544" i="11" l="1"/>
  <c r="I545" i="11"/>
  <c r="B545" i="11" l="1"/>
  <c r="I546" i="11"/>
  <c r="B546" i="11" l="1"/>
  <c r="I547" i="11"/>
  <c r="I548" i="11" l="1"/>
  <c r="B547" i="11"/>
  <c r="I549" i="11" l="1"/>
  <c r="B548" i="11"/>
  <c r="B549" i="11" l="1"/>
  <c r="I550" i="11"/>
  <c r="I551" i="11" l="1"/>
  <c r="B550" i="11"/>
  <c r="I552" i="11" l="1"/>
  <c r="B551" i="11"/>
  <c r="B552" i="11" l="1"/>
  <c r="I553" i="11"/>
  <c r="B553" i="11" l="1"/>
  <c r="I554" i="11"/>
  <c r="I555" i="11" l="1"/>
  <c r="B554" i="11"/>
  <c r="B555" i="11" l="1"/>
  <c r="I556" i="11"/>
  <c r="B556" i="11" l="1"/>
  <c r="I557" i="11"/>
  <c r="B557" i="11" l="1"/>
  <c r="I558" i="11"/>
  <c r="I559" i="11" l="1"/>
  <c r="B558" i="11"/>
  <c r="B559" i="11" l="1"/>
  <c r="I560" i="11"/>
  <c r="B560" i="11" l="1"/>
  <c r="I561" i="11"/>
  <c r="I562" i="11" l="1"/>
  <c r="B561" i="11"/>
  <c r="B562" i="11" l="1"/>
  <c r="I563" i="11"/>
  <c r="B563" i="11" l="1"/>
  <c r="I564" i="11"/>
  <c r="B564" i="11" l="1"/>
  <c r="I565" i="11"/>
  <c r="B565" i="11" l="1"/>
  <c r="I566" i="11"/>
  <c r="I567" i="11" l="1"/>
  <c r="B566" i="11"/>
  <c r="I568" i="11" l="1"/>
  <c r="B567" i="11"/>
  <c r="B568" i="11" l="1"/>
  <c r="I569" i="11"/>
  <c r="I570" i="11" l="1"/>
  <c r="B569" i="11"/>
  <c r="I571" i="11" l="1"/>
  <c r="B570" i="11"/>
  <c r="B571" i="11" l="1"/>
  <c r="I572" i="11"/>
  <c r="B572" i="11" l="1"/>
  <c r="I573" i="11"/>
  <c r="B573" i="11" l="1"/>
  <c r="I574" i="11"/>
  <c r="B574" i="11" l="1"/>
  <c r="I575" i="11"/>
  <c r="B575" i="11" l="1"/>
  <c r="I576" i="11"/>
  <c r="B576" i="11" l="1"/>
  <c r="I577" i="11"/>
  <c r="I578" i="11" l="1"/>
  <c r="B577" i="11"/>
  <c r="B578" i="11" l="1"/>
  <c r="I579" i="11"/>
  <c r="B579" i="11" l="1"/>
  <c r="I580" i="11"/>
  <c r="I581" i="11" l="1"/>
  <c r="B580" i="11"/>
  <c r="B581" i="11" l="1"/>
  <c r="I582" i="11"/>
  <c r="I583" i="11" l="1"/>
  <c r="B582" i="11"/>
  <c r="I584" i="11" l="1"/>
  <c r="B583" i="11"/>
  <c r="B584" i="11" l="1"/>
  <c r="I585" i="11"/>
  <c r="I586" i="11" l="1"/>
  <c r="B585" i="11"/>
  <c r="I587" i="11" l="1"/>
  <c r="B586" i="11"/>
  <c r="I588" i="11" l="1"/>
  <c r="B587" i="11"/>
  <c r="I589" i="11" l="1"/>
  <c r="B588" i="11"/>
  <c r="B589" i="11" l="1"/>
  <c r="I590" i="11"/>
  <c r="B590" i="11" l="1"/>
  <c r="I591" i="11"/>
  <c r="I592" i="11" l="1"/>
  <c r="B591" i="11"/>
  <c r="B592" i="11" l="1"/>
  <c r="I593" i="11"/>
  <c r="I594" i="11" l="1"/>
  <c r="B593" i="11"/>
  <c r="I595" i="11" l="1"/>
  <c r="B594" i="11"/>
  <c r="I596" i="11" l="1"/>
  <c r="B595" i="11"/>
  <c r="I597" i="11" l="1"/>
  <c r="B596" i="11"/>
  <c r="I598" i="11" l="1"/>
  <c r="B597" i="11"/>
  <c r="B598" i="11" l="1"/>
  <c r="I599" i="11"/>
  <c r="I600" i="11" l="1"/>
  <c r="B599" i="11"/>
  <c r="I601" i="11" l="1"/>
  <c r="B600" i="11"/>
  <c r="B601" i="11" l="1"/>
  <c r="I602" i="11"/>
  <c r="B602" i="11" l="1"/>
  <c r="I603" i="11"/>
  <c r="I604" i="11" l="1"/>
  <c r="B603" i="11"/>
  <c r="B604" i="11" l="1"/>
  <c r="I605" i="11"/>
  <c r="I606" i="11" l="1"/>
  <c r="B605" i="11"/>
  <c r="B606" i="11" l="1"/>
  <c r="I607" i="11"/>
  <c r="B607" i="11" l="1"/>
  <c r="I608" i="11"/>
  <c r="B608" i="11" l="1"/>
  <c r="I609" i="11"/>
  <c r="I610" i="11" l="1"/>
  <c r="B609" i="11"/>
  <c r="B610" i="11" l="1"/>
  <c r="I611" i="11"/>
  <c r="B611" i="11" l="1"/>
  <c r="I612" i="11"/>
  <c r="B612" i="11" l="1"/>
  <c r="I613" i="11"/>
  <c r="I614" i="11" l="1"/>
  <c r="B613" i="11"/>
  <c r="I615" i="11" l="1"/>
  <c r="B614" i="11"/>
  <c r="I616" i="11" l="1"/>
  <c r="B615" i="11"/>
  <c r="I617" i="11" l="1"/>
  <c r="B616" i="11"/>
  <c r="B617" i="11" l="1"/>
  <c r="I618" i="11"/>
  <c r="B618" i="11" l="1"/>
  <c r="I619" i="11"/>
  <c r="B619" i="11" l="1"/>
  <c r="I620" i="11"/>
  <c r="B620" i="11" l="1"/>
  <c r="I621" i="11"/>
  <c r="I622" i="11" l="1"/>
  <c r="B621" i="11"/>
  <c r="B622" i="11" l="1"/>
  <c r="I623" i="11"/>
  <c r="B623" i="11" l="1"/>
  <c r="I624" i="11"/>
  <c r="I625" i="11" l="1"/>
  <c r="B624" i="11"/>
  <c r="I626" i="11" l="1"/>
  <c r="B625" i="11"/>
  <c r="B626" i="11" l="1"/>
  <c r="I627" i="11"/>
  <c r="I628" i="11" l="1"/>
  <c r="B627" i="11"/>
  <c r="B628" i="11" l="1"/>
  <c r="I629" i="11"/>
  <c r="I630" i="11" l="1"/>
  <c r="B629" i="11"/>
  <c r="I631" i="11" l="1"/>
  <c r="B630" i="11"/>
  <c r="I632" i="11" l="1"/>
  <c r="B631" i="11"/>
  <c r="B632" i="11" l="1"/>
  <c r="I633" i="11"/>
  <c r="I634" i="11" l="1"/>
  <c r="I635" i="11" s="1"/>
  <c r="I636" i="11" s="1"/>
  <c r="I637" i="11" s="1"/>
  <c r="I638" i="11" s="1"/>
  <c r="I639" i="11" s="1"/>
  <c r="I640" i="11" s="1"/>
  <c r="I641" i="11" s="1"/>
  <c r="I642" i="11" s="1"/>
  <c r="I643" i="11" s="1"/>
  <c r="I644" i="11" s="1"/>
  <c r="I645" i="11" s="1"/>
  <c r="I646" i="11" s="1"/>
  <c r="I647" i="11" s="1"/>
  <c r="I648" i="11" s="1"/>
  <c r="I649" i="11" s="1"/>
  <c r="I650" i="11" s="1"/>
  <c r="I651" i="11" s="1"/>
  <c r="I652" i="11" s="1"/>
  <c r="I653" i="11" s="1"/>
  <c r="I654" i="11" s="1"/>
  <c r="I655" i="11" s="1"/>
  <c r="I656" i="11" s="1"/>
  <c r="I657" i="11" s="1"/>
  <c r="I658" i="11" s="1"/>
  <c r="I659" i="11" s="1"/>
  <c r="I660" i="11" s="1"/>
  <c r="I661" i="11" s="1"/>
  <c r="I662" i="11" s="1"/>
  <c r="I663" i="11" s="1"/>
  <c r="I664" i="11" s="1"/>
  <c r="I665" i="11" s="1"/>
  <c r="I666" i="11" s="1"/>
  <c r="I667" i="11" s="1"/>
  <c r="I668" i="11" s="1"/>
  <c r="I669" i="11" s="1"/>
  <c r="I670" i="11" s="1"/>
  <c r="I671" i="11" s="1"/>
  <c r="I672" i="11" s="1"/>
  <c r="I673" i="11" s="1"/>
  <c r="I674" i="11" s="1"/>
  <c r="I675" i="11" s="1"/>
  <c r="I676" i="11" s="1"/>
  <c r="I677" i="11" s="1"/>
  <c r="I678" i="11" s="1"/>
  <c r="I679" i="11" s="1"/>
  <c r="I680" i="11" s="1"/>
  <c r="I681" i="11" s="1"/>
  <c r="I682" i="11" s="1"/>
  <c r="I683" i="11" s="1"/>
  <c r="I684" i="11" s="1"/>
  <c r="I685" i="11" s="1"/>
  <c r="I686" i="11" s="1"/>
  <c r="I687" i="11" s="1"/>
  <c r="I688" i="11" s="1"/>
  <c r="I689" i="11" s="1"/>
  <c r="I690" i="11" s="1"/>
  <c r="I691" i="11" s="1"/>
  <c r="I692" i="11" s="1"/>
  <c r="I693" i="11" s="1"/>
  <c r="I694" i="11" s="1"/>
  <c r="I695" i="11" s="1"/>
  <c r="I696" i="11" s="1"/>
  <c r="I697" i="11" s="1"/>
  <c r="I698" i="11" s="1"/>
  <c r="I699" i="11" s="1"/>
  <c r="I700" i="11" s="1"/>
  <c r="I701" i="11" s="1"/>
  <c r="B633" i="11"/>
  <c r="I702" i="11" l="1"/>
  <c r="B701" i="11"/>
  <c r="B634" i="11"/>
  <c r="I703" i="11" l="1"/>
  <c r="B702" i="11"/>
  <c r="B635" i="11"/>
  <c r="I704" i="11" l="1"/>
  <c r="B703" i="11"/>
  <c r="B636" i="11"/>
  <c r="I705" i="11" l="1"/>
  <c r="B704" i="11"/>
  <c r="B637" i="11"/>
  <c r="I706" i="11" l="1"/>
  <c r="B705" i="11"/>
  <c r="B638" i="11"/>
  <c r="I707" i="11" l="1"/>
  <c r="B706" i="11"/>
  <c r="B639" i="11"/>
  <c r="I708" i="11" l="1"/>
  <c r="B707" i="11"/>
  <c r="B640" i="11"/>
  <c r="I709" i="11" l="1"/>
  <c r="B708" i="11"/>
  <c r="B641" i="11"/>
  <c r="I710" i="11" l="1"/>
  <c r="B709" i="11"/>
  <c r="B642" i="11"/>
  <c r="I711" i="11" l="1"/>
  <c r="B710" i="11"/>
  <c r="B643" i="11"/>
  <c r="I712" i="11" l="1"/>
  <c r="B711" i="11"/>
  <c r="B644" i="11"/>
  <c r="I713" i="11" l="1"/>
  <c r="B712" i="11"/>
  <c r="B645" i="11"/>
  <c r="I714" i="11" l="1"/>
  <c r="B713" i="11"/>
  <c r="B646" i="11"/>
  <c r="I715" i="11" l="1"/>
  <c r="B714" i="11"/>
  <c r="B647" i="11"/>
  <c r="I716" i="11" l="1"/>
  <c r="B715" i="11"/>
  <c r="B648" i="11"/>
  <c r="I717" i="11" l="1"/>
  <c r="B716" i="11"/>
  <c r="B649" i="11"/>
  <c r="I718" i="11" l="1"/>
  <c r="B717" i="11"/>
  <c r="B650" i="11"/>
  <c r="I719" i="11" l="1"/>
  <c r="B718" i="11"/>
  <c r="B651" i="11"/>
  <c r="I720" i="11" l="1"/>
  <c r="B719" i="11"/>
  <c r="B652" i="11"/>
  <c r="I721" i="11" l="1"/>
  <c r="B720" i="11"/>
  <c r="B653" i="11"/>
  <c r="I722" i="11" l="1"/>
  <c r="B721" i="11"/>
  <c r="B654" i="11"/>
  <c r="I723" i="11" l="1"/>
  <c r="B722" i="11"/>
  <c r="B655" i="11"/>
  <c r="I724" i="11" l="1"/>
  <c r="B723" i="11"/>
  <c r="B656" i="11"/>
  <c r="I725" i="11" l="1"/>
  <c r="B724" i="11"/>
  <c r="B657" i="11"/>
  <c r="I726" i="11" l="1"/>
  <c r="B725" i="11"/>
  <c r="B658" i="11"/>
  <c r="I727" i="11" l="1"/>
  <c r="B726" i="11"/>
  <c r="B659" i="11"/>
  <c r="I728" i="11" l="1"/>
  <c r="B727" i="11"/>
  <c r="B660" i="11"/>
  <c r="I729" i="11" l="1"/>
  <c r="B728" i="11"/>
  <c r="B661" i="11"/>
  <c r="I730" i="11" l="1"/>
  <c r="B729" i="11"/>
  <c r="B662" i="11"/>
  <c r="I731" i="11" l="1"/>
  <c r="B730" i="11"/>
  <c r="B663" i="11"/>
  <c r="I732" i="11" l="1"/>
  <c r="B731" i="11"/>
  <c r="B664" i="11"/>
  <c r="I733" i="11" l="1"/>
  <c r="B732" i="11"/>
  <c r="B665" i="11"/>
  <c r="I734" i="11" l="1"/>
  <c r="B733" i="11"/>
  <c r="B666" i="11"/>
  <c r="I735" i="11" l="1"/>
  <c r="B734" i="11"/>
  <c r="B667" i="11"/>
  <c r="I736" i="11" l="1"/>
  <c r="B735" i="11"/>
  <c r="B668" i="11"/>
  <c r="I737" i="11" l="1"/>
  <c r="B736" i="11"/>
  <c r="B669" i="11"/>
  <c r="I738" i="11" l="1"/>
  <c r="B737" i="11"/>
  <c r="B670" i="11"/>
  <c r="I739" i="11" l="1"/>
  <c r="B738" i="11"/>
  <c r="B671" i="11"/>
  <c r="I740" i="11" l="1"/>
  <c r="B739" i="11"/>
  <c r="B672" i="11"/>
  <c r="I741" i="11" l="1"/>
  <c r="B740" i="11"/>
  <c r="B673" i="11"/>
  <c r="I742" i="11" l="1"/>
  <c r="B741" i="11"/>
  <c r="B674" i="11"/>
  <c r="I743" i="11" l="1"/>
  <c r="B742" i="11"/>
  <c r="B675" i="11"/>
  <c r="I744" i="11" l="1"/>
  <c r="B743" i="11"/>
  <c r="B676" i="11"/>
  <c r="I745" i="11" l="1"/>
  <c r="B744" i="11"/>
  <c r="B677" i="11"/>
  <c r="I746" i="11" l="1"/>
  <c r="B745" i="11"/>
  <c r="B678" i="11"/>
  <c r="I747" i="11" l="1"/>
  <c r="B746" i="11"/>
  <c r="B679" i="11"/>
  <c r="I748" i="11" l="1"/>
  <c r="B747" i="11"/>
  <c r="B680" i="11"/>
  <c r="I749" i="11" l="1"/>
  <c r="B748" i="11"/>
  <c r="B681" i="11"/>
  <c r="I750" i="11" l="1"/>
  <c r="B749" i="11"/>
  <c r="B682" i="11"/>
  <c r="I751" i="11" l="1"/>
  <c r="B750" i="11"/>
  <c r="B683" i="11"/>
  <c r="I752" i="11" l="1"/>
  <c r="B751" i="11"/>
  <c r="B684" i="11"/>
  <c r="I753" i="11" l="1"/>
  <c r="B752" i="11"/>
  <c r="B685" i="11"/>
  <c r="I754" i="11" l="1"/>
  <c r="B753" i="11"/>
  <c r="B686" i="11"/>
  <c r="I755" i="11" l="1"/>
  <c r="B754" i="11"/>
  <c r="B687" i="11"/>
  <c r="I756" i="11" l="1"/>
  <c r="B755" i="11"/>
  <c r="B688" i="11"/>
  <c r="I757" i="11" l="1"/>
  <c r="B756" i="11"/>
  <c r="B689" i="11"/>
  <c r="I758" i="11" l="1"/>
  <c r="B757" i="11"/>
  <c r="B690" i="11"/>
  <c r="I759" i="11" l="1"/>
  <c r="B758" i="11"/>
  <c r="B691" i="11"/>
  <c r="I760" i="11" l="1"/>
  <c r="B759" i="11"/>
  <c r="B692" i="11"/>
  <c r="I761" i="11" l="1"/>
  <c r="B760" i="11"/>
  <c r="B693" i="11"/>
  <c r="I762" i="11" l="1"/>
  <c r="B761" i="11"/>
  <c r="B694" i="11"/>
  <c r="I763" i="11" l="1"/>
  <c r="B762" i="11"/>
  <c r="B695" i="11"/>
  <c r="I764" i="11" l="1"/>
  <c r="B763" i="11"/>
  <c r="B696" i="11"/>
  <c r="I765" i="11" l="1"/>
  <c r="B764" i="11"/>
  <c r="B697" i="11"/>
  <c r="I766" i="11" l="1"/>
  <c r="B765" i="11"/>
  <c r="B698" i="11"/>
  <c r="I767" i="11" l="1"/>
  <c r="B766" i="11"/>
  <c r="B699" i="11"/>
  <c r="I768" i="11" l="1"/>
  <c r="B767" i="11"/>
  <c r="B700" i="11"/>
  <c r="I769" i="11" l="1"/>
  <c r="B768" i="11"/>
  <c r="I770" i="11" l="1"/>
  <c r="B769" i="11"/>
  <c r="I771" i="11" l="1"/>
  <c r="B770" i="11"/>
  <c r="I772" i="11" l="1"/>
  <c r="B771" i="11"/>
  <c r="I773" i="11" l="1"/>
  <c r="B772" i="11"/>
  <c r="I774" i="11" l="1"/>
  <c r="B773" i="11"/>
  <c r="I775" i="11" l="1"/>
  <c r="B774" i="11"/>
  <c r="I776" i="11" l="1"/>
  <c r="B775" i="11"/>
  <c r="I777" i="11" l="1"/>
  <c r="B776" i="11"/>
  <c r="I778" i="11" l="1"/>
  <c r="B777" i="11"/>
  <c r="I779" i="11" l="1"/>
  <c r="B778" i="11"/>
  <c r="I780" i="11" l="1"/>
  <c r="B779" i="11"/>
  <c r="I781" i="11" l="1"/>
  <c r="B780" i="11"/>
  <c r="I782" i="11" l="1"/>
  <c r="B781" i="11"/>
  <c r="I783" i="11" l="1"/>
  <c r="B782" i="11"/>
  <c r="I784" i="11" l="1"/>
  <c r="B783" i="11"/>
  <c r="I785" i="11" l="1"/>
  <c r="B784" i="11"/>
  <c r="I786" i="11" l="1"/>
  <c r="B785" i="11"/>
  <c r="I787" i="11" l="1"/>
  <c r="B786" i="11"/>
  <c r="I788" i="11" l="1"/>
  <c r="B787" i="11"/>
  <c r="I789" i="11" l="1"/>
  <c r="B788" i="11"/>
  <c r="I790" i="11" l="1"/>
  <c r="B789" i="11"/>
  <c r="I791" i="11" l="1"/>
  <c r="B790" i="11"/>
  <c r="I792" i="11" l="1"/>
  <c r="B791" i="11"/>
  <c r="I793" i="11" l="1"/>
  <c r="B792" i="11"/>
  <c r="I794" i="11" l="1"/>
  <c r="B793" i="11"/>
  <c r="I795" i="11" l="1"/>
  <c r="B794" i="11"/>
  <c r="I796" i="11" l="1"/>
  <c r="B795" i="11"/>
  <c r="I797" i="11" l="1"/>
  <c r="B796" i="11"/>
  <c r="I798" i="11" l="1"/>
  <c r="B797" i="11"/>
  <c r="I799" i="11" l="1"/>
  <c r="B798" i="11"/>
  <c r="I800" i="11" l="1"/>
  <c r="B799" i="11"/>
  <c r="I801" i="11" l="1"/>
  <c r="B800" i="11"/>
  <c r="I802" i="11" l="1"/>
  <c r="B801" i="11"/>
  <c r="I803" i="11" l="1"/>
  <c r="B802" i="11"/>
  <c r="I804" i="11" l="1"/>
  <c r="B803" i="11"/>
  <c r="I805" i="11" l="1"/>
  <c r="B804" i="11"/>
  <c r="I806" i="11" l="1"/>
  <c r="B805" i="11"/>
  <c r="I807" i="11" l="1"/>
  <c r="B806" i="11"/>
  <c r="I808" i="11" l="1"/>
  <c r="B808" i="11" s="1"/>
  <c r="B807" i="11"/>
</calcChain>
</file>

<file path=xl/sharedStrings.xml><?xml version="1.0" encoding="utf-8"?>
<sst xmlns="http://schemas.openxmlformats.org/spreadsheetml/2006/main" count="1088" uniqueCount="289">
  <si>
    <t xml:space="preserve">Installation Date : </t>
  </si>
  <si>
    <t>Project Name :</t>
  </si>
  <si>
    <t xml:space="preserve">Item : </t>
  </si>
  <si>
    <t>PVD Machine No :</t>
  </si>
  <si>
    <t xml:space="preserve">Operator : </t>
  </si>
  <si>
    <t>** Construction Status **</t>
  </si>
  <si>
    <t xml:space="preserve"> Time_Start
(3)</t>
  </si>
  <si>
    <t>Time_End
(4)</t>
  </si>
  <si>
    <t>Result
(10)</t>
  </si>
  <si>
    <t>Hole No.
(1)</t>
  </si>
  <si>
    <t xml:space="preserve">  Hole Code
(2)</t>
  </si>
  <si>
    <t xml:space="preserve">Design (m)
(5) </t>
  </si>
  <si>
    <t>Actual (m)
(6)</t>
  </si>
  <si>
    <t>Tổng chiều sâu cài đặt
The Total Install depth (m)</t>
  </si>
  <si>
    <t>Tổng cọc
Number of Install hole</t>
  </si>
  <si>
    <t>Tổng cọc đạt
Number of hole "S"</t>
  </si>
  <si>
    <t>Tổng cọc không đạt
Number of hole "X"</t>
  </si>
  <si>
    <t>Chiều sâu cọc lơn nhất
Max depth (m)</t>
  </si>
  <si>
    <t>Chiều sâu cọc nhỏ nhất
Min depth(m)</t>
  </si>
  <si>
    <t>Timming
H:M:S</t>
  </si>
  <si>
    <t>Pressure No.</t>
  </si>
  <si>
    <t>Distant (m)</t>
  </si>
  <si>
    <t>0</t>
  </si>
  <si>
    <t xml:space="preserve">PVD INSTALLATION RECORDER PROGRAME </t>
  </si>
  <si>
    <t>PVD Recorder</t>
  </si>
  <si>
    <t>(2,1)</t>
  </si>
  <si>
    <t>S</t>
  </si>
  <si>
    <t>(3,1)</t>
  </si>
  <si>
    <t>(4,1)</t>
  </si>
  <si>
    <t>(5,1)</t>
  </si>
  <si>
    <t>(6,1)</t>
  </si>
  <si>
    <t>(7,1)</t>
  </si>
  <si>
    <t>(8,1)</t>
  </si>
  <si>
    <t>(9,1)</t>
  </si>
  <si>
    <t>(10,1)</t>
  </si>
  <si>
    <t>(10,2)</t>
  </si>
  <si>
    <t>(9,2)</t>
  </si>
  <si>
    <t>(8,2)</t>
  </si>
  <si>
    <t>(7,2)</t>
  </si>
  <si>
    <t>(6,2)</t>
  </si>
  <si>
    <t>(5,2)</t>
  </si>
  <si>
    <t>(4,2)</t>
  </si>
  <si>
    <t>(3,2)</t>
  </si>
  <si>
    <t>(2,2)</t>
  </si>
  <si>
    <t>(1,2)</t>
  </si>
  <si>
    <t>(1,3)</t>
  </si>
  <si>
    <t>(2,3)</t>
  </si>
  <si>
    <t>(4,3)</t>
  </si>
  <si>
    <t>(5,3)</t>
  </si>
  <si>
    <t>(6,3)</t>
  </si>
  <si>
    <t>(7,3)</t>
  </si>
  <si>
    <t>(8,3)</t>
  </si>
  <si>
    <t>(9,3)</t>
  </si>
  <si>
    <t>(10,3)</t>
  </si>
  <si>
    <t>(10,4)</t>
  </si>
  <si>
    <t>(9,4)</t>
  </si>
  <si>
    <t>(8,4)</t>
  </si>
  <si>
    <t>(7,4)</t>
  </si>
  <si>
    <t>(6,4)</t>
  </si>
  <si>
    <t>(5,4)</t>
  </si>
  <si>
    <t>(4,4)</t>
  </si>
  <si>
    <t>(3,4)</t>
  </si>
  <si>
    <t>(2,4)</t>
  </si>
  <si>
    <t>(1,4)</t>
  </si>
  <si>
    <t>(1,5)</t>
  </si>
  <si>
    <t>(2,5)</t>
  </si>
  <si>
    <t>(3,5)</t>
  </si>
  <si>
    <t>(4,5)</t>
  </si>
  <si>
    <t>(5,5)</t>
  </si>
  <si>
    <t>(6,5)</t>
  </si>
  <si>
    <t>(7,5)</t>
  </si>
  <si>
    <t>(8,5)</t>
  </si>
  <si>
    <t>(9,5)</t>
  </si>
  <si>
    <t>(10,5)</t>
  </si>
  <si>
    <t>(10,6)</t>
  </si>
  <si>
    <t>(9,6)</t>
  </si>
  <si>
    <t>(8,6)</t>
  </si>
  <si>
    <t>(7,6)</t>
  </si>
  <si>
    <t>(6,6)</t>
  </si>
  <si>
    <t>(5,6)</t>
  </si>
  <si>
    <t>(4,6)</t>
  </si>
  <si>
    <t>(3,6)</t>
  </si>
  <si>
    <t>(2,6)</t>
  </si>
  <si>
    <t>(1,6)</t>
  </si>
  <si>
    <t>(1,7)</t>
  </si>
  <si>
    <t>(2,7)</t>
  </si>
  <si>
    <t>(3,7)</t>
  </si>
  <si>
    <t>(4,7)</t>
  </si>
  <si>
    <t>(5,7)</t>
  </si>
  <si>
    <t>(6,7)</t>
  </si>
  <si>
    <t>(7,7)</t>
  </si>
  <si>
    <t>(8,7)</t>
  </si>
  <si>
    <t>(9,7)</t>
  </si>
  <si>
    <t>(10,7)</t>
  </si>
  <si>
    <t>(10,8)</t>
  </si>
  <si>
    <t>(9,8)</t>
  </si>
  <si>
    <t>(8,8)</t>
  </si>
  <si>
    <t>(7,8)</t>
  </si>
  <si>
    <t>(6,8)</t>
  </si>
  <si>
    <t>(5,8)</t>
  </si>
  <si>
    <t>(4,8)</t>
  </si>
  <si>
    <t>(3,8)</t>
  </si>
  <si>
    <t>(2,8)</t>
  </si>
  <si>
    <t>(1,8)</t>
  </si>
  <si>
    <t>(1,9)</t>
  </si>
  <si>
    <t>(2,9)</t>
  </si>
  <si>
    <t>(3,9)</t>
  </si>
  <si>
    <t>(4,9)</t>
  </si>
  <si>
    <t>(5,9)</t>
  </si>
  <si>
    <t>(6,9)</t>
  </si>
  <si>
    <t>(7,9)</t>
  </si>
  <si>
    <t>(9,9)</t>
  </si>
  <si>
    <t>(10,9)</t>
  </si>
  <si>
    <t>(10,10)</t>
  </si>
  <si>
    <t>(9,10)</t>
  </si>
  <si>
    <t>(8,10)</t>
  </si>
  <si>
    <t>(7,10)</t>
  </si>
  <si>
    <t>(6,10)</t>
  </si>
  <si>
    <t>(5,10)</t>
  </si>
  <si>
    <t>(4,10)</t>
  </si>
  <si>
    <t>(3,10)</t>
  </si>
  <si>
    <t>(2,10)</t>
  </si>
  <si>
    <t>(1,10)</t>
  </si>
  <si>
    <t>(1,11)</t>
  </si>
  <si>
    <t>(2,11)</t>
  </si>
  <si>
    <t>(3,11)</t>
  </si>
  <si>
    <t>(4,11)</t>
  </si>
  <si>
    <t>(5,11)</t>
  </si>
  <si>
    <t>(6,11)</t>
  </si>
  <si>
    <t>(7,11)</t>
  </si>
  <si>
    <t>(8,11)</t>
  </si>
  <si>
    <t>(9,11)</t>
  </si>
  <si>
    <t>(10,11)</t>
  </si>
  <si>
    <t>(10,12)</t>
  </si>
  <si>
    <t>(9,12)</t>
  </si>
  <si>
    <t>(8,12)</t>
  </si>
  <si>
    <t>(7,12)</t>
  </si>
  <si>
    <t>(6,12)</t>
  </si>
  <si>
    <t>(5,12)</t>
  </si>
  <si>
    <t>(4,12)</t>
  </si>
  <si>
    <t>(3,12)</t>
  </si>
  <si>
    <t>(2,12)</t>
  </si>
  <si>
    <t>(1,12)</t>
  </si>
  <si>
    <t>(2,13)</t>
  </si>
  <si>
    <t>(3,13)</t>
  </si>
  <si>
    <t>(4,13)</t>
  </si>
  <si>
    <t>(5,13)</t>
  </si>
  <si>
    <t>(6,13)</t>
  </si>
  <si>
    <t>(7,13)</t>
  </si>
  <si>
    <t>(8,13)</t>
  </si>
  <si>
    <t>(9,13)</t>
  </si>
  <si>
    <t>(10,13)</t>
  </si>
  <si>
    <t>(10,14)</t>
  </si>
  <si>
    <t>(9,14)</t>
  </si>
  <si>
    <t>(8,14)</t>
  </si>
  <si>
    <t>(7,14)</t>
  </si>
  <si>
    <t>(6,14)</t>
  </si>
  <si>
    <t>(5,14)</t>
  </si>
  <si>
    <t>(4,14)</t>
  </si>
  <si>
    <t>(3,14)</t>
  </si>
  <si>
    <t>(2,14)</t>
  </si>
  <si>
    <t>(1,14)</t>
  </si>
  <si>
    <t>(1,15)</t>
  </si>
  <si>
    <t>(2,15)</t>
  </si>
  <si>
    <t>(3,15)</t>
  </si>
  <si>
    <t>(4,15)</t>
  </si>
  <si>
    <t>(5,15)</t>
  </si>
  <si>
    <t>(6,15)</t>
  </si>
  <si>
    <t>(7,15)</t>
  </si>
  <si>
    <t>(8,15)</t>
  </si>
  <si>
    <t>(9,15)</t>
  </si>
  <si>
    <t>(10,15)</t>
  </si>
  <si>
    <t>(10,16)</t>
  </si>
  <si>
    <t>(9,16)</t>
  </si>
  <si>
    <t>(8,16)</t>
  </si>
  <si>
    <t>(7,16)</t>
  </si>
  <si>
    <t>(6,16)</t>
  </si>
  <si>
    <t>(5,16)</t>
  </si>
  <si>
    <t>(3,16)</t>
  </si>
  <si>
    <t>(2,16)</t>
  </si>
  <si>
    <t>(1,16)</t>
  </si>
  <si>
    <t>(1,17)</t>
  </si>
  <si>
    <t>(2,17)</t>
  </si>
  <si>
    <t>(3,17)</t>
  </si>
  <si>
    <t>(4,17)</t>
  </si>
  <si>
    <t>(5,17)</t>
  </si>
  <si>
    <t>(6,17)</t>
  </si>
  <si>
    <t>(7,17)</t>
  </si>
  <si>
    <t>(9,17)</t>
  </si>
  <si>
    <t>(10,17)</t>
  </si>
  <si>
    <t>(9,18)</t>
  </si>
  <si>
    <t>(8,18)</t>
  </si>
  <si>
    <t>(7,18)</t>
  </si>
  <si>
    <t>(5,18)</t>
  </si>
  <si>
    <t>(4,18)</t>
  </si>
  <si>
    <t>(3,18)</t>
  </si>
  <si>
    <t>(1,18)</t>
  </si>
  <si>
    <t>(1,19)</t>
  </si>
  <si>
    <t>(2,19)</t>
  </si>
  <si>
    <t>(3,19)</t>
  </si>
  <si>
    <t>(4,19)</t>
  </si>
  <si>
    <t>(1,1)</t>
  </si>
  <si>
    <t>CONSTRUCTOR/ NHÀ THẦU</t>
  </si>
  <si>
    <t>CONSULTANT/ TƯ VẤN GIÁM SÁT</t>
  </si>
  <si>
    <t>Kỹ sư đường bộ/ Road Engineer</t>
  </si>
  <si>
    <t>Construction Site Engineer/ Giám sát đường</t>
  </si>
  <si>
    <t>(3,3)</t>
  </si>
  <si>
    <t>(8,9)</t>
  </si>
  <si>
    <t>(8,17)</t>
  </si>
  <si>
    <t>(5,19)</t>
  </si>
  <si>
    <t>(6,19)</t>
  </si>
  <si>
    <t>(8,19)</t>
  </si>
  <si>
    <t>(9,19)</t>
  </si>
  <si>
    <t>(10,19)</t>
  </si>
  <si>
    <t>(9,20)</t>
  </si>
  <si>
    <t>(8,20)</t>
  </si>
  <si>
    <t>(7,20)</t>
  </si>
  <si>
    <t>(6,20)</t>
  </si>
  <si>
    <t>(5,20)</t>
  </si>
  <si>
    <t>(4,20)</t>
  </si>
  <si>
    <t>(3,20)</t>
  </si>
  <si>
    <t>(2,20)</t>
  </si>
  <si>
    <t>(1,20)</t>
  </si>
  <si>
    <t>(1,21)</t>
  </si>
  <si>
    <t>(2,21)</t>
  </si>
  <si>
    <t>(3,21)</t>
  </si>
  <si>
    <t>(4,21)</t>
  </si>
  <si>
    <t>(5,21)</t>
  </si>
  <si>
    <t>(6,21)</t>
  </si>
  <si>
    <t>(7,21)</t>
  </si>
  <si>
    <t>(8,21)</t>
  </si>
  <si>
    <t>(9,21)</t>
  </si>
  <si>
    <t>(10,21)</t>
  </si>
  <si>
    <t>(10,22)</t>
  </si>
  <si>
    <t>(9,22)</t>
  </si>
  <si>
    <t>(8,22)</t>
  </si>
  <si>
    <t>(7,22)</t>
  </si>
  <si>
    <t>(6,22)</t>
  </si>
  <si>
    <t>(5,22)</t>
  </si>
  <si>
    <t>(4,22)</t>
  </si>
  <si>
    <t>(3,22)</t>
  </si>
  <si>
    <t>(2,22)</t>
  </si>
  <si>
    <t>Construction of My An – Cao Lanh Expressway Project (Phase 1)</t>
  </si>
  <si>
    <t xml:space="preserve">Work area : </t>
  </si>
  <si>
    <t>Tổng chiều sâu thực tế</t>
  </si>
  <si>
    <t>hung dung gruor</t>
  </si>
  <si>
    <t>nguyen van minh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</si>
  <si>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</si>
  <si>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</si>
  <si>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</si>
  <si>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</si>
  <si>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</si>
  <si>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</si>
  <si>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</si>
  <si>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</si>
  <si>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</si>
  <si>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</si>
  <si>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(11,11)</t>
  </si>
  <si>
    <t>(11,12)</t>
  </si>
  <si>
    <t>(11,13)</t>
  </si>
  <si>
    <t>(11,14)</t>
  </si>
  <si>
    <t>(11,15)</t>
  </si>
  <si>
    <t>(11,16)</t>
  </si>
  <si>
    <t>(11,17)</t>
  </si>
  <si>
    <t>(11,18)</t>
  </si>
  <si>
    <t>(11,19)</t>
  </si>
  <si>
    <t>(11,20)</t>
  </si>
  <si>
    <t>(11,21)</t>
  </si>
  <si>
    <t>(11,22)</t>
  </si>
  <si>
    <t>(1,22)</t>
  </si>
  <si>
    <t>(1,23)</t>
  </si>
  <si>
    <t>(2,23)</t>
  </si>
  <si>
    <t>(3,23)</t>
  </si>
  <si>
    <t>(4,23)</t>
  </si>
  <si>
    <t>(5,23)</t>
  </si>
  <si>
    <t>(6,23)</t>
  </si>
  <si>
    <t>(7,23)</t>
  </si>
  <si>
    <t>(8,23)</t>
  </si>
  <si>
    <t>(9,23)</t>
  </si>
  <si>
    <t>(10,23)</t>
  </si>
  <si>
    <t>(11,23)</t>
  </si>
  <si>
    <t>Nguyễn Phi Thịnh</t>
  </si>
  <si>
    <t>Võ Quốc Triệu Vỹ</t>
  </si>
  <si>
    <t>(10,20)</t>
  </si>
  <si>
    <t>(7,19)</t>
  </si>
  <si>
    <t>(2,18)</t>
  </si>
  <si>
    <t>(6,18)</t>
  </si>
  <si>
    <t>(10,18)</t>
  </si>
  <si>
    <t>Km10+130- Km10+170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</si>
</sst>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.5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62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4" fontId="5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64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0" fillId="0" borderId="0" xfId="0" applyNumberFormat="1"/>
    <xf numFmtId="0" fontId="5" fillId="0" borderId="0" xfId="0" applyFont="1" applyAlignment="1">
      <alignment horizontal="left" vertical="center"/>
    </xf>
    <xf numFmtId="0" fontId="1" fillId="0" borderId="4" xfId="0" applyFont="1" applyBorder="1"/>
    <xf numFmtId="0" fontId="1" fillId="0" borderId="3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3" fillId="0" borderId="4" xfId="0" applyFont="1" applyBorder="1"/>
    <xf numFmtId="0" fontId="3" fillId="0" borderId="3" xfId="0" applyFont="1" applyBorder="1"/>
    <xf numFmtId="2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3" fillId="0" borderId="1" xfId="0" quotePrefix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wrapText="1"/>
    </xf>
    <xf numFmtId="0" fontId="8" fillId="2" borderId="1" xfId="1" applyFont="1" applyFill="1" applyBorder="1" applyAlignment="1">
      <alignment horizont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top"/>
    </xf>
    <xf numFmtId="0" fontId="8" fillId="2" borderId="1" xfId="1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/>
    </xf>
    <xf numFmtId="0" fontId="8" fillId="0" borderId="6" xfId="1" applyFont="1" applyBorder="1" applyAlignment="1">
      <alignment horizontal="center"/>
    </xf>
    <xf numFmtId="0" fontId="8" fillId="0" borderId="7" xfId="1" applyFont="1" applyBorder="1" applyAlignment="1">
      <alignment horizontal="center"/>
    </xf>
    <xf numFmtId="0" fontId="8" fillId="0" borderId="8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8" fillId="0" borderId="9" xfId="1" applyFont="1" applyBorder="1" applyAlignment="1">
      <alignment horizontal="center"/>
    </xf>
    <xf numFmtId="0" fontId="8" fillId="0" borderId="10" xfId="1" applyFont="1" applyBorder="1" applyAlignment="1">
      <alignment horizontal="center"/>
    </xf>
    <xf numFmtId="0" fontId="8" fillId="0" borderId="11" xfId="1" applyFont="1" applyBorder="1" applyAlignment="1">
      <alignment horizontal="center"/>
    </xf>
    <xf numFmtId="0" fontId="8" fillId="0" borderId="12" xfId="1" applyFont="1" applyBorder="1" applyAlignment="1">
      <alignment horizontal="center"/>
    </xf>
  </cellXfs>
  <cellStyles count="3">
    <cellStyle name="Normal" xfId="0" builtinId="0"/>
    <cellStyle name="Normal 11 2" xfId="2" xr:uid="{EFDB6A6F-54E7-4D5D-A25F-398730E81A13}"/>
    <cellStyle name="Normal 2" xfId="1" xr:uid="{6DD15741-6B50-47EC-8C4E-B7FED7B466D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163664</xdr:colOff>
      <xdr:row>0</xdr:row>
      <xdr:rowOff>55312</xdr:rowOff>
    </xdr:from>
    <xdr:to>
      <xdr:col>18</xdr:col>
      <xdr:colOff>484188</xdr:colOff>
      <xdr:row>1</xdr:row>
      <xdr:rowOff>230188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8A5F74-53A8-4CA9-9B23-F6F8AAF41435}"/>
            </a:ext>
          </a:extLst>
        </xdr:cNvPr>
        <xdr:cNvSpPr txBox="1"/>
      </xdr:nvSpPr>
      <xdr:spPr>
        <a:xfrm>
          <a:off x="10744352" y="55312"/>
          <a:ext cx="5241774" cy="5161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rgbClr val="FFC000"/>
              </a:solidFill>
            </a:rPr>
            <a:t>PRESSURE DATA LOGIN</a:t>
          </a:r>
        </a:p>
      </xdr:txBody>
    </xdr:sp>
    <xdr:clientData/>
  </xdr:twoCellAnchor>
  <xdr:twoCellAnchor>
    <xdr:from>
      <xdr:col>12</xdr:col>
      <xdr:colOff>1512</xdr:colOff>
      <xdr:row>2</xdr:row>
      <xdr:rowOff>73454</xdr:rowOff>
    </xdr:from>
    <xdr:to>
      <xdr:col>17</xdr:col>
      <xdr:colOff>563563</xdr:colOff>
      <xdr:row>6</xdr:row>
      <xdr:rowOff>45231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F3A5328-D8E3-4A0B-96AD-D97FB413FC71}"/>
            </a:ext>
          </a:extLst>
        </xdr:cNvPr>
        <xdr:cNvSpPr txBox="1"/>
      </xdr:nvSpPr>
      <xdr:spPr>
        <a:xfrm>
          <a:off x="11836325" y="716392"/>
          <a:ext cx="3617988" cy="107508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Click Here</a:t>
          </a:r>
          <a:r>
            <a:rPr lang="en-US" sz="2800" b="1" baseline="0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 for more CHART LOG</a:t>
          </a:r>
          <a:endParaRPr lang="en-US" sz="2800" b="1">
            <a:solidFill>
              <a:schemeClr val="tx2">
                <a:lumMod val="60000"/>
                <a:lumOff val="40000"/>
              </a:schemeClr>
            </a:solidFill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DF2077"/>
  <sheetViews>
    <sheetView showZeros="0" tabSelected="1" view="pageBreakPreview" topLeftCell="A797" zoomScale="85" zoomScaleNormal="100" zoomScaleSheetLayoutView="85" workbookViewId="0">
      <selection activeCell="H811" sqref="H811"/>
    </sheetView>
  </sheetViews>
  <sheetFormatPr defaultRowHeight="14.4" x14ac:dyDescent="0.3"/>
  <cols>
    <col min="1" max="1" width="9.33203125" style="1" customWidth="1"/>
    <col min="2" max="2" width="8.6640625" style="1" customWidth="1"/>
    <col min="3" max="3" width="12.44140625" style="4" customWidth="1"/>
    <col min="4" max="4" width="13.109375" style="4" customWidth="1"/>
    <col min="5" max="5" width="12.33203125" style="2" customWidth="1"/>
    <col min="6" max="6" width="11.44140625" style="2" customWidth="1"/>
    <col min="7" max="7" width="9.6640625" style="1" customWidth="1"/>
    <col min="8" max="8" width="13.44140625" customWidth="1"/>
    <col min="9" max="9" width="14.33203125" customWidth="1"/>
    <col min="10" max="10" width="0.109375" customWidth="1"/>
    <col min="11" max="11" width="9.109375" style="1"/>
  </cols>
  <sheetData>
    <row r="1" spans="1:110" ht="27" customHeight="1" x14ac:dyDescent="0.3">
      <c r="A1" s="35" t="s">
        <v>23</v>
      </c>
      <c r="B1" s="35"/>
      <c r="C1" s="35"/>
      <c r="D1" s="35"/>
      <c r="E1" s="35"/>
      <c r="F1" s="35"/>
      <c r="G1" s="35"/>
      <c r="H1" s="35"/>
    </row>
    <row r="2" spans="1:110" s="5" customFormat="1" ht="24" customHeight="1" x14ac:dyDescent="0.3">
      <c r="A2" s="36" t="s">
        <v>1</v>
      </c>
      <c r="B2" s="36"/>
      <c r="C2" s="23" t="s">
        <v>242</v>
      </c>
      <c r="D2" s="6"/>
      <c r="E2" s="6"/>
      <c r="F2" s="6"/>
      <c r="G2" s="6"/>
      <c r="K2" s="6"/>
    </row>
    <row r="3" spans="1:110" s="5" customFormat="1" ht="24" customHeight="1" x14ac:dyDescent="0.3">
      <c r="A3" s="36" t="s">
        <v>2</v>
      </c>
      <c r="B3" s="36"/>
      <c r="C3" s="17" t="s">
        <v>24</v>
      </c>
      <c r="D3" s="6"/>
      <c r="E3" s="6"/>
      <c r="F3" s="6"/>
      <c r="G3" s="6"/>
      <c r="K3" s="6"/>
    </row>
    <row r="4" spans="1:110" s="5" customFormat="1" ht="20.100000000000001" customHeight="1" x14ac:dyDescent="0.3">
      <c r="A4" s="36" t="s">
        <v>243</v>
      </c>
      <c r="B4" s="36"/>
      <c r="C4" s="17" t="s">
        <v>288</v>
      </c>
      <c r="D4" s="6"/>
      <c r="E4" s="6"/>
      <c r="F4" s="6"/>
      <c r="G4" s="6"/>
      <c r="K4" s="6"/>
    </row>
    <row r="5" spans="1:110" s="5" customFormat="1" ht="23.1" customHeight="1" x14ac:dyDescent="0.3">
      <c r="A5" s="36" t="s">
        <v>3</v>
      </c>
      <c r="B5" s="36"/>
      <c r="C5" s="17" t="s">
        <v>245</v>
      </c>
      <c r="D5" s="6"/>
      <c r="E5" s="6"/>
      <c r="F5" s="6"/>
      <c r="G5" s="6"/>
      <c r="K5" s="6"/>
    </row>
    <row r="6" spans="1:110" s="5" customFormat="1" ht="20.100000000000001" customHeight="1" x14ac:dyDescent="0.3">
      <c r="A6" s="36" t="s">
        <v>4</v>
      </c>
      <c r="B6" s="36"/>
      <c r="C6" s="17" t="s">
        <v>246</v>
      </c>
      <c r="D6" s="6"/>
      <c r="E6" s="6"/>
      <c r="F6" s="6"/>
      <c r="G6" s="6"/>
      <c r="K6" s="6"/>
    </row>
    <row r="7" spans="1:110" s="5" customFormat="1" ht="21" customHeight="1" x14ac:dyDescent="0.3">
      <c r="A7" s="36" t="s">
        <v>0</v>
      </c>
      <c r="B7" s="36"/>
      <c r="C7" s="8">
        <v>46083</v>
      </c>
      <c r="D7" s="6"/>
      <c r="E7" s="6"/>
      <c r="F7" s="6"/>
      <c r="G7" s="6"/>
      <c r="K7" s="6"/>
    </row>
    <row r="8" spans="1:110" s="5" customFormat="1" ht="15.6" x14ac:dyDescent="0.3">
      <c r="A8" s="37"/>
      <c r="B8" s="37"/>
      <c r="C8" s="7"/>
      <c r="D8" s="6"/>
      <c r="E8" s="6"/>
      <c r="F8" s="6"/>
      <c r="G8" s="6"/>
      <c r="I8" s="11" t="s">
        <v>20</v>
      </c>
      <c r="J8" s="11"/>
      <c r="K8" s="12">
        <v>1</v>
      </c>
      <c r="L8" s="12">
        <v>2</v>
      </c>
      <c r="M8" s="12">
        <v>3</v>
      </c>
      <c r="N8" s="12">
        <v>4</v>
      </c>
      <c r="O8" s="12">
        <v>5</v>
      </c>
      <c r="P8" s="12">
        <v>6</v>
      </c>
      <c r="Q8" s="12">
        <v>7</v>
      </c>
      <c r="R8" s="12">
        <v>8</v>
      </c>
      <c r="S8" s="12">
        <v>9</v>
      </c>
      <c r="T8" s="12">
        <v>10</v>
      </c>
      <c r="U8" s="12">
        <v>11</v>
      </c>
      <c r="V8" s="12">
        <v>12</v>
      </c>
      <c r="W8" s="12">
        <v>13</v>
      </c>
      <c r="X8" s="12">
        <v>14</v>
      </c>
      <c r="Y8" s="12">
        <v>15</v>
      </c>
      <c r="Z8" s="12">
        <v>16</v>
      </c>
      <c r="AA8" s="12">
        <v>17</v>
      </c>
      <c r="AB8" s="12">
        <v>18</v>
      </c>
      <c r="AC8" s="12">
        <v>19</v>
      </c>
      <c r="AD8" s="12">
        <v>20</v>
      </c>
      <c r="AE8" s="12">
        <v>21</v>
      </c>
      <c r="AF8" s="12">
        <v>22</v>
      </c>
      <c r="AG8" s="12">
        <v>23</v>
      </c>
      <c r="AH8" s="12">
        <v>24</v>
      </c>
      <c r="AI8" s="12">
        <v>25</v>
      </c>
      <c r="AJ8" s="12">
        <v>26</v>
      </c>
      <c r="AK8" s="12">
        <v>27</v>
      </c>
      <c r="AL8" s="12">
        <v>28</v>
      </c>
      <c r="AM8" s="12">
        <v>29</v>
      </c>
      <c r="AN8" s="12">
        <v>30</v>
      </c>
      <c r="AO8" s="12">
        <v>31</v>
      </c>
      <c r="AP8" s="12">
        <v>32</v>
      </c>
      <c r="AQ8" s="12">
        <v>33</v>
      </c>
      <c r="AR8" s="12">
        <v>34</v>
      </c>
      <c r="AS8" s="12">
        <v>35</v>
      </c>
      <c r="AT8" s="12">
        <v>36</v>
      </c>
      <c r="AU8" s="12">
        <v>37</v>
      </c>
      <c r="AV8" s="12">
        <v>38</v>
      </c>
      <c r="AW8" s="12">
        <v>39</v>
      </c>
      <c r="AX8" s="12">
        <v>40</v>
      </c>
      <c r="AY8" s="12">
        <v>41</v>
      </c>
      <c r="AZ8" s="12">
        <v>42</v>
      </c>
      <c r="BA8" s="12">
        <v>43</v>
      </c>
      <c r="BB8" s="12">
        <v>44</v>
      </c>
      <c r="BC8" s="12">
        <v>45</v>
      </c>
      <c r="BD8" s="12">
        <v>46</v>
      </c>
      <c r="BE8" s="12">
        <v>47</v>
      </c>
      <c r="BF8" s="12">
        <v>48</v>
      </c>
      <c r="BG8" s="12">
        <v>49</v>
      </c>
      <c r="BH8" s="12">
        <v>50</v>
      </c>
      <c r="BI8" s="12">
        <v>51</v>
      </c>
      <c r="BJ8" s="12">
        <v>52</v>
      </c>
      <c r="BK8" s="12">
        <v>53</v>
      </c>
      <c r="BL8" s="12">
        <v>54</v>
      </c>
      <c r="BM8" s="12">
        <v>55</v>
      </c>
      <c r="BN8" s="12">
        <v>56</v>
      </c>
      <c r="BO8" s="12">
        <v>57</v>
      </c>
      <c r="BP8" s="12">
        <v>58</v>
      </c>
      <c r="BQ8" s="12">
        <v>59</v>
      </c>
      <c r="BR8" s="12">
        <v>60</v>
      </c>
      <c r="BS8" s="12">
        <v>61</v>
      </c>
      <c r="BT8" s="12">
        <v>62</v>
      </c>
      <c r="BU8" s="12">
        <v>63</v>
      </c>
      <c r="BV8" s="12">
        <v>64</v>
      </c>
      <c r="BW8" s="12">
        <v>65</v>
      </c>
      <c r="BX8" s="12">
        <v>66</v>
      </c>
      <c r="BY8" s="12">
        <v>67</v>
      </c>
      <c r="BZ8" s="12">
        <v>68</v>
      </c>
      <c r="CA8" s="12">
        <v>69</v>
      </c>
      <c r="CB8" s="12">
        <v>70</v>
      </c>
      <c r="CC8" s="12">
        <v>71</v>
      </c>
      <c r="CD8" s="12">
        <v>72</v>
      </c>
      <c r="CE8" s="12">
        <v>73</v>
      </c>
      <c r="CF8" s="12">
        <v>74</v>
      </c>
      <c r="CG8" s="12">
        <v>75</v>
      </c>
      <c r="CH8" s="12">
        <v>76</v>
      </c>
      <c r="CI8" s="12">
        <v>77</v>
      </c>
      <c r="CJ8" s="12">
        <v>78</v>
      </c>
      <c r="CK8" s="12">
        <v>79</v>
      </c>
      <c r="CL8" s="12">
        <v>80</v>
      </c>
      <c r="CM8" s="12">
        <v>81</v>
      </c>
      <c r="CN8" s="12">
        <v>82</v>
      </c>
      <c r="CO8" s="12">
        <v>83</v>
      </c>
      <c r="CP8" s="12">
        <v>84</v>
      </c>
      <c r="CQ8" s="12">
        <v>85</v>
      </c>
      <c r="CR8" s="12">
        <v>86</v>
      </c>
      <c r="CS8" s="12">
        <v>87</v>
      </c>
      <c r="CT8" s="12">
        <v>88</v>
      </c>
      <c r="CU8" s="12">
        <v>89</v>
      </c>
      <c r="CV8" s="12">
        <v>90</v>
      </c>
      <c r="CW8" s="12">
        <v>91</v>
      </c>
      <c r="CX8" s="12">
        <v>92</v>
      </c>
      <c r="CY8" s="12">
        <v>93</v>
      </c>
      <c r="CZ8" s="12">
        <v>94</v>
      </c>
      <c r="DA8" s="12">
        <v>95</v>
      </c>
      <c r="DB8" s="12">
        <v>96</v>
      </c>
      <c r="DC8" s="12">
        <v>97</v>
      </c>
      <c r="DD8" s="12">
        <v>98</v>
      </c>
      <c r="DE8" s="12">
        <v>99</v>
      </c>
      <c r="DF8" s="12">
        <v>100</v>
      </c>
    </row>
    <row r="9" spans="1:110" ht="46.8" x14ac:dyDescent="0.3">
      <c r="A9" s="20" t="s">
        <v>9</v>
      </c>
      <c r="B9" s="20" t="s">
        <v>10</v>
      </c>
      <c r="C9" s="21" t="s">
        <v>6</v>
      </c>
      <c r="D9" s="21" t="s">
        <v>7</v>
      </c>
      <c r="E9" s="22" t="s">
        <v>11</v>
      </c>
      <c r="F9" s="22" t="s">
        <v>12</v>
      </c>
      <c r="G9" s="20" t="s">
        <v>8</v>
      </c>
      <c r="H9" s="20" t="s">
        <v>19</v>
      </c>
      <c r="I9" s="9" t="s">
        <v>21</v>
      </c>
      <c r="J9" s="9"/>
      <c r="K9" s="13" t="s">
        <v>22</v>
      </c>
      <c r="L9" s="14">
        <v>0.5</v>
      </c>
      <c r="M9" s="14">
        <f>L9+0.5</f>
        <v>1</v>
      </c>
      <c r="N9" s="14">
        <f t="shared" ref="N9:BY9" si="0">M9+0.5</f>
        <v>1.5</v>
      </c>
      <c r="O9" s="14">
        <f t="shared" si="0"/>
        <v>2</v>
      </c>
      <c r="P9" s="14">
        <f t="shared" si="0"/>
        <v>2.5</v>
      </c>
      <c r="Q9" s="14">
        <f t="shared" si="0"/>
        <v>3</v>
      </c>
      <c r="R9" s="14">
        <f t="shared" si="0"/>
        <v>3.5</v>
      </c>
      <c r="S9" s="14">
        <f t="shared" si="0"/>
        <v>4</v>
      </c>
      <c r="T9" s="14">
        <f t="shared" si="0"/>
        <v>4.5</v>
      </c>
      <c r="U9" s="14">
        <f t="shared" si="0"/>
        <v>5</v>
      </c>
      <c r="V9" s="14">
        <f t="shared" si="0"/>
        <v>5.5</v>
      </c>
      <c r="W9" s="14">
        <f t="shared" si="0"/>
        <v>6</v>
      </c>
      <c r="X9" s="14">
        <f t="shared" si="0"/>
        <v>6.5</v>
      </c>
      <c r="Y9" s="15">
        <f t="shared" si="0"/>
        <v>7</v>
      </c>
      <c r="Z9" s="15">
        <f t="shared" si="0"/>
        <v>7.5</v>
      </c>
      <c r="AA9" s="15">
        <f t="shared" si="0"/>
        <v>8</v>
      </c>
      <c r="AB9" s="15">
        <f t="shared" si="0"/>
        <v>8.5</v>
      </c>
      <c r="AC9" s="15">
        <f t="shared" si="0"/>
        <v>9</v>
      </c>
      <c r="AD9" s="15">
        <f t="shared" si="0"/>
        <v>9.5</v>
      </c>
      <c r="AE9" s="15">
        <f t="shared" si="0"/>
        <v>10</v>
      </c>
      <c r="AF9" s="15">
        <f t="shared" si="0"/>
        <v>10.5</v>
      </c>
      <c r="AG9" s="15">
        <f t="shared" si="0"/>
        <v>11</v>
      </c>
      <c r="AH9" s="15">
        <f t="shared" si="0"/>
        <v>11.5</v>
      </c>
      <c r="AI9" s="15">
        <f t="shared" si="0"/>
        <v>12</v>
      </c>
      <c r="AJ9" s="15">
        <f t="shared" si="0"/>
        <v>12.5</v>
      </c>
      <c r="AK9" s="15">
        <f t="shared" si="0"/>
        <v>13</v>
      </c>
      <c r="AL9" s="15">
        <f t="shared" si="0"/>
        <v>13.5</v>
      </c>
      <c r="AM9" s="15">
        <f t="shared" si="0"/>
        <v>14</v>
      </c>
      <c r="AN9" s="15">
        <f t="shared" si="0"/>
        <v>14.5</v>
      </c>
      <c r="AO9" s="15">
        <f t="shared" si="0"/>
        <v>15</v>
      </c>
      <c r="AP9" s="15">
        <f t="shared" si="0"/>
        <v>15.5</v>
      </c>
      <c r="AQ9" s="15">
        <f t="shared" si="0"/>
        <v>16</v>
      </c>
      <c r="AR9" s="15">
        <f t="shared" si="0"/>
        <v>16.5</v>
      </c>
      <c r="AS9" s="15">
        <f t="shared" si="0"/>
        <v>17</v>
      </c>
      <c r="AT9" s="15">
        <f t="shared" si="0"/>
        <v>17.5</v>
      </c>
      <c r="AU9" s="15">
        <f t="shared" si="0"/>
        <v>18</v>
      </c>
      <c r="AV9" s="15">
        <f t="shared" si="0"/>
        <v>18.5</v>
      </c>
      <c r="AW9" s="15">
        <f t="shared" si="0"/>
        <v>19</v>
      </c>
      <c r="AX9" s="15">
        <f t="shared" si="0"/>
        <v>19.5</v>
      </c>
      <c r="AY9" s="15">
        <f t="shared" si="0"/>
        <v>20</v>
      </c>
      <c r="AZ9" s="15">
        <f t="shared" si="0"/>
        <v>20.5</v>
      </c>
      <c r="BA9" s="15">
        <f t="shared" si="0"/>
        <v>21</v>
      </c>
      <c r="BB9" s="15">
        <f t="shared" si="0"/>
        <v>21.5</v>
      </c>
      <c r="BC9" s="15">
        <f t="shared" si="0"/>
        <v>22</v>
      </c>
      <c r="BD9" s="15">
        <f t="shared" si="0"/>
        <v>22.5</v>
      </c>
      <c r="BE9" s="15">
        <f t="shared" si="0"/>
        <v>23</v>
      </c>
      <c r="BF9" s="15">
        <f t="shared" si="0"/>
        <v>23.5</v>
      </c>
      <c r="BG9" s="15">
        <f t="shared" si="0"/>
        <v>24</v>
      </c>
      <c r="BH9" s="15">
        <f t="shared" si="0"/>
        <v>24.5</v>
      </c>
      <c r="BI9" s="15">
        <f t="shared" si="0"/>
        <v>25</v>
      </c>
      <c r="BJ9" s="15">
        <f t="shared" si="0"/>
        <v>25.5</v>
      </c>
      <c r="BK9" s="15">
        <f t="shared" si="0"/>
        <v>26</v>
      </c>
      <c r="BL9" s="15">
        <f t="shared" si="0"/>
        <v>26.5</v>
      </c>
      <c r="BM9" s="15">
        <f t="shared" si="0"/>
        <v>27</v>
      </c>
      <c r="BN9" s="15">
        <f t="shared" si="0"/>
        <v>27.5</v>
      </c>
      <c r="BO9" s="15">
        <f t="shared" si="0"/>
        <v>28</v>
      </c>
      <c r="BP9" s="15">
        <f t="shared" si="0"/>
        <v>28.5</v>
      </c>
      <c r="BQ9" s="15">
        <f t="shared" si="0"/>
        <v>29</v>
      </c>
      <c r="BR9" s="15">
        <f t="shared" si="0"/>
        <v>29.5</v>
      </c>
      <c r="BS9" s="15">
        <f t="shared" si="0"/>
        <v>30</v>
      </c>
      <c r="BT9" s="15">
        <f t="shared" si="0"/>
        <v>30.5</v>
      </c>
      <c r="BU9" s="15">
        <f t="shared" si="0"/>
        <v>31</v>
      </c>
      <c r="BV9" s="15">
        <f t="shared" si="0"/>
        <v>31.5</v>
      </c>
      <c r="BW9" s="15">
        <f t="shared" si="0"/>
        <v>32</v>
      </c>
      <c r="BX9" s="15">
        <f t="shared" si="0"/>
        <v>32.5</v>
      </c>
      <c r="BY9" s="15">
        <f t="shared" si="0"/>
        <v>33</v>
      </c>
      <c r="BZ9" s="15">
        <f t="shared" ref="BZ9:DF9" si="1">BY9+0.5</f>
        <v>33.5</v>
      </c>
      <c r="CA9" s="15">
        <f t="shared" si="1"/>
        <v>34</v>
      </c>
      <c r="CB9" s="15">
        <f t="shared" si="1"/>
        <v>34.5</v>
      </c>
      <c r="CC9" s="15">
        <f t="shared" si="1"/>
        <v>35</v>
      </c>
      <c r="CD9" s="15">
        <f t="shared" si="1"/>
        <v>35.5</v>
      </c>
      <c r="CE9" s="15">
        <f t="shared" si="1"/>
        <v>36</v>
      </c>
      <c r="CF9" s="15">
        <f t="shared" si="1"/>
        <v>36.5</v>
      </c>
      <c r="CG9" s="15">
        <f t="shared" si="1"/>
        <v>37</v>
      </c>
      <c r="CH9" s="15">
        <f t="shared" si="1"/>
        <v>37.5</v>
      </c>
      <c r="CI9" s="15">
        <f t="shared" si="1"/>
        <v>38</v>
      </c>
      <c r="CJ9" s="15">
        <f t="shared" si="1"/>
        <v>38.5</v>
      </c>
      <c r="CK9" s="15">
        <f t="shared" si="1"/>
        <v>39</v>
      </c>
      <c r="CL9" s="15">
        <f t="shared" si="1"/>
        <v>39.5</v>
      </c>
      <c r="CM9" s="15">
        <f t="shared" si="1"/>
        <v>40</v>
      </c>
      <c r="CN9" s="15">
        <f t="shared" si="1"/>
        <v>40.5</v>
      </c>
      <c r="CO9" s="15">
        <f t="shared" si="1"/>
        <v>41</v>
      </c>
      <c r="CP9" s="15">
        <f t="shared" si="1"/>
        <v>41.5</v>
      </c>
      <c r="CQ9" s="15">
        <f t="shared" si="1"/>
        <v>42</v>
      </c>
      <c r="CR9" s="15">
        <f t="shared" si="1"/>
        <v>42.5</v>
      </c>
      <c r="CS9" s="15">
        <f t="shared" si="1"/>
        <v>43</v>
      </c>
      <c r="CT9" s="15">
        <f t="shared" si="1"/>
        <v>43.5</v>
      </c>
      <c r="CU9" s="15">
        <f t="shared" si="1"/>
        <v>44</v>
      </c>
      <c r="CV9" s="15">
        <f t="shared" si="1"/>
        <v>44.5</v>
      </c>
      <c r="CW9" s="15">
        <f t="shared" si="1"/>
        <v>45</v>
      </c>
      <c r="CX9" s="15">
        <f t="shared" si="1"/>
        <v>45.5</v>
      </c>
      <c r="CY9" s="15">
        <f t="shared" si="1"/>
        <v>46</v>
      </c>
      <c r="CZ9" s="15">
        <f t="shared" si="1"/>
        <v>46.5</v>
      </c>
      <c r="DA9" s="15">
        <f t="shared" si="1"/>
        <v>47</v>
      </c>
      <c r="DB9" s="15">
        <f t="shared" si="1"/>
        <v>47.5</v>
      </c>
      <c r="DC9" s="15">
        <f t="shared" si="1"/>
        <v>48</v>
      </c>
      <c r="DD9" s="15">
        <f t="shared" si="1"/>
        <v>48.5</v>
      </c>
      <c r="DE9" s="15">
        <f t="shared" si="1"/>
        <v>49</v>
      </c>
      <c r="DF9" s="15">
        <f t="shared" si="1"/>
        <v>49.5</v>
      </c>
    </row>
    <row r="10" spans="1:110" ht="14.25" customHeight="1" x14ac:dyDescent="0.3">
      <c r="A10" s="1">
        <v>1</v>
      </c>
      <c r="B10" s="1" t="s">
        <v>201</v>
      </c>
      <c r="C10" s="4">
        <v>0.29872685185185183</v>
      </c>
      <c r="D10" s="4">
        <v>0.29890046296296297</v>
      </c>
      <c r="E10" s="2">
        <v>13.299999999999999</v>
      </c>
      <c r="F10" s="2">
        <v>13.309999999999999</v>
      </c>
      <c r="G10" s="1" t="s">
        <v>26</v>
      </c>
      <c r="H10" s="4">
        <f>D10-C10</f>
        <v>1.7361111111113825E-4</v>
      </c>
      <c r="J10">
        <v>390.20001220703125</v>
      </c>
      <c r="K10" s="3">
        <v>390.10000610351563</v>
      </c>
      <c r="L10" s="3">
        <v>390.10000610351563</v>
      </c>
      <c r="M10" s="3">
        <v>390.10000610351563</v>
      </c>
      <c r="N10" s="3">
        <v>390.10000610351563</v>
      </c>
      <c r="O10" s="3">
        <v>397.29998779296875</v>
      </c>
      <c r="P10" s="3">
        <v>397.29998779296875</v>
      </c>
      <c r="Q10" s="3"/>
      <c r="R10" s="3">
        <v>390.10000610351563</v>
      </c>
      <c r="S10" s="3">
        <v>396.10000610351563</v>
      </c>
      <c r="T10" s="3">
        <v>396.10000610351563</v>
      </c>
      <c r="U10" s="3"/>
      <c r="V10" s="3">
        <v>398.70001220703125</v>
      </c>
      <c r="W10" s="3">
        <v>398.70001220703125</v>
      </c>
      <c r="X10" s="3">
        <v>398.5</v>
      </c>
      <c r="Y10" s="3">
        <v>392.89999389648438</v>
      </c>
      <c r="Z10" s="3">
        <v>394.60000610351563</v>
      </c>
      <c r="AA10" s="3">
        <v>392.29998779296875</v>
      </c>
      <c r="AB10" s="3">
        <v>392.29998779296875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</row>
    <row r="11" spans="1:110" ht="14.25" customHeight="1" x14ac:dyDescent="0.3">
      <c r="A11" s="1">
        <f>A10+1</f>
        <v>2</v>
      </c>
      <c r="B11" s="1" t="s">
        <v>25</v>
      </c>
      <c r="C11" s="4">
        <v>0.2991435185185185</v>
      </c>
      <c r="D11" s="4">
        <v>0.29929398148148145</v>
      </c>
      <c r="E11" s="2">
        <v>13.299999999999999</v>
      </c>
      <c r="F11" s="2">
        <v>13.36</v>
      </c>
      <c r="G11" s="1" t="s">
        <v>26</v>
      </c>
      <c r="H11" s="4">
        <f t="shared" ref="H11" si="2">D11-C11</f>
        <v>1.5046296296294948E-4</v>
      </c>
      <c r="J11">
        <v>393.29998779296875</v>
      </c>
      <c r="K11" s="3">
        <v>393.29998779296875</v>
      </c>
      <c r="L11" s="3"/>
      <c r="M11" s="3">
        <v>398.60000610351563</v>
      </c>
      <c r="N11" s="3">
        <v>398.60000610351563</v>
      </c>
      <c r="O11" s="3">
        <v>397.5</v>
      </c>
      <c r="P11" s="3">
        <v>397.5</v>
      </c>
      <c r="Q11" s="3"/>
      <c r="R11" s="3">
        <v>399.89999389648438</v>
      </c>
      <c r="S11" s="3">
        <v>399.89999389648438</v>
      </c>
      <c r="T11" s="3"/>
      <c r="U11" s="3">
        <v>391.10000610351563</v>
      </c>
      <c r="V11" s="3">
        <v>391.10000610351563</v>
      </c>
      <c r="W11" s="3"/>
      <c r="X11" s="3">
        <v>394.10000610351563</v>
      </c>
      <c r="Y11" s="3">
        <v>394.10000610351563</v>
      </c>
      <c r="Z11" s="3"/>
      <c r="AA11" s="3"/>
      <c r="AB11" s="3">
        <v>399.5</v>
      </c>
      <c r="AC11" s="3">
        <v>399.5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</row>
    <row r="12" spans="1:110" ht="14.25" customHeight="1" x14ac:dyDescent="0.3">
      <c r="A12" s="1">
        <f t="shared" ref="A12:A75" si="3">A11+1</f>
        <v>3</v>
      </c>
      <c r="B12" s="1" t="s">
        <v>27</v>
      </c>
      <c r="C12" s="4">
        <v>0.29957175925925922</v>
      </c>
      <c r="D12" s="4">
        <v>0.29973379629629626</v>
      </c>
      <c r="E12" s="2">
        <v>13.299999999999999</v>
      </c>
      <c r="F12" s="2">
        <v>13.339999999999998</v>
      </c>
      <c r="G12" s="1" t="s">
        <v>26</v>
      </c>
      <c r="H12" s="4">
        <f t="shared" ref="H12:H75" si="4">D12-C12</f>
        <v>1.6203703703704386E-4</v>
      </c>
      <c r="J12">
        <v>390.39999389648438</v>
      </c>
      <c r="K12" s="3">
        <v>392.39999389648438</v>
      </c>
      <c r="L12" s="3">
        <v>392.39999389648438</v>
      </c>
      <c r="M12" s="3">
        <v>392.60000610351563</v>
      </c>
      <c r="N12" s="3">
        <v>392.60000610351563</v>
      </c>
      <c r="O12" s="3">
        <v>399.89999389648438</v>
      </c>
      <c r="P12" s="3">
        <v>399.89999389648438</v>
      </c>
      <c r="Q12" s="3">
        <v>398.79998779296875</v>
      </c>
      <c r="R12" s="3">
        <v>398.79998779296875</v>
      </c>
      <c r="S12" s="3"/>
      <c r="T12" s="3">
        <v>399.89999389648438</v>
      </c>
      <c r="U12" s="3">
        <v>395.60000610351563</v>
      </c>
      <c r="V12" s="3">
        <v>395.60000610351563</v>
      </c>
      <c r="W12" s="3">
        <v>395.29998779296875</v>
      </c>
      <c r="X12" s="3">
        <v>395.29998779296875</v>
      </c>
      <c r="Y12" s="3">
        <v>392.5</v>
      </c>
      <c r="Z12" s="3">
        <v>392.5</v>
      </c>
      <c r="AA12" s="3">
        <v>390.70001220703125</v>
      </c>
      <c r="AB12" s="3">
        <v>390.70001220703125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</row>
    <row r="13" spans="1:110" ht="14.25" customHeight="1" x14ac:dyDescent="0.3">
      <c r="A13" s="1">
        <f t="shared" si="3"/>
        <v>4</v>
      </c>
      <c r="B13" s="1" t="s">
        <v>28</v>
      </c>
      <c r="C13" s="4">
        <v>0.3</v>
      </c>
      <c r="D13" s="4">
        <v>0.30016203703703703</v>
      </c>
      <c r="E13" s="2">
        <v>13.299999999999999</v>
      </c>
      <c r="F13" s="2">
        <v>13.399999999999999</v>
      </c>
      <c r="G13" s="1" t="s">
        <v>26</v>
      </c>
      <c r="H13" s="4">
        <f t="shared" si="4"/>
        <v>1.6203703703704386E-4</v>
      </c>
      <c r="J13">
        <v>391.10000610351563</v>
      </c>
      <c r="K13" s="3">
        <v>391.10000610351563</v>
      </c>
      <c r="L13" s="3">
        <v>391.10000610351563</v>
      </c>
      <c r="M13" s="3">
        <v>398.5</v>
      </c>
      <c r="N13" s="3">
        <v>396.89999389648438</v>
      </c>
      <c r="O13" s="3">
        <v>396.89999389648438</v>
      </c>
      <c r="P13" s="3">
        <v>394.39999389648438</v>
      </c>
      <c r="Q13" s="3">
        <v>394.39999389648438</v>
      </c>
      <c r="R13" s="3">
        <v>394.39999389648438</v>
      </c>
      <c r="S13" s="3">
        <v>394.39999389648438</v>
      </c>
      <c r="T13" s="3"/>
      <c r="U13" s="3">
        <v>394.20001220703125</v>
      </c>
      <c r="V13" s="3">
        <v>391.29998779296875</v>
      </c>
      <c r="W13" s="3">
        <v>391.29998779296875</v>
      </c>
      <c r="X13" s="3">
        <v>399.5</v>
      </c>
      <c r="Y13" s="3">
        <v>399.5</v>
      </c>
      <c r="Z13" s="3">
        <v>399</v>
      </c>
      <c r="AA13" s="3">
        <v>392.29998779296875</v>
      </c>
      <c r="AB13" s="3">
        <v>392.29998779296875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</row>
    <row r="14" spans="1:110" ht="14.25" customHeight="1" x14ac:dyDescent="0.3">
      <c r="A14" s="1">
        <f t="shared" si="3"/>
        <v>5</v>
      </c>
      <c r="B14" s="1" t="s">
        <v>29</v>
      </c>
      <c r="C14" s="4">
        <v>0.30045138888888889</v>
      </c>
      <c r="D14" s="4">
        <v>0.3005902777777778</v>
      </c>
      <c r="E14" s="2">
        <v>13.299999999999999</v>
      </c>
      <c r="F14" s="2">
        <v>13.419999999999998</v>
      </c>
      <c r="G14" s="1" t="s">
        <v>26</v>
      </c>
      <c r="H14" s="4">
        <f t="shared" si="4"/>
        <v>1.388888888889106E-4</v>
      </c>
      <c r="J14">
        <v>394.10000610351563</v>
      </c>
      <c r="K14" s="3">
        <v>390.10000610351563</v>
      </c>
      <c r="L14" s="3">
        <v>396.89999389648438</v>
      </c>
      <c r="M14" s="3">
        <v>396.89999389648438</v>
      </c>
      <c r="N14" s="3"/>
      <c r="O14" s="3">
        <v>395.5</v>
      </c>
      <c r="P14" s="3">
        <v>395.5</v>
      </c>
      <c r="Q14" s="3"/>
      <c r="R14" s="3">
        <v>398.5</v>
      </c>
      <c r="S14" s="3">
        <v>398.5</v>
      </c>
      <c r="T14" s="3"/>
      <c r="U14" s="3"/>
      <c r="V14" s="3">
        <v>392.20001220703125</v>
      </c>
      <c r="W14" s="3">
        <v>392.20001220703125</v>
      </c>
      <c r="X14" s="3"/>
      <c r="Y14" s="3">
        <v>394.70001220703125</v>
      </c>
      <c r="Z14" s="3">
        <v>394.70001220703125</v>
      </c>
      <c r="AA14" s="3">
        <v>392.29998779296875</v>
      </c>
      <c r="AB14" s="3">
        <v>392.29998779296875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</row>
    <row r="15" spans="1:110" ht="14.25" customHeight="1" x14ac:dyDescent="0.3">
      <c r="A15" s="1">
        <f t="shared" si="3"/>
        <v>6</v>
      </c>
      <c r="B15" s="1" t="s">
        <v>30</v>
      </c>
      <c r="C15" s="4">
        <v>0.3008217592592593</v>
      </c>
      <c r="D15" s="4">
        <v>0.30097222222222225</v>
      </c>
      <c r="E15" s="2">
        <v>13.299999999999999</v>
      </c>
      <c r="F15" s="2">
        <v>13.419999999999998</v>
      </c>
      <c r="G15" s="1" t="s">
        <v>26</v>
      </c>
      <c r="H15" s="4">
        <f t="shared" si="4"/>
        <v>1.5046296296294948E-4</v>
      </c>
      <c r="J15">
        <v>390.39999389648438</v>
      </c>
      <c r="K15" s="3">
        <v>396.70001220703125</v>
      </c>
      <c r="L15" s="3">
        <v>396.70001220703125</v>
      </c>
      <c r="M15" s="3">
        <v>399.70001220703125</v>
      </c>
      <c r="N15" s="3">
        <v>399.70001220703125</v>
      </c>
      <c r="O15" s="3">
        <v>397.70001220703125</v>
      </c>
      <c r="P15" s="3">
        <v>397.70001220703125</v>
      </c>
      <c r="Q15" s="3"/>
      <c r="R15" s="3">
        <v>397.5</v>
      </c>
      <c r="S15" s="3">
        <v>394.29998779296875</v>
      </c>
      <c r="T15" s="3">
        <v>394.29998779296875</v>
      </c>
      <c r="U15" s="3"/>
      <c r="V15" s="3">
        <v>394.29998779296875</v>
      </c>
      <c r="W15" s="3">
        <v>391.20001220703125</v>
      </c>
      <c r="X15" s="3">
        <v>391.20001220703125</v>
      </c>
      <c r="Y15" s="3"/>
      <c r="Z15" s="3">
        <v>391.10000610351563</v>
      </c>
      <c r="AA15" s="3">
        <v>397.20001220703125</v>
      </c>
      <c r="AB15" s="3">
        <v>397.20001220703125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</row>
    <row r="16" spans="1:110" ht="14.25" customHeight="1" x14ac:dyDescent="0.3">
      <c r="A16" s="1">
        <f t="shared" si="3"/>
        <v>7</v>
      </c>
      <c r="B16" s="1" t="s">
        <v>31</v>
      </c>
      <c r="C16" s="4">
        <v>0.30126157407407411</v>
      </c>
      <c r="D16" s="4">
        <v>0.30140046296296302</v>
      </c>
      <c r="E16" s="2">
        <v>13.299999999999999</v>
      </c>
      <c r="F16" s="2">
        <v>13.45</v>
      </c>
      <c r="G16" s="1" t="s">
        <v>26</v>
      </c>
      <c r="H16" s="4">
        <f t="shared" si="4"/>
        <v>1.388888888889106E-4</v>
      </c>
      <c r="J16">
        <v>390.70001220703125</v>
      </c>
      <c r="K16" s="3">
        <v>390.5</v>
      </c>
      <c r="L16" s="3">
        <v>390.5</v>
      </c>
      <c r="M16" s="3">
        <v>390.39999389648438</v>
      </c>
      <c r="N16" s="3">
        <v>390.39999389648438</v>
      </c>
      <c r="O16" s="3">
        <v>399.60000610351563</v>
      </c>
      <c r="P16" s="3">
        <v>399.60000610351563</v>
      </c>
      <c r="Q16" s="3">
        <v>399.79998779296875</v>
      </c>
      <c r="R16" s="3">
        <v>399.79998779296875</v>
      </c>
      <c r="S16" s="3">
        <v>396.60000610351563</v>
      </c>
      <c r="T16" s="3">
        <v>396.60000610351563</v>
      </c>
      <c r="U16" s="3">
        <v>396.39999389648438</v>
      </c>
      <c r="V16" s="3">
        <v>396.39999389648438</v>
      </c>
      <c r="W16" s="3">
        <v>393.20001220703125</v>
      </c>
      <c r="X16" s="3">
        <v>393.20001220703125</v>
      </c>
      <c r="Y16" s="3"/>
      <c r="Z16" s="3">
        <v>392.89999389648438</v>
      </c>
      <c r="AA16" s="3">
        <v>392.89999389648438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</row>
    <row r="17" spans="1:110" ht="14.25" customHeight="1" x14ac:dyDescent="0.3">
      <c r="A17" s="1">
        <f t="shared" si="3"/>
        <v>8</v>
      </c>
      <c r="B17" s="1" t="s">
        <v>32</v>
      </c>
      <c r="C17" s="4">
        <v>0.30166666666666675</v>
      </c>
      <c r="D17" s="4">
        <v>0.3018171296296297</v>
      </c>
      <c r="E17" s="2">
        <v>13.299999999999999</v>
      </c>
      <c r="F17" s="2">
        <v>13.36</v>
      </c>
      <c r="G17" s="1" t="s">
        <v>26</v>
      </c>
      <c r="H17" s="4">
        <f t="shared" si="4"/>
        <v>1.5046296296294948E-4</v>
      </c>
      <c r="J17">
        <v>398.10000610351563</v>
      </c>
      <c r="K17" s="3">
        <v>398.10000610351563</v>
      </c>
      <c r="L17" s="3">
        <v>399.79998779296875</v>
      </c>
      <c r="M17" s="3">
        <v>399.79998779296875</v>
      </c>
      <c r="N17" s="3">
        <v>398.5</v>
      </c>
      <c r="O17" s="3">
        <v>398.5</v>
      </c>
      <c r="P17" s="3">
        <v>395.5</v>
      </c>
      <c r="Q17" s="3">
        <v>395.5</v>
      </c>
      <c r="R17" s="3">
        <v>395.39999389648438</v>
      </c>
      <c r="S17" s="3">
        <v>395.39999389648438</v>
      </c>
      <c r="T17" s="3">
        <v>392.29998779296875</v>
      </c>
      <c r="U17" s="3">
        <v>392.29998779296875</v>
      </c>
      <c r="V17" s="3">
        <v>392.20001220703125</v>
      </c>
      <c r="W17" s="3">
        <v>392.20001220703125</v>
      </c>
      <c r="X17" s="3">
        <v>399.89999389648438</v>
      </c>
      <c r="Y17" s="3">
        <v>399.89999389648438</v>
      </c>
      <c r="Z17" s="3"/>
      <c r="AA17" s="3">
        <v>391.39999389648438</v>
      </c>
      <c r="AB17" s="3">
        <v>391.39999389648438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</row>
    <row r="18" spans="1:110" ht="14.25" customHeight="1" x14ac:dyDescent="0.3">
      <c r="A18" s="1">
        <f t="shared" si="3"/>
        <v>9</v>
      </c>
      <c r="B18" s="1" t="s">
        <v>33</v>
      </c>
      <c r="C18" s="4">
        <v>0.30210648148148156</v>
      </c>
      <c r="D18" s="4">
        <v>0.30225694444444451</v>
      </c>
      <c r="E18" s="2">
        <v>13.299999999999999</v>
      </c>
      <c r="F18" s="2">
        <v>13.36</v>
      </c>
      <c r="G18" s="1" t="s">
        <v>26</v>
      </c>
      <c r="H18" s="4">
        <f t="shared" si="4"/>
        <v>1.5046296296294948E-4</v>
      </c>
      <c r="J18">
        <v>396.20001220703125</v>
      </c>
      <c r="K18" s="3">
        <v>396</v>
      </c>
      <c r="L18" s="3">
        <v>396</v>
      </c>
      <c r="M18" s="3">
        <v>396.20001220703125</v>
      </c>
      <c r="N18" s="3">
        <v>396.20001220703125</v>
      </c>
      <c r="O18" s="3">
        <v>394.5</v>
      </c>
      <c r="P18" s="3">
        <v>394.5</v>
      </c>
      <c r="Q18" s="3">
        <v>394.70001220703125</v>
      </c>
      <c r="R18" s="3">
        <v>394.70001220703125</v>
      </c>
      <c r="S18" s="3">
        <v>391.5</v>
      </c>
      <c r="T18" s="3">
        <v>391.5</v>
      </c>
      <c r="U18" s="3">
        <v>399.89999389648438</v>
      </c>
      <c r="V18" s="3">
        <v>399.89999389648438</v>
      </c>
      <c r="W18" s="3">
        <v>399.89999389648438</v>
      </c>
      <c r="X18" s="3">
        <v>399.89999389648438</v>
      </c>
      <c r="Y18" s="3">
        <v>399.60000610351563</v>
      </c>
      <c r="Z18" s="3">
        <v>399.60000610351563</v>
      </c>
      <c r="AA18" s="3">
        <v>394.89999389648438</v>
      </c>
      <c r="AB18" s="3">
        <v>394.89999389648438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</row>
    <row r="19" spans="1:110" ht="14.25" customHeight="1" x14ac:dyDescent="0.3">
      <c r="A19" s="1">
        <f t="shared" si="3"/>
        <v>10</v>
      </c>
      <c r="B19" s="1" t="s">
        <v>34</v>
      </c>
      <c r="C19" s="4">
        <v>0.30253472222222227</v>
      </c>
      <c r="D19" s="4">
        <v>0.30270833333333341</v>
      </c>
      <c r="E19" s="2">
        <v>13.299999999999999</v>
      </c>
      <c r="F19" s="2">
        <v>13.339999999999998</v>
      </c>
      <c r="G19" s="1" t="s">
        <v>26</v>
      </c>
      <c r="H19" s="4">
        <f t="shared" si="4"/>
        <v>1.7361111111113825E-4</v>
      </c>
      <c r="J19">
        <v>391.10000610351563</v>
      </c>
      <c r="K19" s="3">
        <v>393.10000610351563</v>
      </c>
      <c r="L19" s="3">
        <v>393.10000610351563</v>
      </c>
      <c r="M19" s="3">
        <v>393.60000610351563</v>
      </c>
      <c r="N19" s="3">
        <v>393.60000610351563</v>
      </c>
      <c r="O19" s="3"/>
      <c r="P19" s="3">
        <v>393.60000610351563</v>
      </c>
      <c r="Q19" s="3">
        <v>393.60000610351563</v>
      </c>
      <c r="R19" s="3">
        <v>393.70001220703125</v>
      </c>
      <c r="S19" s="3">
        <v>390.70001220703125</v>
      </c>
      <c r="T19" s="3">
        <v>393.5</v>
      </c>
      <c r="U19" s="3">
        <v>393.5</v>
      </c>
      <c r="V19" s="3">
        <v>390.5</v>
      </c>
      <c r="W19" s="3">
        <v>390.5</v>
      </c>
      <c r="X19" s="3">
        <v>390.5</v>
      </c>
      <c r="Y19" s="3">
        <v>390.5</v>
      </c>
      <c r="Z19" s="3">
        <v>390.5</v>
      </c>
      <c r="AA19" s="3">
        <v>390.5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</row>
    <row r="20" spans="1:110" ht="14.25" customHeight="1" x14ac:dyDescent="0.3">
      <c r="A20" s="1">
        <f t="shared" si="3"/>
        <v>11</v>
      </c>
      <c r="B20" s="1" t="s">
        <v>247</v>
      </c>
      <c r="C20" s="4">
        <v>0.30293981481481491</v>
      </c>
      <c r="D20" s="4">
        <v>0.30311342592592605</v>
      </c>
      <c r="E20" s="2">
        <v>13.299999999999999</v>
      </c>
      <c r="F20" s="2">
        <v>13.399999999999999</v>
      </c>
      <c r="G20" s="1" t="s">
        <v>26</v>
      </c>
      <c r="H20" s="4">
        <f t="shared" si="4"/>
        <v>1.7361111111113825E-4</v>
      </c>
      <c r="J20">
        <v>391</v>
      </c>
      <c r="K20" s="3">
        <v>395.70001220703125</v>
      </c>
      <c r="L20" s="3">
        <v>395.70001220703125</v>
      </c>
      <c r="M20" s="3">
        <v>397.5</v>
      </c>
      <c r="N20" s="3">
        <v>397.5</v>
      </c>
      <c r="O20" s="3">
        <v>395.70001220703125</v>
      </c>
      <c r="P20" s="3">
        <v>395.70001220703125</v>
      </c>
      <c r="Q20" s="3">
        <v>395.60000610351563</v>
      </c>
      <c r="R20" s="3">
        <v>395.60000610351563</v>
      </c>
      <c r="S20" s="3">
        <v>392.5</v>
      </c>
      <c r="T20" s="3">
        <v>392.5</v>
      </c>
      <c r="U20" s="3"/>
      <c r="V20" s="3">
        <v>395.20001220703125</v>
      </c>
      <c r="W20" s="3">
        <v>399.89999389648438</v>
      </c>
      <c r="X20" s="3">
        <v>399.89999389648438</v>
      </c>
      <c r="Y20" s="3">
        <v>399.89999389648438</v>
      </c>
      <c r="Z20" s="3">
        <v>399.89999389648438</v>
      </c>
      <c r="AA20" s="3">
        <v>396.20001220703125</v>
      </c>
      <c r="AB20" s="3">
        <v>396.20001220703125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</row>
    <row r="21" spans="1:110" ht="14.25" customHeight="1" x14ac:dyDescent="0.3">
      <c r="A21" s="1">
        <f t="shared" si="3"/>
        <v>12</v>
      </c>
      <c r="B21" s="1" t="s">
        <v>248</v>
      </c>
      <c r="C21" s="4">
        <v>0.30335648148148159</v>
      </c>
      <c r="D21" s="4">
        <v>0.30350694444444454</v>
      </c>
      <c r="E21" s="2">
        <v>13.299999999999999</v>
      </c>
      <c r="F21" s="2">
        <v>13.339999999999998</v>
      </c>
      <c r="G21" s="1" t="s">
        <v>26</v>
      </c>
      <c r="H21" s="4">
        <f t="shared" si="4"/>
        <v>1.5046296296294948E-4</v>
      </c>
      <c r="J21">
        <v>392.29998779296875</v>
      </c>
      <c r="K21" s="3">
        <v>392.29998779296875</v>
      </c>
      <c r="L21" s="3">
        <v>393.70001220703125</v>
      </c>
      <c r="M21" s="3">
        <v>393.70001220703125</v>
      </c>
      <c r="N21" s="3">
        <v>394.5</v>
      </c>
      <c r="O21" s="3">
        <v>394.5</v>
      </c>
      <c r="P21" s="3">
        <v>391.39999389648438</v>
      </c>
      <c r="Q21" s="3">
        <v>391.39999389648438</v>
      </c>
      <c r="R21" s="3"/>
      <c r="S21" s="3">
        <v>394.39999389648438</v>
      </c>
      <c r="T21" s="3">
        <v>399.89999389648438</v>
      </c>
      <c r="U21" s="3">
        <v>399.89999389648438</v>
      </c>
      <c r="V21" s="3"/>
      <c r="W21" s="3">
        <v>394</v>
      </c>
      <c r="X21" s="3">
        <v>394</v>
      </c>
      <c r="Y21" s="3">
        <v>391.20001220703125</v>
      </c>
      <c r="Z21" s="3">
        <v>398.5</v>
      </c>
      <c r="AA21" s="3">
        <v>398.5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</row>
    <row r="22" spans="1:110" ht="14.25" customHeight="1" x14ac:dyDescent="0.3">
      <c r="A22" s="1">
        <f t="shared" si="3"/>
        <v>13</v>
      </c>
      <c r="B22" s="1" t="s">
        <v>35</v>
      </c>
      <c r="C22" s="4">
        <v>0.3037962962962964</v>
      </c>
      <c r="D22" s="4">
        <v>0.30394675925925935</v>
      </c>
      <c r="E22" s="2">
        <v>13.299999999999999</v>
      </c>
      <c r="F22" s="2">
        <v>13.309999999999999</v>
      </c>
      <c r="G22" s="1" t="s">
        <v>26</v>
      </c>
      <c r="H22" s="4">
        <f t="shared" si="4"/>
        <v>1.5046296296294948E-4</v>
      </c>
      <c r="J22">
        <v>393.89999389648438</v>
      </c>
      <c r="K22" s="3">
        <v>393.89999389648438</v>
      </c>
      <c r="L22" s="3">
        <v>395.29998779296875</v>
      </c>
      <c r="M22" s="3">
        <v>395.29998779296875</v>
      </c>
      <c r="N22" s="3"/>
      <c r="O22" s="3">
        <v>396.60000610351563</v>
      </c>
      <c r="P22" s="3">
        <v>393.39999389648438</v>
      </c>
      <c r="Q22" s="3">
        <v>393.39999389648438</v>
      </c>
      <c r="R22" s="3"/>
      <c r="S22" s="3">
        <v>393.29998779296875</v>
      </c>
      <c r="T22" s="3">
        <v>393.29998779296875</v>
      </c>
      <c r="U22" s="3">
        <v>390.39999389648438</v>
      </c>
      <c r="V22" s="3">
        <v>390.39999389648438</v>
      </c>
      <c r="W22" s="3">
        <v>390.29998779296875</v>
      </c>
      <c r="X22" s="3">
        <v>398.5</v>
      </c>
      <c r="Y22" s="3">
        <v>398.5</v>
      </c>
      <c r="Z22" s="3">
        <v>397.60000610351563</v>
      </c>
      <c r="AA22" s="3">
        <v>397.60000610351563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</row>
    <row r="23" spans="1:110" ht="14.25" customHeight="1" x14ac:dyDescent="0.3">
      <c r="A23" s="1">
        <f t="shared" si="3"/>
        <v>14</v>
      </c>
      <c r="B23" s="1" t="s">
        <v>36</v>
      </c>
      <c r="C23" s="4">
        <v>0.30422453703703711</v>
      </c>
      <c r="D23" s="4">
        <v>0.30437500000000006</v>
      </c>
      <c r="E23" s="2">
        <v>13.299999999999999</v>
      </c>
      <c r="F23" s="2">
        <v>13.319999999999999</v>
      </c>
      <c r="G23" s="1" t="s">
        <v>26</v>
      </c>
      <c r="H23" s="4">
        <f t="shared" si="4"/>
        <v>1.5046296296294948E-4</v>
      </c>
      <c r="J23">
        <v>391.5</v>
      </c>
      <c r="K23" s="3">
        <v>391.5</v>
      </c>
      <c r="L23" s="3">
        <v>392</v>
      </c>
      <c r="M23" s="3">
        <v>392</v>
      </c>
      <c r="N23" s="3">
        <v>399.89999389648438</v>
      </c>
      <c r="O23" s="3">
        <v>399.89999389648438</v>
      </c>
      <c r="P23" s="3"/>
      <c r="Q23" s="3">
        <v>392.39999389648438</v>
      </c>
      <c r="R23" s="3">
        <v>398.20001220703125</v>
      </c>
      <c r="S23" s="3">
        <v>398.20001220703125</v>
      </c>
      <c r="T23" s="3">
        <v>397.89999389648438</v>
      </c>
      <c r="U23" s="3">
        <v>397.89999389648438</v>
      </c>
      <c r="V23" s="3"/>
      <c r="W23" s="3">
        <v>397.5</v>
      </c>
      <c r="X23" s="3">
        <v>394.60000610351563</v>
      </c>
      <c r="Y23" s="3">
        <v>394.60000610351563</v>
      </c>
      <c r="Z23" s="3">
        <v>391.70001220703125</v>
      </c>
      <c r="AA23" s="3">
        <v>391.70001220703125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</row>
    <row r="24" spans="1:110" ht="14.25" customHeight="1" x14ac:dyDescent="0.3">
      <c r="A24" s="1">
        <f t="shared" si="3"/>
        <v>15</v>
      </c>
      <c r="B24" s="1" t="s">
        <v>37</v>
      </c>
      <c r="C24" s="4">
        <v>0.30462962962962969</v>
      </c>
      <c r="D24" s="4">
        <v>0.30478009259259264</v>
      </c>
      <c r="E24" s="2">
        <v>13.299999999999999</v>
      </c>
      <c r="F24" s="2">
        <v>13.35</v>
      </c>
      <c r="G24" s="1" t="s">
        <v>26</v>
      </c>
      <c r="H24" s="4">
        <f t="shared" si="4"/>
        <v>1.5046296296294948E-4</v>
      </c>
      <c r="J24">
        <v>395.20001220703125</v>
      </c>
      <c r="K24" s="3">
        <v>393.5</v>
      </c>
      <c r="L24" s="3"/>
      <c r="M24" s="3">
        <v>399</v>
      </c>
      <c r="N24" s="3">
        <v>399</v>
      </c>
      <c r="O24" s="3">
        <v>399.89999389648438</v>
      </c>
      <c r="P24" s="3">
        <v>399.89999389648438</v>
      </c>
      <c r="Q24" s="3"/>
      <c r="R24" s="3">
        <v>394.29998779296875</v>
      </c>
      <c r="S24" s="3">
        <v>394.29998779296875</v>
      </c>
      <c r="T24" s="3"/>
      <c r="U24" s="3">
        <v>394.20001220703125</v>
      </c>
      <c r="V24" s="3">
        <v>394.20001220703125</v>
      </c>
      <c r="W24" s="3">
        <v>393.79998779296875</v>
      </c>
      <c r="X24" s="3">
        <v>393.79998779296875</v>
      </c>
      <c r="Y24" s="3"/>
      <c r="Z24" s="3">
        <v>396</v>
      </c>
      <c r="AA24" s="3">
        <v>396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</row>
    <row r="25" spans="1:110" ht="14.25" customHeight="1" x14ac:dyDescent="0.3">
      <c r="A25" s="1">
        <f t="shared" si="3"/>
        <v>16</v>
      </c>
      <c r="B25" s="1" t="s">
        <v>38</v>
      </c>
      <c r="C25" s="4">
        <v>0.30501157407407414</v>
      </c>
      <c r="D25" s="4">
        <v>0.30517361111111119</v>
      </c>
      <c r="E25" s="2">
        <v>13.299999999999999</v>
      </c>
      <c r="F25" s="2">
        <v>13.339999999999998</v>
      </c>
      <c r="G25" s="1" t="s">
        <v>26</v>
      </c>
      <c r="H25" s="4">
        <f t="shared" si="4"/>
        <v>1.6203703703704386E-4</v>
      </c>
      <c r="J25">
        <v>392.60000610351563</v>
      </c>
      <c r="K25" s="3">
        <v>392.60000610351563</v>
      </c>
      <c r="L25" s="3">
        <v>397.60000610351563</v>
      </c>
      <c r="M25" s="3">
        <v>397.60000610351563</v>
      </c>
      <c r="N25" s="3">
        <v>396.39999389648438</v>
      </c>
      <c r="O25" s="3">
        <v>396.39999389648438</v>
      </c>
      <c r="P25" s="3">
        <v>393.29998779296875</v>
      </c>
      <c r="Q25" s="3">
        <v>393.29998779296875</v>
      </c>
      <c r="R25" s="3">
        <v>393.20001220703125</v>
      </c>
      <c r="S25" s="3">
        <v>393.20001220703125</v>
      </c>
      <c r="T25" s="3">
        <v>393.10000610351563</v>
      </c>
      <c r="U25" s="3">
        <v>393.10000610351563</v>
      </c>
      <c r="V25" s="3"/>
      <c r="W25" s="3">
        <v>392.79998779296875</v>
      </c>
      <c r="X25" s="3">
        <v>390.20001220703125</v>
      </c>
      <c r="Y25" s="3">
        <v>390.20001220703125</v>
      </c>
      <c r="Z25" s="3">
        <v>390.29998779296875</v>
      </c>
      <c r="AA25" s="3">
        <v>390.29998779296875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</row>
    <row r="26" spans="1:110" ht="14.25" customHeight="1" x14ac:dyDescent="0.3">
      <c r="A26" s="1">
        <f t="shared" si="3"/>
        <v>17</v>
      </c>
      <c r="B26" s="1" t="s">
        <v>39</v>
      </c>
      <c r="C26" s="4">
        <v>0.30545138888888895</v>
      </c>
      <c r="D26" s="4">
        <v>0.30559027777777786</v>
      </c>
      <c r="E26" s="2">
        <v>13.299999999999999</v>
      </c>
      <c r="F26" s="2">
        <v>13.44</v>
      </c>
      <c r="G26" s="1" t="s">
        <v>26</v>
      </c>
      <c r="H26" s="4">
        <f t="shared" si="4"/>
        <v>1.388888888889106E-4</v>
      </c>
      <c r="J26">
        <v>390.70001220703125</v>
      </c>
      <c r="K26" s="3">
        <v>390.70001220703125</v>
      </c>
      <c r="L26" s="3">
        <v>393.60000610351563</v>
      </c>
      <c r="M26" s="3">
        <v>398.89999389648438</v>
      </c>
      <c r="N26" s="3">
        <v>398.89999389648438</v>
      </c>
      <c r="O26" s="3"/>
      <c r="P26" s="3">
        <v>391.39999389648438</v>
      </c>
      <c r="Q26" s="3">
        <v>397.29998779296875</v>
      </c>
      <c r="R26" s="3">
        <v>397.29998779296875</v>
      </c>
      <c r="S26" s="3">
        <v>397.20001220703125</v>
      </c>
      <c r="T26" s="3">
        <v>397.20001220703125</v>
      </c>
      <c r="U26" s="3"/>
      <c r="V26" s="3">
        <v>396.89999389648438</v>
      </c>
      <c r="W26" s="3">
        <v>393.79998779296875</v>
      </c>
      <c r="X26" s="3">
        <v>393.79998779296875</v>
      </c>
      <c r="Y26" s="3">
        <v>393.60000610351563</v>
      </c>
      <c r="Z26" s="3">
        <v>393.60000610351563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</row>
    <row r="27" spans="1:110" ht="14.25" customHeight="1" x14ac:dyDescent="0.3">
      <c r="A27" s="1">
        <f t="shared" si="3"/>
        <v>18</v>
      </c>
      <c r="B27" s="1" t="s">
        <v>40</v>
      </c>
      <c r="C27" s="4">
        <v>0.30582175925925936</v>
      </c>
      <c r="D27" s="4">
        <v>0.30598379629629641</v>
      </c>
      <c r="E27" s="2">
        <v>13.299999999999999</v>
      </c>
      <c r="F27" s="2">
        <v>13.339999999999998</v>
      </c>
      <c r="G27" s="1" t="s">
        <v>26</v>
      </c>
      <c r="H27" s="4">
        <f t="shared" si="4"/>
        <v>1.6203703703704386E-4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</row>
    <row r="28" spans="1:110" ht="14.25" customHeight="1" x14ac:dyDescent="0.3">
      <c r="A28" s="1">
        <f t="shared" si="3"/>
        <v>19</v>
      </c>
      <c r="B28" s="1" t="s">
        <v>41</v>
      </c>
      <c r="C28" s="4">
        <v>0.30622685185185194</v>
      </c>
      <c r="D28" s="4">
        <v>0.30638888888888899</v>
      </c>
      <c r="E28" s="2">
        <v>13.299999999999999</v>
      </c>
      <c r="F28" s="2">
        <v>13.43</v>
      </c>
      <c r="G28" s="1" t="s">
        <v>26</v>
      </c>
      <c r="H28" s="4">
        <f t="shared" si="4"/>
        <v>1.6203703703704386E-4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</row>
    <row r="29" spans="1:110" ht="14.25" customHeight="1" x14ac:dyDescent="0.3">
      <c r="A29" s="1">
        <f t="shared" si="3"/>
        <v>20</v>
      </c>
      <c r="B29" s="1" t="s">
        <v>42</v>
      </c>
      <c r="C29" s="4">
        <v>0.30666666666666675</v>
      </c>
      <c r="D29" s="4">
        <v>0.3068287037037038</v>
      </c>
      <c r="E29" s="2">
        <v>13.299999999999999</v>
      </c>
      <c r="F29" s="2">
        <v>13.37</v>
      </c>
      <c r="G29" s="1" t="s">
        <v>26</v>
      </c>
      <c r="H29" s="4">
        <f t="shared" si="4"/>
        <v>1.6203703703704386E-4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</row>
    <row r="30" spans="1:110" ht="14.25" customHeight="1" x14ac:dyDescent="0.3">
      <c r="A30" s="1">
        <f t="shared" si="3"/>
        <v>21</v>
      </c>
      <c r="B30" s="1" t="s">
        <v>43</v>
      </c>
      <c r="C30" s="4">
        <v>0.30707175925925934</v>
      </c>
      <c r="D30" s="4">
        <v>0.30721064814814825</v>
      </c>
      <c r="E30" s="2">
        <v>13.299999999999999</v>
      </c>
      <c r="F30" s="2">
        <v>13.44</v>
      </c>
      <c r="G30" s="1" t="s">
        <v>26</v>
      </c>
      <c r="H30" s="4">
        <f t="shared" si="4"/>
        <v>1.388888888889106E-4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</row>
    <row r="31" spans="1:110" ht="14.25" customHeight="1" x14ac:dyDescent="0.3">
      <c r="A31" s="1">
        <f t="shared" si="3"/>
        <v>22</v>
      </c>
      <c r="B31" s="1" t="s">
        <v>44</v>
      </c>
      <c r="C31" s="4">
        <v>0.30745370370370378</v>
      </c>
      <c r="D31" s="4">
        <v>0.30760416666666673</v>
      </c>
      <c r="E31" s="2">
        <v>13.299999999999999</v>
      </c>
      <c r="F31" s="2">
        <v>13.35</v>
      </c>
      <c r="G31" s="1" t="s">
        <v>26</v>
      </c>
      <c r="H31" s="4">
        <f t="shared" si="4"/>
        <v>1.5046296296294948E-4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</row>
    <row r="32" spans="1:110" ht="14.25" customHeight="1" x14ac:dyDescent="0.3">
      <c r="A32" s="1">
        <f t="shared" si="3"/>
        <v>23</v>
      </c>
      <c r="B32" s="1" t="s">
        <v>45</v>
      </c>
      <c r="C32" s="4">
        <v>0.30785879629629637</v>
      </c>
      <c r="D32" s="4">
        <v>0.30799768518518528</v>
      </c>
      <c r="E32" s="2">
        <v>13.299999999999999</v>
      </c>
      <c r="F32" s="2">
        <v>13.399999999999999</v>
      </c>
      <c r="G32" s="1" t="s">
        <v>26</v>
      </c>
      <c r="H32" s="4">
        <f t="shared" si="4"/>
        <v>1.388888888889106E-4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</row>
    <row r="33" spans="1:110" ht="14.25" customHeight="1" x14ac:dyDescent="0.3">
      <c r="A33" s="1">
        <f t="shared" si="3"/>
        <v>24</v>
      </c>
      <c r="B33" s="1" t="s">
        <v>46</v>
      </c>
      <c r="C33" s="4">
        <v>0.308263888888889</v>
      </c>
      <c r="D33" s="4">
        <v>0.30843750000000014</v>
      </c>
      <c r="E33" s="2">
        <v>13.299999999999999</v>
      </c>
      <c r="F33" s="2">
        <v>13.36</v>
      </c>
      <c r="G33" s="1" t="s">
        <v>26</v>
      </c>
      <c r="H33" s="4">
        <f t="shared" si="4"/>
        <v>1.7361111111113825E-4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</row>
    <row r="34" spans="1:110" ht="14.25" customHeight="1" x14ac:dyDescent="0.3">
      <c r="A34" s="1">
        <f t="shared" si="3"/>
        <v>25</v>
      </c>
      <c r="B34" s="1" t="s">
        <v>206</v>
      </c>
      <c r="C34" s="4">
        <v>0.30869212962962977</v>
      </c>
      <c r="D34" s="4">
        <v>0.30884259259259272</v>
      </c>
      <c r="E34" s="2">
        <v>13.299999999999999</v>
      </c>
      <c r="F34" s="2">
        <v>13.309999999999999</v>
      </c>
      <c r="G34" s="1" t="s">
        <v>26</v>
      </c>
      <c r="H34" s="4">
        <f t="shared" si="4"/>
        <v>1.5046296296294948E-4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</row>
    <row r="35" spans="1:110" ht="14.25" customHeight="1" x14ac:dyDescent="0.3">
      <c r="A35" s="1">
        <f t="shared" si="3"/>
        <v>26</v>
      </c>
      <c r="B35" s="1" t="s">
        <v>47</v>
      </c>
      <c r="C35" s="4">
        <v>0.30908564814814826</v>
      </c>
      <c r="D35" s="4">
        <v>0.30923611111111121</v>
      </c>
      <c r="E35" s="2">
        <v>13.299999999999999</v>
      </c>
      <c r="F35" s="2">
        <v>13.419999999999998</v>
      </c>
      <c r="G35" s="1" t="s">
        <v>26</v>
      </c>
      <c r="H35" s="4">
        <f t="shared" si="4"/>
        <v>1.5046296296294948E-4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</row>
    <row r="36" spans="1:110" ht="14.25" customHeight="1" x14ac:dyDescent="0.3">
      <c r="A36" s="1">
        <f t="shared" si="3"/>
        <v>27</v>
      </c>
      <c r="B36" s="1" t="s">
        <v>48</v>
      </c>
      <c r="C36" s="4">
        <v>0.30951388888888898</v>
      </c>
      <c r="D36" s="4">
        <v>0.30967592592592602</v>
      </c>
      <c r="E36" s="2">
        <v>13.299999999999999</v>
      </c>
      <c r="F36" s="2">
        <v>13.45</v>
      </c>
      <c r="G36" s="1" t="s">
        <v>26</v>
      </c>
      <c r="H36" s="4">
        <f t="shared" si="4"/>
        <v>1.6203703703704386E-4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</row>
    <row r="37" spans="1:110" ht="14.25" customHeight="1" x14ac:dyDescent="0.3">
      <c r="A37" s="1">
        <f t="shared" si="3"/>
        <v>28</v>
      </c>
      <c r="B37" s="1" t="s">
        <v>49</v>
      </c>
      <c r="C37" s="4">
        <v>0.30996527777777788</v>
      </c>
      <c r="D37" s="4">
        <v>0.31012731481481493</v>
      </c>
      <c r="E37" s="2">
        <v>13.299999999999999</v>
      </c>
      <c r="F37" s="2">
        <v>13.409999999999998</v>
      </c>
      <c r="G37" s="1" t="s">
        <v>26</v>
      </c>
      <c r="H37" s="4">
        <f t="shared" si="4"/>
        <v>1.6203703703704386E-4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</row>
    <row r="38" spans="1:110" ht="14.25" customHeight="1" x14ac:dyDescent="0.3">
      <c r="A38" s="1">
        <f t="shared" si="3"/>
        <v>29</v>
      </c>
      <c r="B38" s="1" t="s">
        <v>50</v>
      </c>
      <c r="C38" s="4">
        <v>0.31035879629629642</v>
      </c>
      <c r="D38" s="4">
        <v>0.31050925925925937</v>
      </c>
      <c r="E38" s="2">
        <v>13.299999999999999</v>
      </c>
      <c r="F38" s="2">
        <v>13.419999999999998</v>
      </c>
      <c r="G38" s="1" t="s">
        <v>26</v>
      </c>
      <c r="H38" s="4">
        <f t="shared" si="4"/>
        <v>1.5046296296294948E-4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</row>
    <row r="39" spans="1:110" ht="14.25" customHeight="1" x14ac:dyDescent="0.3">
      <c r="A39" s="1">
        <f t="shared" si="3"/>
        <v>30</v>
      </c>
      <c r="B39" s="1" t="s">
        <v>51</v>
      </c>
      <c r="C39" s="4">
        <v>0.31074074074074087</v>
      </c>
      <c r="D39" s="4">
        <v>0.31091435185185201</v>
      </c>
      <c r="E39" s="2">
        <v>13.299999999999999</v>
      </c>
      <c r="F39" s="2">
        <v>13.35</v>
      </c>
      <c r="G39" s="1" t="s">
        <v>26</v>
      </c>
      <c r="H39" s="4">
        <f t="shared" si="4"/>
        <v>1.7361111111113825E-4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</row>
    <row r="40" spans="1:110" ht="14.25" customHeight="1" x14ac:dyDescent="0.3">
      <c r="A40" s="1">
        <f t="shared" si="3"/>
        <v>31</v>
      </c>
      <c r="B40" s="1" t="s">
        <v>52</v>
      </c>
      <c r="C40" s="4">
        <v>0.31115740740740755</v>
      </c>
      <c r="D40" s="4">
        <v>0.3113078703703705</v>
      </c>
      <c r="E40" s="2">
        <v>13.299999999999999</v>
      </c>
      <c r="F40" s="2">
        <v>13.379999999999999</v>
      </c>
      <c r="G40" s="1" t="s">
        <v>26</v>
      </c>
      <c r="H40" s="4">
        <f t="shared" si="4"/>
        <v>1.5046296296294948E-4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</row>
    <row r="41" spans="1:110" ht="14.25" customHeight="1" x14ac:dyDescent="0.3">
      <c r="A41" s="1">
        <f t="shared" si="3"/>
        <v>32</v>
      </c>
      <c r="B41" s="1" t="s">
        <v>53</v>
      </c>
      <c r="C41" s="4">
        <v>0.31159722222222236</v>
      </c>
      <c r="D41" s="4">
        <v>0.3117708333333335</v>
      </c>
      <c r="E41" s="2">
        <v>13.299999999999999</v>
      </c>
      <c r="F41" s="2">
        <v>13.339999999999998</v>
      </c>
      <c r="G41" s="1" t="s">
        <v>26</v>
      </c>
      <c r="H41" s="4">
        <f t="shared" si="4"/>
        <v>1.7361111111113825E-4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</row>
    <row r="42" spans="1:110" ht="14.25" customHeight="1" x14ac:dyDescent="0.3">
      <c r="A42" s="1">
        <f t="shared" si="3"/>
        <v>33</v>
      </c>
      <c r="B42" s="1" t="s">
        <v>249</v>
      </c>
      <c r="C42" s="4">
        <v>0.31204861111111126</v>
      </c>
      <c r="D42" s="4">
        <v>0.31221064814814831</v>
      </c>
      <c r="E42" s="2">
        <v>13.299999999999999</v>
      </c>
      <c r="F42" s="2">
        <v>13.309999999999999</v>
      </c>
      <c r="G42" s="1" t="s">
        <v>26</v>
      </c>
      <c r="H42" s="4">
        <f t="shared" si="4"/>
        <v>1.6203703703704386E-4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</row>
    <row r="43" spans="1:110" ht="14.25" customHeight="1" x14ac:dyDescent="0.3">
      <c r="A43" s="1">
        <f t="shared" si="3"/>
        <v>34</v>
      </c>
      <c r="B43" s="1" t="s">
        <v>250</v>
      </c>
      <c r="C43" s="4">
        <v>0.31245370370370384</v>
      </c>
      <c r="D43" s="4">
        <v>0.31262731481481498</v>
      </c>
      <c r="E43" s="2">
        <v>13.299999999999999</v>
      </c>
      <c r="F43" s="2">
        <v>13.319999999999999</v>
      </c>
      <c r="G43" s="1" t="s">
        <v>26</v>
      </c>
      <c r="H43" s="4">
        <f t="shared" si="4"/>
        <v>1.7361111111113825E-4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</row>
    <row r="44" spans="1:110" ht="14.25" customHeight="1" x14ac:dyDescent="0.3">
      <c r="A44" s="1">
        <f t="shared" si="3"/>
        <v>35</v>
      </c>
      <c r="B44" s="1" t="s">
        <v>54</v>
      </c>
      <c r="C44" s="4">
        <v>0.31285879629629648</v>
      </c>
      <c r="D44" s="4">
        <v>0.31302083333333353</v>
      </c>
      <c r="E44" s="2">
        <v>13.299999999999999</v>
      </c>
      <c r="F44" s="2">
        <v>13.44</v>
      </c>
      <c r="G44" s="1" t="s">
        <v>26</v>
      </c>
      <c r="H44" s="4">
        <f t="shared" si="4"/>
        <v>1.6203703703704386E-4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</row>
    <row r="45" spans="1:110" ht="14.25" customHeight="1" x14ac:dyDescent="0.3">
      <c r="A45" s="1">
        <f t="shared" si="3"/>
        <v>36</v>
      </c>
      <c r="B45" s="1" t="s">
        <v>55</v>
      </c>
      <c r="C45" s="4">
        <v>0.31326388888888906</v>
      </c>
      <c r="D45" s="4">
        <v>0.31340277777777797</v>
      </c>
      <c r="E45" s="2">
        <v>13.299999999999999</v>
      </c>
      <c r="F45" s="2">
        <v>13.35</v>
      </c>
      <c r="G45" s="1" t="s">
        <v>26</v>
      </c>
      <c r="H45" s="4">
        <f t="shared" si="4"/>
        <v>1.388888888889106E-4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</row>
    <row r="46" spans="1:110" ht="14.25" customHeight="1" x14ac:dyDescent="0.3">
      <c r="A46" s="1">
        <f t="shared" si="3"/>
        <v>37</v>
      </c>
      <c r="B46" s="1" t="s">
        <v>56</v>
      </c>
      <c r="C46" s="4">
        <v>0.31365740740740761</v>
      </c>
      <c r="D46" s="4">
        <v>0.31383101851851875</v>
      </c>
      <c r="E46" s="2">
        <v>13.299999999999999</v>
      </c>
      <c r="F46" s="2">
        <v>13.389999999999999</v>
      </c>
      <c r="G46" s="1" t="s">
        <v>26</v>
      </c>
      <c r="H46" s="4">
        <f t="shared" si="4"/>
        <v>1.7361111111113825E-4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</row>
    <row r="47" spans="1:110" ht="14.25" customHeight="1" x14ac:dyDescent="0.3">
      <c r="A47" s="1">
        <f t="shared" si="3"/>
        <v>38</v>
      </c>
      <c r="B47" s="1" t="s">
        <v>57</v>
      </c>
      <c r="C47" s="4">
        <v>0.31407407407407428</v>
      </c>
      <c r="D47" s="4">
        <v>0.31422453703703723</v>
      </c>
      <c r="E47" s="2">
        <v>13.299999999999999</v>
      </c>
      <c r="F47" s="2">
        <v>13.35</v>
      </c>
      <c r="G47" s="1" t="s">
        <v>26</v>
      </c>
      <c r="H47" s="4">
        <f t="shared" si="4"/>
        <v>1.5046296296294948E-4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</row>
    <row r="48" spans="1:110" ht="14.25" customHeight="1" x14ac:dyDescent="0.3">
      <c r="A48" s="1">
        <f t="shared" si="3"/>
        <v>39</v>
      </c>
      <c r="B48" s="1" t="s">
        <v>58</v>
      </c>
      <c r="C48" s="4">
        <v>0.314502314814815</v>
      </c>
      <c r="D48" s="4">
        <v>0.31467592592592614</v>
      </c>
      <c r="E48" s="2">
        <v>13.299999999999999</v>
      </c>
      <c r="F48" s="2">
        <v>13.379999999999999</v>
      </c>
      <c r="G48" s="1" t="s">
        <v>26</v>
      </c>
      <c r="H48" s="4">
        <f t="shared" si="4"/>
        <v>1.7361111111113825E-4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</row>
    <row r="49" spans="1:110" ht="14.25" customHeight="1" x14ac:dyDescent="0.3">
      <c r="A49" s="1">
        <f t="shared" si="3"/>
        <v>40</v>
      </c>
      <c r="B49" s="1" t="s">
        <v>59</v>
      </c>
      <c r="C49" s="4">
        <v>0.31490740740740764</v>
      </c>
      <c r="D49" s="4">
        <v>0.31508101851851877</v>
      </c>
      <c r="E49" s="2">
        <v>13.299999999999999</v>
      </c>
      <c r="F49" s="2">
        <v>13.309999999999999</v>
      </c>
      <c r="G49" s="1" t="s">
        <v>26</v>
      </c>
      <c r="H49" s="4">
        <f t="shared" si="4"/>
        <v>1.7361111111113825E-4</v>
      </c>
      <c r="J49">
        <v>390.39999389648438</v>
      </c>
      <c r="K49" s="3">
        <v>395.10000610351563</v>
      </c>
      <c r="L49" s="3">
        <v>394.79998779296875</v>
      </c>
      <c r="M49" s="3">
        <v>394.79998779296875</v>
      </c>
      <c r="N49" s="3">
        <v>393</v>
      </c>
      <c r="O49" s="3">
        <v>393</v>
      </c>
      <c r="P49" s="3"/>
      <c r="Q49" s="3">
        <v>393</v>
      </c>
      <c r="R49" s="3">
        <v>399.89999389648438</v>
      </c>
      <c r="S49" s="3">
        <v>399.89999389648438</v>
      </c>
      <c r="T49" s="3">
        <v>398.79998779296875</v>
      </c>
      <c r="U49" s="3">
        <v>398.79998779296875</v>
      </c>
      <c r="V49" s="3">
        <v>398.20001220703125</v>
      </c>
      <c r="W49" s="3">
        <v>398.20001220703125</v>
      </c>
      <c r="X49" s="3">
        <v>397.60000610351563</v>
      </c>
      <c r="Y49" s="3">
        <v>397.60000610351563</v>
      </c>
      <c r="Z49" s="3">
        <v>394.5</v>
      </c>
      <c r="AA49" s="3">
        <v>394.5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</row>
    <row r="50" spans="1:110" ht="14.25" customHeight="1" x14ac:dyDescent="0.3">
      <c r="A50" s="1">
        <f t="shared" si="3"/>
        <v>41</v>
      </c>
      <c r="B50" s="1" t="s">
        <v>60</v>
      </c>
      <c r="C50" s="4">
        <v>0.31532407407407431</v>
      </c>
      <c r="D50" s="4">
        <v>0.31546296296296322</v>
      </c>
      <c r="E50" s="2">
        <v>13.299999999999999</v>
      </c>
      <c r="F50" s="2">
        <v>13.399999999999999</v>
      </c>
      <c r="G50" s="1" t="s">
        <v>26</v>
      </c>
      <c r="H50" s="4">
        <f t="shared" si="4"/>
        <v>1.388888888889106E-4</v>
      </c>
      <c r="J50">
        <v>391.20001220703125</v>
      </c>
      <c r="K50" s="3">
        <v>393.79998779296875</v>
      </c>
      <c r="L50" s="3">
        <v>390.5</v>
      </c>
      <c r="M50" s="3">
        <v>390.89999389648438</v>
      </c>
      <c r="N50" s="3">
        <v>396.10000610351563</v>
      </c>
      <c r="O50" s="3">
        <v>396.10000610351563</v>
      </c>
      <c r="P50" s="3">
        <v>399.89999389648438</v>
      </c>
      <c r="Q50" s="3">
        <v>399.89999389648438</v>
      </c>
      <c r="R50" s="3"/>
      <c r="S50" s="3">
        <v>399.89999389648438</v>
      </c>
      <c r="T50" s="3">
        <v>397.39999389648438</v>
      </c>
      <c r="U50" s="3">
        <v>397.39999389648438</v>
      </c>
      <c r="V50" s="3">
        <v>399.89999389648438</v>
      </c>
      <c r="W50" s="3">
        <v>394.60000610351563</v>
      </c>
      <c r="X50" s="3">
        <v>394.39999389648438</v>
      </c>
      <c r="Y50" s="3">
        <v>394.39999389648438</v>
      </c>
      <c r="Z50" s="3"/>
      <c r="AA50" s="3">
        <v>394</v>
      </c>
      <c r="AB50" s="3">
        <v>391.20001220703125</v>
      </c>
      <c r="AC50" s="3">
        <v>391.20001220703125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</row>
    <row r="51" spans="1:110" ht="14.25" customHeight="1" x14ac:dyDescent="0.3">
      <c r="A51" s="1">
        <f t="shared" si="3"/>
        <v>42</v>
      </c>
      <c r="B51" s="1" t="s">
        <v>61</v>
      </c>
      <c r="C51" s="4">
        <v>0.31575231481481508</v>
      </c>
      <c r="D51" s="4">
        <v>0.31589120370370399</v>
      </c>
      <c r="E51" s="2">
        <v>13.299999999999999</v>
      </c>
      <c r="F51" s="2">
        <v>13.329999999999998</v>
      </c>
      <c r="G51" s="1" t="s">
        <v>26</v>
      </c>
      <c r="H51" s="4">
        <f t="shared" si="4"/>
        <v>1.388888888889106E-4</v>
      </c>
      <c r="J51">
        <v>390.5</v>
      </c>
      <c r="K51" s="3">
        <v>393.20001220703125</v>
      </c>
      <c r="L51" s="3">
        <v>390.5</v>
      </c>
      <c r="M51" s="3">
        <v>390.60000610351563</v>
      </c>
      <c r="N51" s="3">
        <v>390.60000610351563</v>
      </c>
      <c r="O51" s="3">
        <v>390.70001220703125</v>
      </c>
      <c r="P51" s="3">
        <v>390.70001220703125</v>
      </c>
      <c r="Q51" s="3">
        <v>399.20001220703125</v>
      </c>
      <c r="R51" s="3">
        <v>399.20001220703125</v>
      </c>
      <c r="S51" s="3"/>
      <c r="T51" s="3">
        <v>390.79998779296875</v>
      </c>
      <c r="U51" s="3">
        <v>399.79998779296875</v>
      </c>
      <c r="V51" s="3">
        <v>399.79998779296875</v>
      </c>
      <c r="W51" s="3"/>
      <c r="X51" s="3"/>
      <c r="Y51" s="3">
        <v>396.10000610351563</v>
      </c>
      <c r="Z51" s="3">
        <v>396.10000610351563</v>
      </c>
      <c r="AA51" s="3">
        <v>393.20001220703125</v>
      </c>
      <c r="AB51" s="3">
        <v>393.20001220703125</v>
      </c>
      <c r="AC51" s="3">
        <v>392.79998779296875</v>
      </c>
      <c r="AD51" s="3">
        <v>392.79998779296875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</row>
    <row r="52" spans="1:110" ht="14.25" customHeight="1" x14ac:dyDescent="0.3">
      <c r="A52" s="1">
        <f t="shared" si="3"/>
        <v>43</v>
      </c>
      <c r="B52" s="1" t="s">
        <v>62</v>
      </c>
      <c r="C52" s="4">
        <v>0.31615740740740772</v>
      </c>
      <c r="D52" s="4">
        <v>0.31630787037037067</v>
      </c>
      <c r="E52" s="2">
        <v>13.299999999999999</v>
      </c>
      <c r="F52" s="2">
        <v>13.37</v>
      </c>
      <c r="G52" s="1" t="s">
        <v>26</v>
      </c>
      <c r="H52" s="4">
        <f t="shared" si="4"/>
        <v>1.5046296296294948E-4</v>
      </c>
      <c r="J52">
        <v>390.10000610351563</v>
      </c>
      <c r="K52" s="3">
        <v>397</v>
      </c>
      <c r="L52" s="3">
        <v>390.60000610351563</v>
      </c>
      <c r="M52" s="3">
        <v>394.39999389648438</v>
      </c>
      <c r="N52" s="3">
        <v>394.39999389648438</v>
      </c>
      <c r="O52" s="3">
        <v>397.29998779296875</v>
      </c>
      <c r="P52" s="3">
        <v>395.89999389648438</v>
      </c>
      <c r="Q52" s="3">
        <v>395.89999389648438</v>
      </c>
      <c r="R52" s="3"/>
      <c r="S52" s="3">
        <v>395.70001220703125</v>
      </c>
      <c r="T52" s="3">
        <v>392.60000610351563</v>
      </c>
      <c r="U52" s="3">
        <v>392.60000610351563</v>
      </c>
      <c r="V52" s="3"/>
      <c r="W52" s="3">
        <v>395.39999389648438</v>
      </c>
      <c r="X52" s="3">
        <v>395.39999389648438</v>
      </c>
      <c r="Y52" s="3">
        <v>392.39999389648438</v>
      </c>
      <c r="Z52" s="3">
        <v>392.39999389648438</v>
      </c>
      <c r="AA52" s="3">
        <v>399.89999389648438</v>
      </c>
      <c r="AB52" s="3">
        <v>396.89999389648438</v>
      </c>
      <c r="AC52" s="3">
        <v>396.89999389648438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</row>
    <row r="53" spans="1:110" ht="14.25" customHeight="1" x14ac:dyDescent="0.3">
      <c r="A53" s="1">
        <f t="shared" si="3"/>
        <v>44</v>
      </c>
      <c r="B53" s="1" t="s">
        <v>63</v>
      </c>
      <c r="C53" s="4">
        <v>0.31659722222222253</v>
      </c>
      <c r="D53" s="4">
        <v>0.31673611111111144</v>
      </c>
      <c r="E53" s="2">
        <v>13.299999999999999</v>
      </c>
      <c r="F53" s="2">
        <v>13.399999999999999</v>
      </c>
      <c r="G53" s="1" t="s">
        <v>26</v>
      </c>
      <c r="H53" s="4">
        <f t="shared" si="4"/>
        <v>1.388888888889106E-4</v>
      </c>
      <c r="J53">
        <v>390.60000610351563</v>
      </c>
      <c r="K53" s="3">
        <v>391.39999389648438</v>
      </c>
      <c r="L53" s="3">
        <v>390.79998779296875</v>
      </c>
      <c r="M53" s="3">
        <v>395</v>
      </c>
      <c r="N53" s="3">
        <v>395</v>
      </c>
      <c r="O53" s="3"/>
      <c r="P53" s="3">
        <v>397.60000610351563</v>
      </c>
      <c r="Q53" s="3">
        <v>397.60000610351563</v>
      </c>
      <c r="R53" s="3">
        <v>394.70001220703125</v>
      </c>
      <c r="S53" s="3">
        <v>394.70001220703125</v>
      </c>
      <c r="T53" s="3">
        <v>394.70001220703125</v>
      </c>
      <c r="U53" s="3">
        <v>394.70001220703125</v>
      </c>
      <c r="V53" s="3">
        <v>394.39999389648438</v>
      </c>
      <c r="W53" s="3">
        <v>394.39999389648438</v>
      </c>
      <c r="X53" s="3">
        <v>391.39999389648438</v>
      </c>
      <c r="Y53" s="3">
        <v>391.39999389648438</v>
      </c>
      <c r="Z53" s="3">
        <v>391.29998779296875</v>
      </c>
      <c r="AA53" s="3">
        <v>391.29998779296875</v>
      </c>
      <c r="AB53" s="3">
        <v>392</v>
      </c>
      <c r="AC53" s="3">
        <v>392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</row>
    <row r="54" spans="1:110" ht="14.25" customHeight="1" x14ac:dyDescent="0.3">
      <c r="A54" s="1">
        <f t="shared" si="3"/>
        <v>45</v>
      </c>
      <c r="B54" s="1" t="s">
        <v>64</v>
      </c>
      <c r="C54" s="4">
        <v>0.31699074074074107</v>
      </c>
      <c r="D54" s="4">
        <v>0.31715277777777812</v>
      </c>
      <c r="E54" s="2">
        <v>13.299999999999999</v>
      </c>
      <c r="F54" s="2">
        <v>13.309999999999999</v>
      </c>
      <c r="G54" s="1" t="s">
        <v>26</v>
      </c>
      <c r="H54" s="4">
        <f t="shared" si="4"/>
        <v>1.6203703703704386E-4</v>
      </c>
      <c r="J54">
        <v>390.20001220703125</v>
      </c>
      <c r="K54" s="3">
        <v>396.89999389648438</v>
      </c>
      <c r="L54" s="3">
        <v>390.70001220703125</v>
      </c>
      <c r="M54" s="3">
        <v>393.20001220703125</v>
      </c>
      <c r="N54" s="3">
        <v>393.20001220703125</v>
      </c>
      <c r="O54" s="3"/>
      <c r="P54" s="3">
        <v>396.70001220703125</v>
      </c>
      <c r="Q54" s="3">
        <v>390.79998779296875</v>
      </c>
      <c r="R54" s="3">
        <v>390.79998779296875</v>
      </c>
      <c r="S54" s="3">
        <v>390.70001220703125</v>
      </c>
      <c r="T54" s="3">
        <v>390.70001220703125</v>
      </c>
      <c r="U54" s="3">
        <v>399.60000610351563</v>
      </c>
      <c r="V54" s="3">
        <v>399.60000610351563</v>
      </c>
      <c r="W54" s="3">
        <v>399.29998779296875</v>
      </c>
      <c r="X54" s="3">
        <v>399.29998779296875</v>
      </c>
      <c r="Y54" s="3"/>
      <c r="Z54" s="3">
        <v>398.79998779296875</v>
      </c>
      <c r="AA54" s="3">
        <v>395.79998779296875</v>
      </c>
      <c r="AB54" s="3">
        <v>392.20001220703125</v>
      </c>
      <c r="AC54" s="3">
        <v>392.20001220703125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</row>
    <row r="55" spans="1:110" ht="14.25" customHeight="1" x14ac:dyDescent="0.3">
      <c r="A55" s="1">
        <f t="shared" si="3"/>
        <v>46</v>
      </c>
      <c r="B55" s="1" t="s">
        <v>65</v>
      </c>
      <c r="C55" s="4">
        <v>0.31744212962962998</v>
      </c>
      <c r="D55" s="4">
        <v>0.31761574074074111</v>
      </c>
      <c r="E55" s="2">
        <v>13.299999999999999</v>
      </c>
      <c r="F55" s="2">
        <v>13.37</v>
      </c>
      <c r="G55" s="1" t="s">
        <v>26</v>
      </c>
      <c r="H55" s="4">
        <f t="shared" si="4"/>
        <v>1.7361111111113825E-4</v>
      </c>
      <c r="J55">
        <v>390.70001220703125</v>
      </c>
      <c r="K55" s="3">
        <v>397.60000610351563</v>
      </c>
      <c r="L55" s="3">
        <v>394.20001220703125</v>
      </c>
      <c r="M55" s="3">
        <v>394.20001220703125</v>
      </c>
      <c r="N55" s="3">
        <v>397.20001220703125</v>
      </c>
      <c r="O55" s="3">
        <v>397.20001220703125</v>
      </c>
      <c r="P55" s="3"/>
      <c r="Q55" s="3">
        <v>391.29998779296875</v>
      </c>
      <c r="R55" s="3">
        <v>391.29998779296875</v>
      </c>
      <c r="S55" s="3">
        <v>391.20001220703125</v>
      </c>
      <c r="T55" s="3">
        <v>391.20001220703125</v>
      </c>
      <c r="U55" s="3">
        <v>399.89999389648438</v>
      </c>
      <c r="V55" s="3">
        <v>399.89999389648438</v>
      </c>
      <c r="W55" s="3"/>
      <c r="X55" s="3">
        <v>399.89999389648438</v>
      </c>
      <c r="Y55" s="3">
        <v>399.89999389648438</v>
      </c>
      <c r="Z55" s="3">
        <v>399.70001220703125</v>
      </c>
      <c r="AA55" s="3">
        <v>399.70001220703125</v>
      </c>
      <c r="AB55" s="3">
        <v>390.5</v>
      </c>
      <c r="AC55" s="3">
        <v>390.5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</row>
    <row r="56" spans="1:110" ht="14.25" customHeight="1" x14ac:dyDescent="0.3">
      <c r="A56" s="1">
        <f t="shared" si="3"/>
        <v>47</v>
      </c>
      <c r="B56" s="1" t="s">
        <v>66</v>
      </c>
      <c r="C56" s="4">
        <v>0.31787037037037075</v>
      </c>
      <c r="D56" s="4">
        <v>0.31803240740740779</v>
      </c>
      <c r="E56" s="2">
        <v>13.299999999999999</v>
      </c>
      <c r="F56" s="2">
        <v>13.35</v>
      </c>
      <c r="G56" s="1" t="s">
        <v>26</v>
      </c>
      <c r="H56" s="4">
        <f t="shared" si="4"/>
        <v>1.6203703703704386E-4</v>
      </c>
      <c r="J56">
        <v>391.39999389648438</v>
      </c>
      <c r="K56" s="3">
        <v>390.20001220703125</v>
      </c>
      <c r="L56" s="3">
        <v>390.29998779296875</v>
      </c>
      <c r="M56" s="3">
        <v>390.29998779296875</v>
      </c>
      <c r="N56" s="3">
        <v>390.39999389648438</v>
      </c>
      <c r="O56" s="3">
        <v>390.39999389648438</v>
      </c>
      <c r="P56" s="3">
        <v>399.79998779296875</v>
      </c>
      <c r="Q56" s="3">
        <v>399.79998779296875</v>
      </c>
      <c r="R56" s="3"/>
      <c r="S56" s="3">
        <v>399.39999389648438</v>
      </c>
      <c r="T56" s="3">
        <v>399.39999389648438</v>
      </c>
      <c r="U56" s="3">
        <v>399.39999389648438</v>
      </c>
      <c r="V56" s="3">
        <v>399.39999389648438</v>
      </c>
      <c r="W56" s="3">
        <v>396.10000610351563</v>
      </c>
      <c r="X56" s="3">
        <v>396.10000610351563</v>
      </c>
      <c r="Y56" s="3">
        <v>395.70001220703125</v>
      </c>
      <c r="Z56" s="3">
        <v>395.70001220703125</v>
      </c>
      <c r="AA56" s="3">
        <v>392.79998779296875</v>
      </c>
      <c r="AB56" s="3">
        <v>391.10000610351563</v>
      </c>
      <c r="AC56" s="3">
        <v>391.10000610351563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</row>
    <row r="57" spans="1:110" ht="14.25" customHeight="1" x14ac:dyDescent="0.3">
      <c r="A57" s="1">
        <f t="shared" si="3"/>
        <v>48</v>
      </c>
      <c r="B57" s="1" t="s">
        <v>67</v>
      </c>
      <c r="C57" s="4">
        <v>0.31826388888888929</v>
      </c>
      <c r="D57" s="4">
        <v>0.31843750000000043</v>
      </c>
      <c r="E57" s="2">
        <v>13.299999999999999</v>
      </c>
      <c r="F57" s="2">
        <v>13.379999999999999</v>
      </c>
      <c r="G57" s="1" t="s">
        <v>26</v>
      </c>
      <c r="H57" s="4">
        <f t="shared" si="4"/>
        <v>1.7361111111113825E-4</v>
      </c>
      <c r="J57">
        <v>391.39999389648438</v>
      </c>
      <c r="K57" s="3">
        <v>390.89999389648438</v>
      </c>
      <c r="L57" s="3">
        <v>390.89999389648438</v>
      </c>
      <c r="M57" s="3">
        <v>392</v>
      </c>
      <c r="N57" s="3">
        <v>392</v>
      </c>
      <c r="O57" s="3"/>
      <c r="P57" s="3">
        <v>392.5</v>
      </c>
      <c r="Q57" s="3">
        <v>392.5</v>
      </c>
      <c r="R57" s="3">
        <v>399.89999389648438</v>
      </c>
      <c r="S57" s="3">
        <v>399.89999389648438</v>
      </c>
      <c r="T57" s="3">
        <v>399.89999389648438</v>
      </c>
      <c r="U57" s="3">
        <v>399.89999389648438</v>
      </c>
      <c r="V57" s="3">
        <v>398.20001220703125</v>
      </c>
      <c r="W57" s="3">
        <v>398.20001220703125</v>
      </c>
      <c r="X57" s="3">
        <v>398</v>
      </c>
      <c r="Y57" s="3">
        <v>398</v>
      </c>
      <c r="Z57" s="3">
        <v>394.89999389648438</v>
      </c>
      <c r="AA57" s="3">
        <v>394.89999389648438</v>
      </c>
      <c r="AB57" s="3">
        <v>394.39999389648438</v>
      </c>
      <c r="AC57" s="3">
        <v>394.39999389648438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</row>
    <row r="58" spans="1:110" ht="14.25" customHeight="1" x14ac:dyDescent="0.3">
      <c r="A58" s="1">
        <f t="shared" si="3"/>
        <v>49</v>
      </c>
      <c r="B58" s="1" t="s">
        <v>68</v>
      </c>
      <c r="C58" s="4">
        <v>0.31871527777777819</v>
      </c>
      <c r="D58" s="4">
        <v>0.31888888888888933</v>
      </c>
      <c r="E58" s="2">
        <v>13.299999999999999</v>
      </c>
      <c r="F58" s="2">
        <v>13.339999999999998</v>
      </c>
      <c r="G58" s="1" t="s">
        <v>26</v>
      </c>
      <c r="H58" s="4">
        <f t="shared" si="4"/>
        <v>1.7361111111113825E-4</v>
      </c>
      <c r="J58">
        <v>390.10000610351563</v>
      </c>
      <c r="K58" s="3">
        <v>390.60000610351563</v>
      </c>
      <c r="L58" s="3">
        <v>395.60000610351563</v>
      </c>
      <c r="M58" s="3">
        <v>395.60000610351563</v>
      </c>
      <c r="N58" s="3">
        <v>399.39999389648438</v>
      </c>
      <c r="O58" s="3">
        <v>399.39999389648438</v>
      </c>
      <c r="P58" s="3">
        <v>397.5</v>
      </c>
      <c r="Q58" s="3">
        <v>397.5</v>
      </c>
      <c r="R58" s="3"/>
      <c r="S58" s="3">
        <v>399.89999389648438</v>
      </c>
      <c r="T58" s="3">
        <v>399.89999389648438</v>
      </c>
      <c r="U58" s="3">
        <v>394.5</v>
      </c>
      <c r="V58" s="3">
        <v>394.5</v>
      </c>
      <c r="W58" s="3">
        <v>394.20001220703125</v>
      </c>
      <c r="X58" s="3">
        <v>391.29998779296875</v>
      </c>
      <c r="Y58" s="3">
        <v>391.29998779296875</v>
      </c>
      <c r="Z58" s="3"/>
      <c r="AA58" s="3">
        <v>391.20001220703125</v>
      </c>
      <c r="AB58" s="3">
        <v>391.20001220703125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</row>
    <row r="59" spans="1:110" ht="14.25" customHeight="1" x14ac:dyDescent="0.3">
      <c r="A59" s="1">
        <f t="shared" si="3"/>
        <v>50</v>
      </c>
      <c r="B59" s="1" t="s">
        <v>69</v>
      </c>
      <c r="C59" s="4">
        <v>0.31915509259259306</v>
      </c>
      <c r="D59" s="4">
        <v>0.3193171296296301</v>
      </c>
      <c r="E59" s="2">
        <v>13.299999999999999</v>
      </c>
      <c r="F59" s="2">
        <v>13.44</v>
      </c>
      <c r="G59" s="1" t="s">
        <v>26</v>
      </c>
      <c r="H59" s="4">
        <f t="shared" si="4"/>
        <v>1.6203703703704386E-4</v>
      </c>
      <c r="J59">
        <v>390.70001220703125</v>
      </c>
      <c r="K59" s="3">
        <v>390.29998779296875</v>
      </c>
      <c r="L59" s="3">
        <v>393.10000610351563</v>
      </c>
      <c r="M59" s="3">
        <v>393.10000610351563</v>
      </c>
      <c r="N59" s="3">
        <v>395.20001220703125</v>
      </c>
      <c r="O59" s="3">
        <v>393.70001220703125</v>
      </c>
      <c r="P59" s="3">
        <v>393.70001220703125</v>
      </c>
      <c r="Q59" s="3"/>
      <c r="R59" s="3">
        <v>393.5</v>
      </c>
      <c r="S59" s="3">
        <v>393.5</v>
      </c>
      <c r="T59" s="3">
        <v>390.60000610351563</v>
      </c>
      <c r="U59" s="3">
        <v>390.60000610351563</v>
      </c>
      <c r="V59" s="3">
        <v>390.5</v>
      </c>
      <c r="W59" s="3">
        <v>390.5</v>
      </c>
      <c r="X59" s="3">
        <v>399.10000610351563</v>
      </c>
      <c r="Y59" s="3">
        <v>399.10000610351563</v>
      </c>
      <c r="Z59" s="3">
        <v>398.70001220703125</v>
      </c>
      <c r="AA59" s="3">
        <v>398.70001220703125</v>
      </c>
      <c r="AB59" s="3">
        <v>395.39999389648438</v>
      </c>
      <c r="AC59" s="3">
        <v>395.39999389648438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</row>
    <row r="60" spans="1:110" ht="14.25" customHeight="1" x14ac:dyDescent="0.3">
      <c r="A60" s="1">
        <f t="shared" si="3"/>
        <v>51</v>
      </c>
      <c r="B60" s="1" t="s">
        <v>70</v>
      </c>
      <c r="C60" s="4">
        <v>0.31956018518518564</v>
      </c>
      <c r="D60" s="4">
        <v>0.31972222222222269</v>
      </c>
      <c r="E60" s="2">
        <v>13.299999999999999</v>
      </c>
      <c r="F60" s="2">
        <v>13.329999999999998</v>
      </c>
      <c r="G60" s="1" t="s">
        <v>26</v>
      </c>
      <c r="H60" s="4">
        <f t="shared" si="4"/>
        <v>1.6203703703704386E-4</v>
      </c>
      <c r="J60">
        <v>394.70001220703125</v>
      </c>
      <c r="K60" s="3">
        <v>390.10000610351563</v>
      </c>
      <c r="L60" s="3">
        <v>392</v>
      </c>
      <c r="M60" s="3">
        <v>395.60000610351563</v>
      </c>
      <c r="N60" s="3">
        <v>395.60000610351563</v>
      </c>
      <c r="O60" s="3"/>
      <c r="P60" s="3">
        <v>398.79998779296875</v>
      </c>
      <c r="Q60" s="3">
        <v>398.79998779296875</v>
      </c>
      <c r="R60" s="3"/>
      <c r="S60" s="3">
        <v>399.89999389648438</v>
      </c>
      <c r="T60" s="3">
        <v>399.89999389648438</v>
      </c>
      <c r="U60" s="3"/>
      <c r="V60" s="3">
        <v>392.5</v>
      </c>
      <c r="W60" s="3">
        <v>392.5</v>
      </c>
      <c r="X60" s="3">
        <v>399.89999389648438</v>
      </c>
      <c r="Y60" s="3">
        <v>399.89999389648438</v>
      </c>
      <c r="Z60" s="3"/>
      <c r="AA60" s="3">
        <v>392.10000610351563</v>
      </c>
      <c r="AB60" s="3">
        <v>390.10000610351563</v>
      </c>
      <c r="AC60" s="3">
        <v>390.10000610351563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</row>
    <row r="61" spans="1:110" ht="14.25" customHeight="1" x14ac:dyDescent="0.3">
      <c r="A61" s="1">
        <f t="shared" si="3"/>
        <v>52</v>
      </c>
      <c r="B61" s="1" t="s">
        <v>71</v>
      </c>
      <c r="C61" s="4">
        <v>0.31996527777777822</v>
      </c>
      <c r="D61" s="4">
        <v>0.32012731481481527</v>
      </c>
      <c r="E61" s="2">
        <v>13.299999999999999</v>
      </c>
      <c r="F61" s="2">
        <v>13.43</v>
      </c>
      <c r="G61" s="1" t="s">
        <v>26</v>
      </c>
      <c r="H61" s="4">
        <f t="shared" si="4"/>
        <v>1.6203703703704386E-4</v>
      </c>
      <c r="J61">
        <v>390.39999389648438</v>
      </c>
      <c r="K61" s="3">
        <v>390.5</v>
      </c>
      <c r="L61" s="3">
        <v>390.79998779296875</v>
      </c>
      <c r="M61" s="3">
        <v>390.79998779296875</v>
      </c>
      <c r="N61" s="3">
        <v>391.10000610351563</v>
      </c>
      <c r="O61" s="3">
        <v>391.10000610351563</v>
      </c>
      <c r="P61" s="3">
        <v>391.20001220703125</v>
      </c>
      <c r="Q61" s="3">
        <v>391.20001220703125</v>
      </c>
      <c r="R61" s="3">
        <v>398.89999389648438</v>
      </c>
      <c r="S61" s="3">
        <v>398.89999389648438</v>
      </c>
      <c r="T61" s="3"/>
      <c r="U61" s="3">
        <v>391.39999389648438</v>
      </c>
      <c r="V61" s="3">
        <v>391.39999389648438</v>
      </c>
      <c r="W61" s="3">
        <v>390.29998779296875</v>
      </c>
      <c r="X61" s="3">
        <v>390.29998779296875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</row>
    <row r="62" spans="1:110" ht="14.25" customHeight="1" x14ac:dyDescent="0.3">
      <c r="A62" s="1">
        <f t="shared" si="3"/>
        <v>53</v>
      </c>
      <c r="B62" s="1" t="s">
        <v>72</v>
      </c>
      <c r="C62" s="4">
        <v>0.32039351851851899</v>
      </c>
      <c r="D62" s="4">
        <v>0.32055555555555604</v>
      </c>
      <c r="E62" s="2">
        <v>13.299999999999999</v>
      </c>
      <c r="F62" s="2">
        <v>13.35</v>
      </c>
      <c r="G62" s="1" t="s">
        <v>26</v>
      </c>
      <c r="H62" s="4">
        <f t="shared" si="4"/>
        <v>1.6203703703704386E-4</v>
      </c>
      <c r="J62">
        <v>396.29998779296875</v>
      </c>
      <c r="K62" s="3">
        <v>390.29998779296875</v>
      </c>
      <c r="L62" s="3">
        <v>390.29998779296875</v>
      </c>
      <c r="M62" s="3">
        <v>392.70001220703125</v>
      </c>
      <c r="N62" s="3">
        <v>390.79998779296875</v>
      </c>
      <c r="O62" s="3">
        <v>390.79998779296875</v>
      </c>
      <c r="P62" s="3">
        <v>390.70001220703125</v>
      </c>
      <c r="Q62" s="3">
        <v>390.70001220703125</v>
      </c>
      <c r="R62" s="3">
        <v>398.39999389648438</v>
      </c>
      <c r="S62" s="3">
        <v>398.39999389648438</v>
      </c>
      <c r="T62" s="3">
        <v>399.89999389648438</v>
      </c>
      <c r="U62" s="3">
        <v>399.89999389648438</v>
      </c>
      <c r="V62" s="3">
        <v>397.29998779296875</v>
      </c>
      <c r="W62" s="3">
        <v>397.29998779296875</v>
      </c>
      <c r="X62" s="3">
        <v>396.60000610351563</v>
      </c>
      <c r="Y62" s="3">
        <v>396.60000610351563</v>
      </c>
      <c r="Z62" s="3">
        <v>393.60000610351563</v>
      </c>
      <c r="AA62" s="3">
        <v>393.60000610351563</v>
      </c>
      <c r="AB62" s="3">
        <v>393.29998779296875</v>
      </c>
      <c r="AC62" s="3">
        <v>393.29998779296875</v>
      </c>
      <c r="AD62" s="3">
        <v>392.29998779296875</v>
      </c>
      <c r="AE62" s="3">
        <v>390.39999389648438</v>
      </c>
      <c r="AF62" s="3">
        <v>390.39999389648438</v>
      </c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</row>
    <row r="63" spans="1:110" ht="14.25" customHeight="1" x14ac:dyDescent="0.3">
      <c r="A63" s="1">
        <f t="shared" si="3"/>
        <v>54</v>
      </c>
      <c r="B63" s="1" t="s">
        <v>73</v>
      </c>
      <c r="C63" s="4">
        <v>0.3208449074074079</v>
      </c>
      <c r="D63" s="4">
        <v>0.32099537037037085</v>
      </c>
      <c r="E63" s="2">
        <v>13.299999999999999</v>
      </c>
      <c r="F63" s="2">
        <v>13.319999999999999</v>
      </c>
      <c r="G63" s="1" t="s">
        <v>26</v>
      </c>
      <c r="H63" s="4">
        <f t="shared" si="4"/>
        <v>1.5046296296294948E-4</v>
      </c>
      <c r="J63">
        <v>391</v>
      </c>
      <c r="K63" s="3">
        <v>393.29998779296875</v>
      </c>
      <c r="L63" s="3">
        <v>390.20001220703125</v>
      </c>
      <c r="M63" s="3">
        <v>394</v>
      </c>
      <c r="N63" s="3">
        <v>394</v>
      </c>
      <c r="O63" s="3">
        <v>394.70001220703125</v>
      </c>
      <c r="P63" s="3">
        <v>392.60000610351563</v>
      </c>
      <c r="Q63" s="3">
        <v>392.60000610351563</v>
      </c>
      <c r="R63" s="3"/>
      <c r="S63" s="3">
        <v>393.5</v>
      </c>
      <c r="T63" s="3">
        <v>390.39999389648438</v>
      </c>
      <c r="U63" s="3">
        <v>390.39999389648438</v>
      </c>
      <c r="V63" s="3"/>
      <c r="W63" s="3">
        <v>390.39999389648438</v>
      </c>
      <c r="X63" s="3">
        <v>390.39999389648438</v>
      </c>
      <c r="Y63" s="3">
        <v>390.29998779296875</v>
      </c>
      <c r="Z63" s="3">
        <v>390.29998779296875</v>
      </c>
      <c r="AA63" s="3">
        <v>399</v>
      </c>
      <c r="AB63" s="3">
        <v>399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</row>
    <row r="64" spans="1:110" ht="14.25" customHeight="1" x14ac:dyDescent="0.3">
      <c r="A64" s="1">
        <f t="shared" si="3"/>
        <v>55</v>
      </c>
      <c r="B64" s="1" t="s">
        <v>251</v>
      </c>
      <c r="C64" s="4">
        <v>0.32122685185185235</v>
      </c>
      <c r="D64" s="4">
        <v>0.32140046296296348</v>
      </c>
      <c r="E64" s="2">
        <v>13.299999999999999</v>
      </c>
      <c r="F64" s="2">
        <v>13.44</v>
      </c>
      <c r="G64" s="1" t="s">
        <v>26</v>
      </c>
      <c r="H64" s="4">
        <f t="shared" si="4"/>
        <v>1.7361111111113825E-4</v>
      </c>
      <c r="J64">
        <v>391.70001220703125</v>
      </c>
      <c r="K64" s="3">
        <v>390.39999389648438</v>
      </c>
      <c r="L64" s="3">
        <v>390.89999389648438</v>
      </c>
      <c r="M64" s="3">
        <v>390.60000610351563</v>
      </c>
      <c r="N64" s="3">
        <v>390.79998779296875</v>
      </c>
      <c r="O64" s="3">
        <v>390.79998779296875</v>
      </c>
      <c r="P64" s="3">
        <v>394.70001220703125</v>
      </c>
      <c r="Q64" s="3">
        <v>390.20001220703125</v>
      </c>
      <c r="R64" s="3">
        <v>390.20001220703125</v>
      </c>
      <c r="S64" s="3">
        <v>395.20001220703125</v>
      </c>
      <c r="T64" s="3">
        <v>395.20001220703125</v>
      </c>
      <c r="U64" s="3">
        <v>395.5</v>
      </c>
      <c r="V64" s="3">
        <v>395.5</v>
      </c>
      <c r="W64" s="3">
        <v>395.39999389648438</v>
      </c>
      <c r="X64" s="3">
        <v>395.39999389648438</v>
      </c>
      <c r="Y64" s="3">
        <v>395.20001220703125</v>
      </c>
      <c r="Z64" s="3">
        <v>392.89999389648438</v>
      </c>
      <c r="AA64" s="3">
        <v>392.89999389648438</v>
      </c>
      <c r="AB64" s="3">
        <v>392.5</v>
      </c>
      <c r="AC64" s="3">
        <v>392.5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</row>
    <row r="65" spans="1:110" ht="14.25" customHeight="1" x14ac:dyDescent="0.3">
      <c r="A65" s="1">
        <f t="shared" si="3"/>
        <v>56</v>
      </c>
      <c r="B65" s="1" t="s">
        <v>252</v>
      </c>
      <c r="C65" s="4">
        <v>0.32167824074074125</v>
      </c>
      <c r="D65" s="4">
        <v>0.32185185185185239</v>
      </c>
      <c r="E65" s="2">
        <v>13.299999999999999</v>
      </c>
      <c r="F65" s="2">
        <v>13.37</v>
      </c>
      <c r="G65" s="1" t="s">
        <v>26</v>
      </c>
      <c r="H65" s="4">
        <f t="shared" si="4"/>
        <v>1.7361111111113825E-4</v>
      </c>
      <c r="J65">
        <v>392.39999389648438</v>
      </c>
      <c r="K65" s="3">
        <v>392.70001220703125</v>
      </c>
      <c r="L65" s="3">
        <v>395.39999389648438</v>
      </c>
      <c r="M65" s="3">
        <v>395.39999389648438</v>
      </c>
      <c r="N65" s="3">
        <v>398.29998779296875</v>
      </c>
      <c r="O65" s="3">
        <v>398.29998779296875</v>
      </c>
      <c r="P65" s="3">
        <v>396.10000610351563</v>
      </c>
      <c r="Q65" s="3">
        <v>396.10000610351563</v>
      </c>
      <c r="R65" s="3">
        <v>392.70001220703125</v>
      </c>
      <c r="S65" s="3">
        <v>392.70001220703125</v>
      </c>
      <c r="T65" s="3"/>
      <c r="U65" s="3">
        <v>392.70001220703125</v>
      </c>
      <c r="V65" s="3">
        <v>392.70001220703125</v>
      </c>
      <c r="W65" s="3">
        <v>392.60000610351563</v>
      </c>
      <c r="X65" s="3">
        <v>392.60000610351563</v>
      </c>
      <c r="Y65" s="3"/>
      <c r="Z65" s="3">
        <v>392.39999389648438</v>
      </c>
      <c r="AA65" s="3">
        <v>399.89999389648438</v>
      </c>
      <c r="AB65" s="3">
        <v>390.5</v>
      </c>
      <c r="AC65" s="3">
        <v>390.5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</row>
    <row r="66" spans="1:110" ht="14.25" customHeight="1" x14ac:dyDescent="0.3">
      <c r="A66" s="1">
        <f t="shared" si="3"/>
        <v>57</v>
      </c>
      <c r="B66" s="1" t="s">
        <v>74</v>
      </c>
      <c r="C66" s="4">
        <v>0.32209490740740793</v>
      </c>
      <c r="D66" s="4">
        <v>0.32224537037037088</v>
      </c>
      <c r="E66" s="2">
        <v>13.299999999999999</v>
      </c>
      <c r="F66" s="2">
        <v>13.44</v>
      </c>
      <c r="G66" s="1" t="s">
        <v>26</v>
      </c>
      <c r="H66" s="4">
        <f t="shared" si="4"/>
        <v>1.5046296296294948E-4</v>
      </c>
      <c r="J66">
        <v>395.89999389648438</v>
      </c>
      <c r="K66" s="3">
        <v>390.29998779296875</v>
      </c>
      <c r="L66" s="3">
        <v>391.39999389648438</v>
      </c>
      <c r="M66" s="3">
        <v>391.39999389648438</v>
      </c>
      <c r="N66" s="3">
        <v>391.5</v>
      </c>
      <c r="O66" s="3">
        <v>391.5</v>
      </c>
      <c r="P66" s="3">
        <v>399.89999389648438</v>
      </c>
      <c r="Q66" s="3">
        <v>399.89999389648438</v>
      </c>
      <c r="R66" s="3"/>
      <c r="S66" s="3">
        <v>399.89999389648438</v>
      </c>
      <c r="T66" s="3">
        <v>399.89999389648438</v>
      </c>
      <c r="U66" s="3">
        <v>399.89999389648438</v>
      </c>
      <c r="V66" s="3">
        <v>399.89999389648438</v>
      </c>
      <c r="W66" s="3">
        <v>399.89999389648438</v>
      </c>
      <c r="X66" s="3">
        <v>397.70001220703125</v>
      </c>
      <c r="Y66" s="3"/>
      <c r="Z66" s="3">
        <v>397.39999389648438</v>
      </c>
      <c r="AA66" s="3">
        <v>397.39999389648438</v>
      </c>
      <c r="AB66" s="3">
        <v>396.70001220703125</v>
      </c>
      <c r="AC66" s="3">
        <v>396.70001220703125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</row>
    <row r="67" spans="1:110" ht="14.25" customHeight="1" x14ac:dyDescent="0.3">
      <c r="A67" s="1">
        <f t="shared" si="3"/>
        <v>58</v>
      </c>
      <c r="B67" s="1" t="s">
        <v>75</v>
      </c>
      <c r="C67" s="4">
        <v>0.32250000000000051</v>
      </c>
      <c r="D67" s="4">
        <v>0.32266203703703755</v>
      </c>
      <c r="E67" s="2">
        <v>13.299999999999999</v>
      </c>
      <c r="F67" s="2">
        <v>13.35</v>
      </c>
      <c r="G67" s="1" t="s">
        <v>26</v>
      </c>
      <c r="H67" s="4">
        <f t="shared" si="4"/>
        <v>1.6203703703704386E-4</v>
      </c>
      <c r="J67">
        <v>390.60000610351563</v>
      </c>
      <c r="K67" s="3">
        <v>390.29998779296875</v>
      </c>
      <c r="L67" s="3">
        <v>391.89999389648438</v>
      </c>
      <c r="M67" s="3">
        <v>390.5</v>
      </c>
      <c r="N67" s="3">
        <v>390.5</v>
      </c>
      <c r="O67" s="3">
        <v>398.89999389648438</v>
      </c>
      <c r="P67" s="3">
        <v>398.89999389648438</v>
      </c>
      <c r="Q67" s="3">
        <v>399.89999389648438</v>
      </c>
      <c r="R67" s="3">
        <v>399.89999389648438</v>
      </c>
      <c r="S67" s="3">
        <v>397</v>
      </c>
      <c r="T67" s="3">
        <v>397</v>
      </c>
      <c r="U67" s="3"/>
      <c r="V67" s="3">
        <v>396.89999389648438</v>
      </c>
      <c r="W67" s="3">
        <v>396.89999389648438</v>
      </c>
      <c r="X67" s="3">
        <v>396.60000610351563</v>
      </c>
      <c r="Y67" s="3">
        <v>396.60000610351563</v>
      </c>
      <c r="Z67" s="3">
        <v>393.39999389648438</v>
      </c>
      <c r="AA67" s="3">
        <v>393.39999389648438</v>
      </c>
      <c r="AB67" s="3">
        <v>390.89999389648438</v>
      </c>
      <c r="AC67" s="3">
        <v>390.89999389648438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</row>
    <row r="68" spans="1:110" ht="14.25" customHeight="1" x14ac:dyDescent="0.3">
      <c r="A68" s="1">
        <f t="shared" si="3"/>
        <v>59</v>
      </c>
      <c r="B68" s="1" t="s">
        <v>76</v>
      </c>
      <c r="C68" s="4">
        <v>0.32292824074074128</v>
      </c>
      <c r="D68" s="4">
        <v>0.32306712962963019</v>
      </c>
      <c r="E68" s="2">
        <v>13.299999999999999</v>
      </c>
      <c r="F68" s="2">
        <v>13.379999999999999</v>
      </c>
      <c r="G68" s="1" t="s">
        <v>26</v>
      </c>
      <c r="H68" s="4">
        <f t="shared" si="4"/>
        <v>1.388888888889106E-4</v>
      </c>
      <c r="J68">
        <v>390.60000610351563</v>
      </c>
      <c r="K68" s="3">
        <v>390.60000610351563</v>
      </c>
      <c r="L68" s="3">
        <v>393.29998779296875</v>
      </c>
      <c r="M68" s="3">
        <v>392.29998779296875</v>
      </c>
      <c r="N68" s="3">
        <v>392.29998779296875</v>
      </c>
      <c r="O68" s="3"/>
      <c r="P68" s="3">
        <v>392.70001220703125</v>
      </c>
      <c r="Q68" s="3">
        <v>392.70001220703125</v>
      </c>
      <c r="R68" s="3">
        <v>399.89999389648438</v>
      </c>
      <c r="S68" s="3">
        <v>399.89999389648438</v>
      </c>
      <c r="T68" s="3">
        <v>399.89999389648438</v>
      </c>
      <c r="U68" s="3">
        <v>399.89999389648438</v>
      </c>
      <c r="V68" s="3">
        <v>398.79998779296875</v>
      </c>
      <c r="W68" s="3">
        <v>398.79998779296875</v>
      </c>
      <c r="X68" s="3">
        <v>398.5</v>
      </c>
      <c r="Y68" s="3">
        <v>398.5</v>
      </c>
      <c r="Z68" s="3"/>
      <c r="AA68" s="3">
        <v>390.29998779296875</v>
      </c>
      <c r="AB68" s="3">
        <v>390.29998779296875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</row>
    <row r="69" spans="1:110" ht="14.25" customHeight="1" x14ac:dyDescent="0.3">
      <c r="A69" s="1">
        <f t="shared" si="3"/>
        <v>60</v>
      </c>
      <c r="B69" s="1" t="s">
        <v>77</v>
      </c>
      <c r="C69" s="4">
        <v>0.32333333333333392</v>
      </c>
      <c r="D69" s="4">
        <v>0.32350694444444505</v>
      </c>
      <c r="E69" s="2">
        <v>13.299999999999999</v>
      </c>
      <c r="F69" s="2">
        <v>13.329999999999998</v>
      </c>
      <c r="G69" s="1" t="s">
        <v>26</v>
      </c>
      <c r="H69" s="4">
        <f t="shared" si="4"/>
        <v>1.7361111111113825E-4</v>
      </c>
      <c r="J69">
        <v>390.10000610351563</v>
      </c>
      <c r="K69" s="3">
        <v>393.39999389648438</v>
      </c>
      <c r="L69" s="3">
        <v>393.39999389648438</v>
      </c>
      <c r="M69" s="3">
        <v>396.60000610351563</v>
      </c>
      <c r="N69" s="3">
        <v>396.60000610351563</v>
      </c>
      <c r="O69" s="3">
        <v>395.10000610351563</v>
      </c>
      <c r="P69" s="3">
        <v>395.10000610351563</v>
      </c>
      <c r="Q69" s="3">
        <v>394.79998779296875</v>
      </c>
      <c r="R69" s="3">
        <v>394.79998779296875</v>
      </c>
      <c r="S69" s="3"/>
      <c r="T69" s="3">
        <v>394.70001220703125</v>
      </c>
      <c r="U69" s="3">
        <v>394.70001220703125</v>
      </c>
      <c r="V69" s="3"/>
      <c r="W69" s="3">
        <v>394.5</v>
      </c>
      <c r="X69" s="3">
        <v>391.39999389648438</v>
      </c>
      <c r="Y69" s="3">
        <v>391.39999389648438</v>
      </c>
      <c r="Z69" s="3"/>
      <c r="AA69" s="3">
        <v>391.20001220703125</v>
      </c>
      <c r="AB69" s="3">
        <v>396.70001220703125</v>
      </c>
      <c r="AC69" s="3">
        <v>396.70001220703125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</row>
    <row r="70" spans="1:110" ht="14.25" customHeight="1" x14ac:dyDescent="0.3">
      <c r="A70" s="1">
        <f t="shared" si="3"/>
        <v>61</v>
      </c>
      <c r="B70" s="1" t="s">
        <v>78</v>
      </c>
      <c r="C70" s="4">
        <v>0.32379629629629691</v>
      </c>
      <c r="D70" s="4">
        <v>0.32393518518518583</v>
      </c>
      <c r="E70" s="2">
        <v>13.299999999999999</v>
      </c>
      <c r="F70" s="2">
        <v>13.319999999999999</v>
      </c>
      <c r="G70" s="1" t="s">
        <v>26</v>
      </c>
      <c r="H70" s="4">
        <f t="shared" si="4"/>
        <v>1.388888888889106E-4</v>
      </c>
      <c r="J70">
        <v>390.20001220703125</v>
      </c>
      <c r="K70" s="3">
        <v>395</v>
      </c>
      <c r="L70" s="3">
        <v>395</v>
      </c>
      <c r="M70" s="3">
        <v>398.29998779296875</v>
      </c>
      <c r="N70" s="3">
        <v>398.29998779296875</v>
      </c>
      <c r="O70" s="3">
        <v>396.89999389648438</v>
      </c>
      <c r="P70" s="3">
        <v>396.89999389648438</v>
      </c>
      <c r="Q70" s="3"/>
      <c r="R70" s="3">
        <v>396.79998779296875</v>
      </c>
      <c r="S70" s="3">
        <v>396.79998779296875</v>
      </c>
      <c r="T70" s="3">
        <v>393.60000610351563</v>
      </c>
      <c r="U70" s="3">
        <v>393.60000610351563</v>
      </c>
      <c r="V70" s="3">
        <v>393.5</v>
      </c>
      <c r="W70" s="3">
        <v>393.5</v>
      </c>
      <c r="X70" s="3">
        <v>390.39999389648438</v>
      </c>
      <c r="Y70" s="3">
        <v>390.39999389648438</v>
      </c>
      <c r="Z70" s="3">
        <v>390.29998779296875</v>
      </c>
      <c r="AA70" s="3">
        <v>390.29998779296875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</row>
    <row r="71" spans="1:110" ht="14.25" customHeight="1" x14ac:dyDescent="0.3">
      <c r="A71" s="1">
        <f t="shared" si="3"/>
        <v>62</v>
      </c>
      <c r="B71" s="1" t="s">
        <v>79</v>
      </c>
      <c r="C71" s="4">
        <v>0.32421296296296359</v>
      </c>
      <c r="D71" s="4">
        <v>0.3243518518518525</v>
      </c>
      <c r="E71" s="2">
        <v>13.299999999999999</v>
      </c>
      <c r="F71" s="2">
        <v>13.309999999999999</v>
      </c>
      <c r="G71" s="1" t="s">
        <v>26</v>
      </c>
      <c r="H71" s="4">
        <f t="shared" si="4"/>
        <v>1.388888888889106E-4</v>
      </c>
      <c r="J71">
        <v>390.10000610351563</v>
      </c>
      <c r="K71" s="3">
        <v>390.10000610351563</v>
      </c>
      <c r="L71" s="3">
        <v>396.5</v>
      </c>
      <c r="M71" s="3">
        <v>396.5</v>
      </c>
      <c r="N71" s="3">
        <v>395.20001220703125</v>
      </c>
      <c r="O71" s="3">
        <v>395.20001220703125</v>
      </c>
      <c r="P71" s="3">
        <v>395.79998779296875</v>
      </c>
      <c r="Q71" s="3">
        <v>395.79998779296875</v>
      </c>
      <c r="R71" s="3"/>
      <c r="S71" s="3">
        <v>395.70001220703125</v>
      </c>
      <c r="T71" s="3">
        <v>395.70001220703125</v>
      </c>
      <c r="U71" s="3">
        <v>395.60000610351563</v>
      </c>
      <c r="V71" s="3">
        <v>395.60000610351563</v>
      </c>
      <c r="W71" s="3">
        <v>392.39999389648438</v>
      </c>
      <c r="X71" s="3">
        <v>392.39999389648438</v>
      </c>
      <c r="Y71" s="3"/>
      <c r="Z71" s="3">
        <v>395.10000610351563</v>
      </c>
      <c r="AA71" s="3">
        <v>392</v>
      </c>
      <c r="AB71" s="3">
        <v>392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</row>
    <row r="72" spans="1:110" ht="14.25" customHeight="1" x14ac:dyDescent="0.3">
      <c r="A72" s="1">
        <f t="shared" si="3"/>
        <v>63</v>
      </c>
      <c r="B72" s="1" t="s">
        <v>80</v>
      </c>
      <c r="C72" s="4">
        <v>0.32460648148148213</v>
      </c>
      <c r="D72" s="4">
        <v>0.32474537037037104</v>
      </c>
      <c r="E72" s="2">
        <v>13.299999999999999</v>
      </c>
      <c r="F72" s="2">
        <v>13.329999999999998</v>
      </c>
      <c r="G72" s="1" t="s">
        <v>26</v>
      </c>
      <c r="H72" s="4">
        <f t="shared" si="4"/>
        <v>1.388888888889106E-4</v>
      </c>
      <c r="J72">
        <v>393</v>
      </c>
      <c r="K72" s="3">
        <v>391.10000610351563</v>
      </c>
      <c r="L72" s="3">
        <v>396</v>
      </c>
      <c r="M72" s="3">
        <v>396</v>
      </c>
      <c r="N72" s="3"/>
      <c r="O72" s="3">
        <v>398</v>
      </c>
      <c r="P72" s="3">
        <v>398</v>
      </c>
      <c r="Q72" s="3">
        <v>398.10000610351563</v>
      </c>
      <c r="R72" s="3">
        <v>394.89999389648438</v>
      </c>
      <c r="S72" s="3">
        <v>394.79998779296875</v>
      </c>
      <c r="T72" s="3">
        <v>394.79998779296875</v>
      </c>
      <c r="U72" s="3"/>
      <c r="V72" s="3">
        <v>394.79998779296875</v>
      </c>
      <c r="W72" s="3">
        <v>394.79998779296875</v>
      </c>
      <c r="X72" s="3">
        <v>391.5</v>
      </c>
      <c r="Y72" s="3">
        <v>391.5</v>
      </c>
      <c r="Z72" s="3">
        <v>391.29998779296875</v>
      </c>
      <c r="AA72" s="3">
        <v>391.29998779296875</v>
      </c>
      <c r="AB72" s="3">
        <v>390.10000610351563</v>
      </c>
      <c r="AC72" s="3">
        <v>390.10000610351563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</row>
    <row r="73" spans="1:110" ht="14.25" customHeight="1" x14ac:dyDescent="0.3">
      <c r="A73" s="1">
        <f t="shared" si="3"/>
        <v>64</v>
      </c>
      <c r="B73" s="1" t="s">
        <v>81</v>
      </c>
      <c r="C73" s="4">
        <v>0.32497685185185254</v>
      </c>
      <c r="D73" s="4">
        <v>0.32511574074074145</v>
      </c>
      <c r="E73" s="2">
        <v>13.299999999999999</v>
      </c>
      <c r="F73" s="2">
        <v>13.339999999999998</v>
      </c>
      <c r="G73" s="1" t="s">
        <v>26</v>
      </c>
      <c r="H73" s="4">
        <f t="shared" si="4"/>
        <v>1.388888888889106E-4</v>
      </c>
      <c r="J73">
        <v>390.70001220703125</v>
      </c>
      <c r="K73" s="3">
        <v>392</v>
      </c>
      <c r="L73" s="3">
        <v>392</v>
      </c>
      <c r="M73" s="3">
        <v>392.70001220703125</v>
      </c>
      <c r="N73" s="3">
        <v>392.70001220703125</v>
      </c>
      <c r="O73" s="3">
        <v>393.5</v>
      </c>
      <c r="P73" s="3">
        <v>393.5</v>
      </c>
      <c r="Q73" s="3">
        <v>390.20001220703125</v>
      </c>
      <c r="R73" s="3">
        <v>390.20001220703125</v>
      </c>
      <c r="S73" s="3">
        <v>390.20001220703125</v>
      </c>
      <c r="T73" s="3">
        <v>390.20001220703125</v>
      </c>
      <c r="U73" s="3"/>
      <c r="V73" s="3">
        <v>390.10000610351563</v>
      </c>
      <c r="W73" s="3">
        <v>390.10000610351563</v>
      </c>
      <c r="X73" s="3">
        <v>399.29998779296875</v>
      </c>
      <c r="Y73" s="3">
        <v>399.29998779296875</v>
      </c>
      <c r="Z73" s="3">
        <v>399</v>
      </c>
      <c r="AA73" s="3">
        <v>392.79998779296875</v>
      </c>
      <c r="AB73" s="3">
        <v>392.79998779296875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</row>
    <row r="74" spans="1:110" ht="14.25" customHeight="1" x14ac:dyDescent="0.3">
      <c r="A74" s="1">
        <f t="shared" si="3"/>
        <v>65</v>
      </c>
      <c r="B74" s="1" t="s">
        <v>82</v>
      </c>
      <c r="C74" s="4">
        <v>0.32540509259259331</v>
      </c>
      <c r="D74" s="4">
        <v>0.32556712962963036</v>
      </c>
      <c r="E74" s="2">
        <v>13.299999999999999</v>
      </c>
      <c r="F74" s="2">
        <v>13.319999999999999</v>
      </c>
      <c r="G74" s="1" t="s">
        <v>26</v>
      </c>
      <c r="H74" s="4">
        <f t="shared" si="4"/>
        <v>1.6203703703704386E-4</v>
      </c>
      <c r="J74">
        <v>390.5</v>
      </c>
      <c r="K74" s="3">
        <v>394.60000610351563</v>
      </c>
      <c r="L74" s="3">
        <v>394.60000610351563</v>
      </c>
      <c r="M74" s="3">
        <v>397.29998779296875</v>
      </c>
      <c r="N74" s="3">
        <v>397.29998779296875</v>
      </c>
      <c r="O74" s="3"/>
      <c r="P74" s="3">
        <v>398.5</v>
      </c>
      <c r="Q74" s="3">
        <v>398.5</v>
      </c>
      <c r="R74" s="3">
        <v>395.29998779296875</v>
      </c>
      <c r="S74" s="3">
        <v>395.29998779296875</v>
      </c>
      <c r="T74" s="3">
        <v>395.20001220703125</v>
      </c>
      <c r="U74" s="3">
        <v>395.20001220703125</v>
      </c>
      <c r="V74" s="3"/>
      <c r="W74" s="3">
        <v>394.89999389648438</v>
      </c>
      <c r="X74" s="3">
        <v>394.89999389648438</v>
      </c>
      <c r="Y74" s="3">
        <v>391.89999389648438</v>
      </c>
      <c r="Z74" s="3">
        <v>391.89999389648438</v>
      </c>
      <c r="AA74" s="3">
        <v>391.39999389648438</v>
      </c>
      <c r="AB74" s="3">
        <v>391.39999389648438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</row>
    <row r="75" spans="1:110" ht="14.25" customHeight="1" x14ac:dyDescent="0.3">
      <c r="A75" s="1">
        <f t="shared" si="3"/>
        <v>66</v>
      </c>
      <c r="B75" s="1" t="s">
        <v>83</v>
      </c>
      <c r="C75" s="4">
        <v>0.32579861111111186</v>
      </c>
      <c r="D75" s="4">
        <v>0.32594907407407481</v>
      </c>
      <c r="E75" s="2">
        <v>13.299999999999999</v>
      </c>
      <c r="F75" s="2">
        <v>13.329999999999998</v>
      </c>
      <c r="G75" s="1" t="s">
        <v>26</v>
      </c>
      <c r="H75" s="4">
        <f t="shared" si="4"/>
        <v>1.5046296296294948E-4</v>
      </c>
      <c r="J75">
        <v>390.29998779296875</v>
      </c>
      <c r="K75" s="3">
        <v>394.89999389648438</v>
      </c>
      <c r="L75" s="3">
        <v>394.89999389648438</v>
      </c>
      <c r="M75" s="3"/>
      <c r="N75" s="3">
        <v>399.5</v>
      </c>
      <c r="O75" s="3">
        <v>399.5</v>
      </c>
      <c r="P75" s="3">
        <v>397.39999389648438</v>
      </c>
      <c r="Q75" s="3">
        <v>397.39999389648438</v>
      </c>
      <c r="R75" s="3">
        <v>397.29998779296875</v>
      </c>
      <c r="S75" s="3">
        <v>397.29998779296875</v>
      </c>
      <c r="T75" s="3">
        <v>394.10000610351563</v>
      </c>
      <c r="U75" s="3">
        <v>394.10000610351563</v>
      </c>
      <c r="V75" s="3">
        <v>393.89999389648438</v>
      </c>
      <c r="W75" s="3">
        <v>393.89999389648438</v>
      </c>
      <c r="X75" s="3">
        <v>390.89999389648438</v>
      </c>
      <c r="Y75" s="3">
        <v>390.89999389648438</v>
      </c>
      <c r="Z75" s="3">
        <v>390.70001220703125</v>
      </c>
      <c r="AA75" s="3">
        <v>390.70001220703125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</row>
    <row r="76" spans="1:110" ht="14.25" customHeight="1" x14ac:dyDescent="0.3">
      <c r="A76" s="1">
        <f t="shared" ref="A76:A139" si="5">A75+1</f>
        <v>67</v>
      </c>
      <c r="B76" s="1" t="s">
        <v>84</v>
      </c>
      <c r="C76" s="4">
        <v>0.32622685185185257</v>
      </c>
      <c r="D76" s="4">
        <v>0.32640046296296371</v>
      </c>
      <c r="E76" s="2">
        <v>13.299999999999999</v>
      </c>
      <c r="F76" s="2">
        <v>13.319999999999999</v>
      </c>
      <c r="G76" s="1" t="s">
        <v>26</v>
      </c>
      <c r="H76" s="4">
        <f t="shared" ref="H76:H139" si="6">D76-C76</f>
        <v>1.7361111111113825E-4</v>
      </c>
      <c r="J76">
        <v>391.39999389648438</v>
      </c>
      <c r="K76" s="3">
        <v>390.10000610351563</v>
      </c>
      <c r="L76" s="3">
        <v>390.10000610351563</v>
      </c>
      <c r="M76" s="3">
        <v>393.10000610351563</v>
      </c>
      <c r="N76" s="3">
        <v>393.10000610351563</v>
      </c>
      <c r="O76" s="3"/>
      <c r="P76" s="3">
        <v>393.20001220703125</v>
      </c>
      <c r="Q76" s="3">
        <v>393.20001220703125</v>
      </c>
      <c r="R76" s="3"/>
      <c r="S76" s="3">
        <v>393.10000610351563</v>
      </c>
      <c r="T76" s="3">
        <v>399.89999389648438</v>
      </c>
      <c r="U76" s="3">
        <v>399.89999389648438</v>
      </c>
      <c r="V76" s="3">
        <v>399.29998779296875</v>
      </c>
      <c r="W76" s="3">
        <v>399.29998779296875</v>
      </c>
      <c r="X76" s="3"/>
      <c r="Y76" s="3">
        <v>398.79998779296875</v>
      </c>
      <c r="Z76" s="3">
        <v>398.79998779296875</v>
      </c>
      <c r="AA76" s="3">
        <v>397.79998779296875</v>
      </c>
      <c r="AB76" s="3">
        <v>397.79998779296875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</row>
    <row r="77" spans="1:110" ht="14.25" customHeight="1" x14ac:dyDescent="0.3">
      <c r="A77" s="1">
        <f t="shared" si="5"/>
        <v>68</v>
      </c>
      <c r="B77" s="1" t="s">
        <v>85</v>
      </c>
      <c r="C77" s="4">
        <v>0.32663194444444521</v>
      </c>
      <c r="D77" s="4">
        <v>0.32677083333333412</v>
      </c>
      <c r="E77" s="2">
        <v>13.299999999999999</v>
      </c>
      <c r="F77" s="2">
        <v>13.45</v>
      </c>
      <c r="G77" s="1" t="s">
        <v>26</v>
      </c>
      <c r="H77" s="4">
        <f t="shared" si="6"/>
        <v>1.388888888889106E-4</v>
      </c>
      <c r="J77">
        <v>390.20001220703125</v>
      </c>
      <c r="K77" s="3">
        <v>392.60000610351563</v>
      </c>
      <c r="L77" s="3">
        <v>392.60000610351563</v>
      </c>
      <c r="M77" s="3">
        <v>394.60000610351563</v>
      </c>
      <c r="N77" s="3">
        <v>394.60000610351563</v>
      </c>
      <c r="O77" s="3">
        <v>392</v>
      </c>
      <c r="P77" s="3">
        <v>392</v>
      </c>
      <c r="Q77" s="3"/>
      <c r="R77" s="3">
        <v>391.89999389648438</v>
      </c>
      <c r="S77" s="3">
        <v>391.89999389648438</v>
      </c>
      <c r="T77" s="3">
        <v>392</v>
      </c>
      <c r="U77" s="3">
        <v>392</v>
      </c>
      <c r="V77" s="3">
        <v>399.89999389648438</v>
      </c>
      <c r="W77" s="3">
        <v>399.89999389648438</v>
      </c>
      <c r="X77" s="3"/>
      <c r="Y77" s="3">
        <v>391.70001220703125</v>
      </c>
      <c r="Z77" s="3">
        <v>391.70001220703125</v>
      </c>
      <c r="AA77" s="3">
        <v>390.5</v>
      </c>
      <c r="AB77" s="3">
        <v>390.5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</row>
    <row r="78" spans="1:110" ht="14.25" customHeight="1" x14ac:dyDescent="0.3">
      <c r="A78" s="1">
        <f t="shared" si="5"/>
        <v>69</v>
      </c>
      <c r="B78" s="1" t="s">
        <v>86</v>
      </c>
      <c r="C78" s="4">
        <v>0.32701388888888966</v>
      </c>
      <c r="D78" s="4">
        <v>0.3271875000000008</v>
      </c>
      <c r="E78" s="2">
        <v>13.299999999999999</v>
      </c>
      <c r="F78" s="2">
        <v>13.399999999999999</v>
      </c>
      <c r="G78" s="1" t="s">
        <v>26</v>
      </c>
      <c r="H78" s="4">
        <f t="shared" si="6"/>
        <v>1.7361111111113825E-4</v>
      </c>
      <c r="J78">
        <v>390.39999389648438</v>
      </c>
      <c r="K78" s="3">
        <v>390.89999389648438</v>
      </c>
      <c r="L78" s="3">
        <v>390.89999389648438</v>
      </c>
      <c r="M78" s="3">
        <v>399.20001220703125</v>
      </c>
      <c r="N78" s="3">
        <v>399.20001220703125</v>
      </c>
      <c r="O78" s="3"/>
      <c r="P78" s="3">
        <v>399.89999389648438</v>
      </c>
      <c r="Q78" s="3">
        <v>399.89999389648438</v>
      </c>
      <c r="R78" s="3">
        <v>399.89999389648438</v>
      </c>
      <c r="S78" s="3">
        <v>399.89999389648438</v>
      </c>
      <c r="T78" s="3">
        <v>397.39999389648438</v>
      </c>
      <c r="U78" s="3">
        <v>397.39999389648438</v>
      </c>
      <c r="V78" s="3"/>
      <c r="W78" s="3">
        <v>397.10000610351563</v>
      </c>
      <c r="X78" s="3">
        <v>397.10000610351563</v>
      </c>
      <c r="Y78" s="3">
        <v>393.89999389648438</v>
      </c>
      <c r="Z78" s="3">
        <v>393.89999389648438</v>
      </c>
      <c r="AA78" s="3">
        <v>393.39999389648438</v>
      </c>
      <c r="AB78" s="3">
        <v>393.39999389648438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</row>
    <row r="79" spans="1:110" ht="14.25" customHeight="1" x14ac:dyDescent="0.3">
      <c r="A79" s="1">
        <f t="shared" si="5"/>
        <v>70</v>
      </c>
      <c r="B79" s="1" t="s">
        <v>87</v>
      </c>
      <c r="C79" s="4">
        <v>0.32746527777777856</v>
      </c>
      <c r="D79" s="4">
        <v>0.32761574074074151</v>
      </c>
      <c r="E79" s="2">
        <v>13.299999999999999</v>
      </c>
      <c r="F79" s="2">
        <v>13.309999999999999</v>
      </c>
      <c r="G79" s="1" t="s">
        <v>26</v>
      </c>
      <c r="H79" s="4">
        <f t="shared" si="6"/>
        <v>1.5046296296294948E-4</v>
      </c>
      <c r="J79">
        <v>390.10000610351563</v>
      </c>
      <c r="K79" s="3">
        <v>396.20001220703125</v>
      </c>
      <c r="L79" s="3">
        <v>396.20001220703125</v>
      </c>
      <c r="M79" s="3">
        <v>395.5</v>
      </c>
      <c r="N79" s="3">
        <v>395.5</v>
      </c>
      <c r="O79" s="3">
        <v>399.39999389648438</v>
      </c>
      <c r="P79" s="3">
        <v>393</v>
      </c>
      <c r="Q79" s="3">
        <v>392.89999389648438</v>
      </c>
      <c r="R79" s="3">
        <v>392.89999389648438</v>
      </c>
      <c r="S79" s="3"/>
      <c r="T79" s="3">
        <v>392.89999389648438</v>
      </c>
      <c r="U79" s="3">
        <v>392.89999389648438</v>
      </c>
      <c r="V79" s="3">
        <v>399.89999389648438</v>
      </c>
      <c r="W79" s="3">
        <v>399.89999389648438</v>
      </c>
      <c r="X79" s="3">
        <v>399.89999389648438</v>
      </c>
      <c r="Y79" s="3">
        <v>399.89999389648438</v>
      </c>
      <c r="Z79" s="3">
        <v>399.89999389648438</v>
      </c>
      <c r="AA79" s="3">
        <v>393.10000610351563</v>
      </c>
      <c r="AB79" s="3">
        <v>393.10000610351563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</row>
    <row r="80" spans="1:110" ht="14.25" customHeight="1" x14ac:dyDescent="0.3">
      <c r="A80" s="1">
        <f t="shared" si="5"/>
        <v>71</v>
      </c>
      <c r="B80" s="1" t="s">
        <v>88</v>
      </c>
      <c r="C80" s="4">
        <v>0.32789351851851928</v>
      </c>
      <c r="D80" s="4">
        <v>0.32806712962963042</v>
      </c>
      <c r="E80" s="2">
        <v>13.299999999999999</v>
      </c>
      <c r="F80" s="2">
        <v>13.379999999999999</v>
      </c>
      <c r="G80" s="1" t="s">
        <v>26</v>
      </c>
      <c r="H80" s="4">
        <f t="shared" si="6"/>
        <v>1.7361111111113825E-4</v>
      </c>
      <c r="J80">
        <v>390.10000610351563</v>
      </c>
      <c r="K80" s="3">
        <v>390.10000610351563</v>
      </c>
      <c r="L80" s="3">
        <v>396.20001220703125</v>
      </c>
      <c r="M80" s="3">
        <v>397.10000610351563</v>
      </c>
      <c r="N80" s="3">
        <v>397.10000610351563</v>
      </c>
      <c r="O80" s="3"/>
      <c r="P80" s="3"/>
      <c r="Q80" s="3">
        <v>399.89999389648438</v>
      </c>
      <c r="R80" s="3">
        <v>394.89999389648438</v>
      </c>
      <c r="S80" s="3">
        <v>394.89999389648438</v>
      </c>
      <c r="T80" s="3">
        <v>394.89999389648438</v>
      </c>
      <c r="U80" s="3">
        <v>394.89999389648438</v>
      </c>
      <c r="V80" s="3"/>
      <c r="W80" s="3"/>
      <c r="X80" s="3">
        <v>397.70001220703125</v>
      </c>
      <c r="Y80" s="3">
        <v>391.5</v>
      </c>
      <c r="Z80" s="3">
        <v>391.5</v>
      </c>
      <c r="AA80" s="3">
        <v>392.5</v>
      </c>
      <c r="AB80" s="3">
        <v>392.5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</row>
    <row r="81" spans="1:110" ht="14.25" customHeight="1" x14ac:dyDescent="0.3">
      <c r="A81" s="1">
        <f t="shared" si="5"/>
        <v>72</v>
      </c>
      <c r="B81" s="1" t="s">
        <v>89</v>
      </c>
      <c r="C81" s="4">
        <v>0.32831018518518595</v>
      </c>
      <c r="D81" s="4">
        <v>0.3284606481481489</v>
      </c>
      <c r="E81" s="2">
        <v>13.299999999999999</v>
      </c>
      <c r="F81" s="2">
        <v>13.43</v>
      </c>
      <c r="G81" s="1" t="s">
        <v>26</v>
      </c>
      <c r="H81" s="4">
        <f t="shared" si="6"/>
        <v>1.5046296296294948E-4</v>
      </c>
      <c r="J81">
        <v>391.29998779296875</v>
      </c>
      <c r="K81" s="3">
        <v>391.29998779296875</v>
      </c>
      <c r="L81" s="3">
        <v>394.70001220703125</v>
      </c>
      <c r="M81" s="3">
        <v>393.79998779296875</v>
      </c>
      <c r="N81" s="3">
        <v>393.79998779296875</v>
      </c>
      <c r="O81" s="3"/>
      <c r="P81" s="3"/>
      <c r="Q81" s="3">
        <v>397.10000610351563</v>
      </c>
      <c r="R81" s="3">
        <v>397.10000610351563</v>
      </c>
      <c r="S81" s="3">
        <v>393.79998779296875</v>
      </c>
      <c r="T81" s="3">
        <v>393.79998779296875</v>
      </c>
      <c r="U81" s="3">
        <v>390.60000610351563</v>
      </c>
      <c r="V81" s="3">
        <v>390.60000610351563</v>
      </c>
      <c r="W81" s="3">
        <v>390.5</v>
      </c>
      <c r="X81" s="3">
        <v>390.5</v>
      </c>
      <c r="Y81" s="3">
        <v>390.5</v>
      </c>
      <c r="Z81" s="3">
        <v>390.5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</row>
    <row r="82" spans="1:110" ht="14.25" customHeight="1" x14ac:dyDescent="0.3">
      <c r="A82" s="1">
        <f t="shared" si="5"/>
        <v>73</v>
      </c>
      <c r="B82" s="1" t="s">
        <v>90</v>
      </c>
      <c r="C82" s="4">
        <v>0.32875000000000076</v>
      </c>
      <c r="D82" s="4">
        <v>0.32890046296296371</v>
      </c>
      <c r="E82" s="2">
        <v>13.299999999999999</v>
      </c>
      <c r="F82" s="2">
        <v>13.45</v>
      </c>
      <c r="G82" s="1" t="s">
        <v>26</v>
      </c>
      <c r="H82" s="4">
        <f t="shared" si="6"/>
        <v>1.5046296296294948E-4</v>
      </c>
      <c r="J82">
        <v>390.10000610351563</v>
      </c>
      <c r="K82" s="3">
        <v>395.60000610351563</v>
      </c>
      <c r="L82" s="3">
        <v>395.60000610351563</v>
      </c>
      <c r="M82" s="3">
        <v>399.89999389648438</v>
      </c>
      <c r="N82" s="3">
        <v>399.89999389648438</v>
      </c>
      <c r="O82" s="3"/>
      <c r="P82" s="3">
        <v>399.89999389648438</v>
      </c>
      <c r="Q82" s="3">
        <v>399.89999389648438</v>
      </c>
      <c r="R82" s="3">
        <v>399.20001220703125</v>
      </c>
      <c r="S82" s="3">
        <v>399.20001220703125</v>
      </c>
      <c r="T82" s="3">
        <v>399</v>
      </c>
      <c r="U82" s="3">
        <v>399</v>
      </c>
      <c r="V82" s="3">
        <v>395.60000610351563</v>
      </c>
      <c r="W82" s="3">
        <v>395.60000610351563</v>
      </c>
      <c r="X82" s="3"/>
      <c r="Y82" s="3">
        <v>395.29998779296875</v>
      </c>
      <c r="Z82" s="3">
        <v>392.10000610351563</v>
      </c>
      <c r="AA82" s="3">
        <v>392.10000610351563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</row>
    <row r="83" spans="1:110" ht="14.25" customHeight="1" x14ac:dyDescent="0.3">
      <c r="A83" s="1">
        <f t="shared" si="5"/>
        <v>74</v>
      </c>
      <c r="B83" s="1" t="s">
        <v>91</v>
      </c>
      <c r="C83" s="4">
        <v>0.32917824074074148</v>
      </c>
      <c r="D83" s="4">
        <v>0.32932870370370443</v>
      </c>
      <c r="E83" s="2">
        <v>13.299999999999999</v>
      </c>
      <c r="F83" s="2">
        <v>13.379999999999999</v>
      </c>
      <c r="G83" s="1" t="s">
        <v>26</v>
      </c>
      <c r="H83" s="4">
        <f t="shared" si="6"/>
        <v>1.5046296296294948E-4</v>
      </c>
      <c r="J83">
        <v>391.79998779296875</v>
      </c>
      <c r="K83" s="3">
        <v>391.79998779296875</v>
      </c>
      <c r="L83" s="3">
        <v>398.29998779296875</v>
      </c>
      <c r="M83" s="3">
        <v>398.29998779296875</v>
      </c>
      <c r="N83" s="3">
        <v>397.39999389648438</v>
      </c>
      <c r="O83" s="3">
        <v>397.39999389648438</v>
      </c>
      <c r="P83" s="3">
        <v>395</v>
      </c>
      <c r="Q83" s="3">
        <v>395</v>
      </c>
      <c r="R83" s="3">
        <v>394.79998779296875</v>
      </c>
      <c r="S83" s="3">
        <v>394.79998779296875</v>
      </c>
      <c r="T83" s="3">
        <v>394.89999389648438</v>
      </c>
      <c r="U83" s="3">
        <v>391.70001220703125</v>
      </c>
      <c r="V83" s="3"/>
      <c r="W83" s="3">
        <v>391.60000610351563</v>
      </c>
      <c r="X83" s="3">
        <v>399.89999389648438</v>
      </c>
      <c r="Y83" s="3">
        <v>399.89999389648438</v>
      </c>
      <c r="Z83" s="3"/>
      <c r="AA83" s="3">
        <v>390.5</v>
      </c>
      <c r="AB83" s="3">
        <v>390.5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</row>
    <row r="84" spans="1:110" ht="14.25" customHeight="1" x14ac:dyDescent="0.3">
      <c r="A84" s="1">
        <f t="shared" si="5"/>
        <v>75</v>
      </c>
      <c r="B84" s="1" t="s">
        <v>92</v>
      </c>
      <c r="C84" s="4">
        <v>0.32961805555555629</v>
      </c>
      <c r="D84" s="4">
        <v>0.32979166666666743</v>
      </c>
      <c r="E84" s="2">
        <v>13.299999999999999</v>
      </c>
      <c r="F84" s="2">
        <v>13.419999999999998</v>
      </c>
      <c r="G84" s="1" t="s">
        <v>26</v>
      </c>
      <c r="H84" s="4">
        <f t="shared" si="6"/>
        <v>1.7361111111113825E-4</v>
      </c>
      <c r="J84">
        <v>391.10000610351563</v>
      </c>
      <c r="K84" s="3">
        <v>394.70001220703125</v>
      </c>
      <c r="L84" s="3">
        <v>394.70001220703125</v>
      </c>
      <c r="M84" s="3">
        <v>396.60000610351563</v>
      </c>
      <c r="N84" s="3">
        <v>396.60000610351563</v>
      </c>
      <c r="O84" s="3"/>
      <c r="P84" s="3">
        <v>397.20001220703125</v>
      </c>
      <c r="Q84" s="3">
        <v>397.20001220703125</v>
      </c>
      <c r="R84" s="3">
        <v>397.29998779296875</v>
      </c>
      <c r="S84" s="3">
        <v>394.10000610351563</v>
      </c>
      <c r="T84" s="3">
        <v>394</v>
      </c>
      <c r="U84" s="3">
        <v>394</v>
      </c>
      <c r="V84" s="3">
        <v>390.79998779296875</v>
      </c>
      <c r="W84" s="3">
        <v>390.79998779296875</v>
      </c>
      <c r="X84" s="3"/>
      <c r="Y84" s="3">
        <v>390.70001220703125</v>
      </c>
      <c r="Z84" s="3">
        <v>390.70001220703125</v>
      </c>
      <c r="AA84" s="3">
        <v>391.70001220703125</v>
      </c>
      <c r="AB84" s="3">
        <v>391.70001220703125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</row>
    <row r="85" spans="1:110" ht="14.25" customHeight="1" x14ac:dyDescent="0.3">
      <c r="A85" s="1">
        <f t="shared" si="5"/>
        <v>76</v>
      </c>
      <c r="B85" s="1" t="s">
        <v>93</v>
      </c>
      <c r="C85" s="4">
        <v>0.33003472222222296</v>
      </c>
      <c r="D85" s="4">
        <v>0.33017361111111188</v>
      </c>
      <c r="E85" s="2">
        <v>13.299999999999999</v>
      </c>
      <c r="F85" s="2">
        <v>13.36</v>
      </c>
      <c r="G85" s="1" t="s">
        <v>26</v>
      </c>
      <c r="H85" s="4">
        <f t="shared" si="6"/>
        <v>1.388888888889106E-4</v>
      </c>
      <c r="J85">
        <v>390.70001220703125</v>
      </c>
      <c r="K85" s="3">
        <v>390.70001220703125</v>
      </c>
      <c r="L85" s="3">
        <v>392.60000610351563</v>
      </c>
      <c r="M85" s="3">
        <v>392.60000610351563</v>
      </c>
      <c r="N85" s="3">
        <v>393.29998779296875</v>
      </c>
      <c r="O85" s="3">
        <v>393.29998779296875</v>
      </c>
      <c r="P85" s="3"/>
      <c r="Q85" s="3">
        <v>393.10000610351563</v>
      </c>
      <c r="R85" s="3">
        <v>399.89999389648438</v>
      </c>
      <c r="S85" s="3">
        <v>399.89999389648438</v>
      </c>
      <c r="T85" s="3"/>
      <c r="U85" s="3">
        <v>399.89999389648438</v>
      </c>
      <c r="V85" s="3">
        <v>399.89999389648438</v>
      </c>
      <c r="W85" s="3">
        <v>399.89999389648438</v>
      </c>
      <c r="X85" s="3">
        <v>399.89999389648438</v>
      </c>
      <c r="Y85" s="3"/>
      <c r="Z85" s="3">
        <v>399.89999389648438</v>
      </c>
      <c r="AA85" s="3">
        <v>397.39999389648438</v>
      </c>
      <c r="AB85" s="3">
        <v>397.39999389648438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</row>
    <row r="86" spans="1:110" ht="14.25" customHeight="1" x14ac:dyDescent="0.3">
      <c r="A86" s="1">
        <f t="shared" si="5"/>
        <v>77</v>
      </c>
      <c r="B86" s="1" t="s">
        <v>253</v>
      </c>
      <c r="C86" s="4">
        <v>0.33040509259259337</v>
      </c>
      <c r="D86" s="4">
        <v>0.33056712962963042</v>
      </c>
      <c r="E86" s="2">
        <v>13.299999999999999</v>
      </c>
      <c r="F86" s="2">
        <v>13.389999999999999</v>
      </c>
      <c r="G86" s="1" t="s">
        <v>26</v>
      </c>
      <c r="H86" s="4">
        <f t="shared" si="6"/>
        <v>1.6203703703704386E-4</v>
      </c>
      <c r="J86">
        <v>390.89999389648438</v>
      </c>
      <c r="K86" s="3">
        <v>396.10000610351563</v>
      </c>
      <c r="L86" s="3">
        <v>396.10000610351563</v>
      </c>
      <c r="M86" s="3">
        <v>399.89999389648438</v>
      </c>
      <c r="N86" s="3">
        <v>399.89999389648438</v>
      </c>
      <c r="O86" s="3">
        <v>398.39999389648438</v>
      </c>
      <c r="P86" s="3">
        <v>398.39999389648438</v>
      </c>
      <c r="Q86" s="3"/>
      <c r="R86" s="3">
        <v>398.29998779296875</v>
      </c>
      <c r="S86" s="3">
        <v>398.29998779296875</v>
      </c>
      <c r="T86" s="3">
        <v>395.10000610351563</v>
      </c>
      <c r="U86" s="3">
        <v>395.10000610351563</v>
      </c>
      <c r="V86" s="3">
        <v>394.89999389648438</v>
      </c>
      <c r="W86" s="3">
        <v>394.89999389648438</v>
      </c>
      <c r="X86" s="3"/>
      <c r="Y86" s="3">
        <v>394.70001220703125</v>
      </c>
      <c r="Z86" s="3">
        <v>394.70001220703125</v>
      </c>
      <c r="AA86" s="3">
        <v>394.20001220703125</v>
      </c>
      <c r="AB86" s="3">
        <v>394.20001220703125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</row>
    <row r="87" spans="1:110" ht="14.25" customHeight="1" x14ac:dyDescent="0.3">
      <c r="A87" s="1">
        <f t="shared" si="5"/>
        <v>78</v>
      </c>
      <c r="B87" s="1" t="s">
        <v>254</v>
      </c>
      <c r="C87" s="4">
        <v>0.33084490740740818</v>
      </c>
      <c r="D87" s="4">
        <v>0.33101851851851932</v>
      </c>
      <c r="E87" s="2">
        <v>13.299999999999999</v>
      </c>
      <c r="F87" s="2">
        <v>13.36</v>
      </c>
      <c r="G87" s="1" t="s">
        <v>26</v>
      </c>
      <c r="H87" s="4">
        <f t="shared" si="6"/>
        <v>1.7361111111113825E-4</v>
      </c>
      <c r="J87">
        <v>390.70001220703125</v>
      </c>
      <c r="K87" s="3">
        <v>393.70001220703125</v>
      </c>
      <c r="L87" s="3">
        <v>393.70001220703125</v>
      </c>
      <c r="M87" s="3">
        <v>393.60000610351563</v>
      </c>
      <c r="N87" s="3">
        <v>393.60000610351563</v>
      </c>
      <c r="O87" s="3">
        <v>394.10000610351563</v>
      </c>
      <c r="P87" s="3">
        <v>394.10000610351563</v>
      </c>
      <c r="Q87" s="3"/>
      <c r="R87" s="3">
        <v>394</v>
      </c>
      <c r="S87" s="3">
        <v>394</v>
      </c>
      <c r="T87" s="3">
        <v>390.79998779296875</v>
      </c>
      <c r="U87" s="3">
        <v>390.79998779296875</v>
      </c>
      <c r="V87" s="3">
        <v>390.70001220703125</v>
      </c>
      <c r="W87" s="3">
        <v>390.70001220703125</v>
      </c>
      <c r="X87" s="3">
        <v>399.70001220703125</v>
      </c>
      <c r="Y87" s="3">
        <v>399.70001220703125</v>
      </c>
      <c r="Z87" s="3">
        <v>399.29998779296875</v>
      </c>
      <c r="AA87" s="3">
        <v>390.70001220703125</v>
      </c>
      <c r="AB87" s="3">
        <v>390.70001220703125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</row>
    <row r="88" spans="1:110" ht="14.25" customHeight="1" x14ac:dyDescent="0.3">
      <c r="A88" s="1">
        <f t="shared" si="5"/>
        <v>79</v>
      </c>
      <c r="B88" s="1" t="s">
        <v>94</v>
      </c>
      <c r="C88" s="4">
        <v>0.33125000000000082</v>
      </c>
      <c r="D88" s="4">
        <v>0.33140046296296377</v>
      </c>
      <c r="E88" s="2">
        <v>13.299999999999999</v>
      </c>
      <c r="F88" s="2">
        <v>13.389999999999999</v>
      </c>
      <c r="G88" s="1" t="s">
        <v>26</v>
      </c>
      <c r="H88" s="4">
        <f t="shared" si="6"/>
        <v>1.5046296296294948E-4</v>
      </c>
      <c r="J88">
        <v>391.10000610351563</v>
      </c>
      <c r="K88" s="3">
        <v>393.20001220703125</v>
      </c>
      <c r="L88" s="3">
        <v>393.20001220703125</v>
      </c>
      <c r="M88" s="3"/>
      <c r="N88" s="3">
        <v>398.79998779296875</v>
      </c>
      <c r="O88" s="3">
        <v>398.79998779296875</v>
      </c>
      <c r="P88" s="3">
        <v>396.10000610351563</v>
      </c>
      <c r="Q88" s="3">
        <v>392.89999389648438</v>
      </c>
      <c r="R88" s="3">
        <v>392.89999389648438</v>
      </c>
      <c r="S88" s="3"/>
      <c r="T88" s="3">
        <v>392.79998779296875</v>
      </c>
      <c r="U88" s="3">
        <v>392.79998779296875</v>
      </c>
      <c r="V88" s="3">
        <v>399.89999389648438</v>
      </c>
      <c r="W88" s="3">
        <v>399.89999389648438</v>
      </c>
      <c r="X88" s="3">
        <v>399.89999389648438</v>
      </c>
      <c r="Y88" s="3">
        <v>399.89999389648438</v>
      </c>
      <c r="Z88" s="3">
        <v>398.10000610351563</v>
      </c>
      <c r="AA88" s="3">
        <v>392.20001220703125</v>
      </c>
      <c r="AB88" s="3">
        <v>392.20001220703125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</row>
    <row r="89" spans="1:110" ht="14.25" customHeight="1" x14ac:dyDescent="0.3">
      <c r="A89" s="1">
        <f t="shared" si="5"/>
        <v>80</v>
      </c>
      <c r="B89" s="1" t="s">
        <v>95</v>
      </c>
      <c r="C89" s="4">
        <v>0.33168981481481563</v>
      </c>
      <c r="D89" s="4">
        <v>0.33185185185185267</v>
      </c>
      <c r="E89" s="2">
        <v>13.299999999999999</v>
      </c>
      <c r="F89" s="2">
        <v>13.389999999999999</v>
      </c>
      <c r="G89" s="1" t="s">
        <v>26</v>
      </c>
      <c r="H89" s="4">
        <f t="shared" si="6"/>
        <v>1.6203703703704386E-4</v>
      </c>
      <c r="J89">
        <v>390.29998779296875</v>
      </c>
      <c r="K89" s="3">
        <v>394.60000610351563</v>
      </c>
      <c r="L89" s="3">
        <v>394.60000610351563</v>
      </c>
      <c r="M89" s="3">
        <v>399.70001220703125</v>
      </c>
      <c r="N89" s="3">
        <v>399.70001220703125</v>
      </c>
      <c r="O89" s="3">
        <v>399.89999389648438</v>
      </c>
      <c r="P89" s="3">
        <v>399.89999389648438</v>
      </c>
      <c r="Q89" s="3">
        <v>398.10000610351563</v>
      </c>
      <c r="R89" s="3">
        <v>398.10000610351563</v>
      </c>
      <c r="S89" s="3"/>
      <c r="T89" s="3">
        <v>398.10000610351563</v>
      </c>
      <c r="U89" s="3">
        <v>398.10000610351563</v>
      </c>
      <c r="V89" s="3">
        <v>394.79998779296875</v>
      </c>
      <c r="W89" s="3">
        <v>394.79998779296875</v>
      </c>
      <c r="X89" s="3"/>
      <c r="Y89" s="3">
        <v>397.60000610351563</v>
      </c>
      <c r="Z89" s="3">
        <v>394.10000610351563</v>
      </c>
      <c r="AA89" s="3">
        <v>394.10000610351563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</row>
    <row r="90" spans="1:110" ht="14.25" customHeight="1" x14ac:dyDescent="0.3">
      <c r="A90" s="1">
        <f t="shared" si="5"/>
        <v>81</v>
      </c>
      <c r="B90" s="1" t="s">
        <v>96</v>
      </c>
      <c r="C90" s="4">
        <v>0.33214120370370454</v>
      </c>
      <c r="D90" s="4">
        <v>0.33230324074074158</v>
      </c>
      <c r="E90" s="2">
        <v>13.299999999999999</v>
      </c>
      <c r="F90" s="2">
        <v>13.399999999999999</v>
      </c>
      <c r="G90" s="1" t="s">
        <v>26</v>
      </c>
      <c r="H90" s="4">
        <f t="shared" si="6"/>
        <v>1.6203703703704386E-4</v>
      </c>
      <c r="J90">
        <v>391.70001220703125</v>
      </c>
      <c r="K90" s="3">
        <v>390.70001220703125</v>
      </c>
      <c r="L90" s="3">
        <v>390.70001220703125</v>
      </c>
      <c r="M90" s="3">
        <v>390.79998779296875</v>
      </c>
      <c r="N90" s="3">
        <v>390.79998779296875</v>
      </c>
      <c r="O90" s="3">
        <v>399.89999389648438</v>
      </c>
      <c r="P90" s="3">
        <v>399.89999389648438</v>
      </c>
      <c r="Q90" s="3"/>
      <c r="R90" s="3">
        <v>399.89999389648438</v>
      </c>
      <c r="S90" s="3">
        <v>399.89999389648438</v>
      </c>
      <c r="T90" s="3"/>
      <c r="U90" s="3">
        <v>390.60000610351563</v>
      </c>
      <c r="V90" s="3">
        <v>396.79998779296875</v>
      </c>
      <c r="W90" s="3">
        <v>396.79998779296875</v>
      </c>
      <c r="X90" s="3"/>
      <c r="Y90" s="3">
        <v>396.5</v>
      </c>
      <c r="Z90" s="3">
        <v>393.10000610351563</v>
      </c>
      <c r="AA90" s="3">
        <v>393.10000610351563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</row>
    <row r="91" spans="1:110" ht="14.25" customHeight="1" x14ac:dyDescent="0.3">
      <c r="A91" s="1">
        <f t="shared" si="5"/>
        <v>82</v>
      </c>
      <c r="B91" s="1" t="s">
        <v>97</v>
      </c>
      <c r="C91" s="4">
        <v>0.33255787037037121</v>
      </c>
      <c r="D91" s="4">
        <v>0.33271990740740826</v>
      </c>
      <c r="E91" s="2">
        <v>13.299999999999999</v>
      </c>
      <c r="F91" s="2">
        <v>13.329999999999998</v>
      </c>
      <c r="G91" s="1" t="s">
        <v>26</v>
      </c>
      <c r="H91" s="4">
        <f t="shared" si="6"/>
        <v>1.6203703703704386E-4</v>
      </c>
      <c r="J91">
        <v>390.5</v>
      </c>
      <c r="K91" s="3">
        <v>390.5</v>
      </c>
      <c r="L91" s="3">
        <v>399.10000610351563</v>
      </c>
      <c r="M91" s="3">
        <v>395.79998779296875</v>
      </c>
      <c r="N91" s="3">
        <v>395.79998779296875</v>
      </c>
      <c r="O91" s="3"/>
      <c r="P91" s="3">
        <v>395.79998779296875</v>
      </c>
      <c r="Q91" s="3">
        <v>395.79998779296875</v>
      </c>
      <c r="R91" s="3">
        <v>395.79998779296875</v>
      </c>
      <c r="S91" s="3">
        <v>395.79998779296875</v>
      </c>
      <c r="T91" s="3"/>
      <c r="U91" s="3">
        <v>395.70001220703125</v>
      </c>
      <c r="V91" s="3">
        <v>395.70001220703125</v>
      </c>
      <c r="W91" s="3">
        <v>392.39999389648438</v>
      </c>
      <c r="X91" s="3">
        <v>392.39999389648438</v>
      </c>
      <c r="Y91" s="3">
        <v>392.29998779296875</v>
      </c>
      <c r="Z91" s="3">
        <v>392.29998779296875</v>
      </c>
      <c r="AA91" s="3">
        <v>391.20001220703125</v>
      </c>
      <c r="AB91" s="3">
        <v>391.20001220703125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</row>
    <row r="92" spans="1:110" ht="14.25" customHeight="1" x14ac:dyDescent="0.3">
      <c r="A92" s="1">
        <f t="shared" si="5"/>
        <v>83</v>
      </c>
      <c r="B92" s="1" t="s">
        <v>98</v>
      </c>
      <c r="C92" s="4">
        <v>0.33298611111111198</v>
      </c>
      <c r="D92" s="4">
        <v>0.33313657407407493</v>
      </c>
      <c r="E92" s="2">
        <v>13.299999999999999</v>
      </c>
      <c r="F92" s="2">
        <v>13.409999999999998</v>
      </c>
      <c r="G92" s="1" t="s">
        <v>26</v>
      </c>
      <c r="H92" s="4">
        <f t="shared" si="6"/>
        <v>1.5046296296294948E-4</v>
      </c>
      <c r="J92">
        <v>393.79998779296875</v>
      </c>
      <c r="K92" s="3">
        <v>393.79998779296875</v>
      </c>
      <c r="L92" s="3">
        <v>396.60000610351563</v>
      </c>
      <c r="M92" s="3">
        <v>396.60000610351563</v>
      </c>
      <c r="N92" s="3"/>
      <c r="O92" s="3">
        <v>398</v>
      </c>
      <c r="P92" s="3">
        <v>398</v>
      </c>
      <c r="Q92" s="3">
        <v>398</v>
      </c>
      <c r="R92" s="3">
        <v>398</v>
      </c>
      <c r="S92" s="3">
        <v>394.70001220703125</v>
      </c>
      <c r="T92" s="3">
        <v>394.70001220703125</v>
      </c>
      <c r="U92" s="3"/>
      <c r="V92" s="3">
        <v>394.5</v>
      </c>
      <c r="W92" s="3">
        <v>394.5</v>
      </c>
      <c r="X92" s="3">
        <v>391.39999389648438</v>
      </c>
      <c r="Y92" s="3">
        <v>391.39999389648438</v>
      </c>
      <c r="Z92" s="3">
        <v>391.20001220703125</v>
      </c>
      <c r="AA92" s="3">
        <v>397.70001220703125</v>
      </c>
      <c r="AB92" s="3">
        <v>397.70001220703125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</row>
    <row r="93" spans="1:110" ht="14.25" customHeight="1" x14ac:dyDescent="0.3">
      <c r="A93" s="1">
        <f t="shared" si="5"/>
        <v>84</v>
      </c>
      <c r="B93" s="1" t="s">
        <v>99</v>
      </c>
      <c r="C93" s="4">
        <v>0.33340277777777866</v>
      </c>
      <c r="D93" s="4">
        <v>0.33355324074074161</v>
      </c>
      <c r="E93" s="2">
        <v>13.299999999999999</v>
      </c>
      <c r="F93" s="2">
        <v>13.45</v>
      </c>
      <c r="G93" s="1" t="s">
        <v>26</v>
      </c>
      <c r="H93" s="4">
        <f t="shared" si="6"/>
        <v>1.5046296296294948E-4</v>
      </c>
      <c r="J93">
        <v>390.70001220703125</v>
      </c>
      <c r="K93" s="3">
        <v>393.70001220703125</v>
      </c>
      <c r="L93" s="3">
        <v>393.70001220703125</v>
      </c>
      <c r="M93" s="3"/>
      <c r="N93" s="3">
        <v>399.39999389648438</v>
      </c>
      <c r="O93" s="3">
        <v>399.39999389648438</v>
      </c>
      <c r="P93" s="3"/>
      <c r="Q93" s="3">
        <v>390.29998779296875</v>
      </c>
      <c r="R93" s="3">
        <v>390.29998779296875</v>
      </c>
      <c r="S93" s="3"/>
      <c r="T93" s="3">
        <v>390.20001220703125</v>
      </c>
      <c r="U93" s="3">
        <v>390.20001220703125</v>
      </c>
      <c r="V93" s="3"/>
      <c r="W93" s="3">
        <v>393.20001220703125</v>
      </c>
      <c r="X93" s="3">
        <v>393.20001220703125</v>
      </c>
      <c r="Y93" s="3">
        <v>393.10000610351563</v>
      </c>
      <c r="Z93" s="3">
        <v>393.10000610351563</v>
      </c>
      <c r="AA93" s="3">
        <v>390.10000610351563</v>
      </c>
      <c r="AB93" s="3">
        <v>390.10000610351563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</row>
    <row r="94" spans="1:110" ht="14.25" customHeight="1" x14ac:dyDescent="0.3">
      <c r="A94" s="1">
        <f t="shared" si="5"/>
        <v>85</v>
      </c>
      <c r="B94" s="1" t="s">
        <v>100</v>
      </c>
      <c r="C94" s="4">
        <v>0.33381944444444533</v>
      </c>
      <c r="D94" s="4">
        <v>0.33398148148148238</v>
      </c>
      <c r="E94" s="2">
        <v>13.299999999999999</v>
      </c>
      <c r="F94" s="2">
        <v>13.409999999999998</v>
      </c>
      <c r="G94" s="1" t="s">
        <v>26</v>
      </c>
      <c r="H94" s="4">
        <f t="shared" si="6"/>
        <v>1.6203703703704386E-4</v>
      </c>
      <c r="J94">
        <v>390.29998779296875</v>
      </c>
      <c r="K94" s="3">
        <v>393.20001220703125</v>
      </c>
      <c r="L94" s="3">
        <v>393.20001220703125</v>
      </c>
      <c r="M94" s="3">
        <v>395.20001220703125</v>
      </c>
      <c r="N94" s="3">
        <v>395.20001220703125</v>
      </c>
      <c r="O94" s="3"/>
      <c r="P94" s="3"/>
      <c r="Q94" s="3">
        <v>398.60000610351563</v>
      </c>
      <c r="R94" s="3">
        <v>392.20001220703125</v>
      </c>
      <c r="S94" s="3">
        <v>392.20001220703125</v>
      </c>
      <c r="T94" s="3"/>
      <c r="U94" s="3">
        <v>395.29998779296875</v>
      </c>
      <c r="V94" s="3">
        <v>399.89999389648438</v>
      </c>
      <c r="W94" s="3">
        <v>399.89999389648438</v>
      </c>
      <c r="X94" s="3">
        <v>390.89999389648438</v>
      </c>
      <c r="Y94" s="3">
        <v>390.89999389648438</v>
      </c>
      <c r="Z94" s="3">
        <v>392.5</v>
      </c>
      <c r="AA94" s="3">
        <v>391.20001220703125</v>
      </c>
      <c r="AB94" s="3">
        <v>391.20001220703125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</row>
    <row r="95" spans="1:110" ht="14.25" customHeight="1" x14ac:dyDescent="0.3">
      <c r="A95" s="1">
        <f t="shared" si="5"/>
        <v>86</v>
      </c>
      <c r="B95" s="1" t="s">
        <v>101</v>
      </c>
      <c r="C95" s="4">
        <v>0.33427083333333424</v>
      </c>
      <c r="D95" s="4">
        <v>0.33440972222222315</v>
      </c>
      <c r="E95" s="2">
        <v>13.299999999999999</v>
      </c>
      <c r="F95" s="2">
        <v>13.409999999999998</v>
      </c>
      <c r="G95" s="1" t="s">
        <v>26</v>
      </c>
      <c r="H95" s="4">
        <f t="shared" si="6"/>
        <v>1.388888888889106E-4</v>
      </c>
      <c r="J95">
        <v>390.20001220703125</v>
      </c>
      <c r="K95" s="3">
        <v>391</v>
      </c>
      <c r="L95" s="3">
        <v>392.5</v>
      </c>
      <c r="M95" s="3">
        <v>392.5</v>
      </c>
      <c r="N95" s="3"/>
      <c r="O95" s="3">
        <v>392.89999389648438</v>
      </c>
      <c r="P95" s="3">
        <v>392.89999389648438</v>
      </c>
      <c r="Q95" s="3">
        <v>399.89999389648438</v>
      </c>
      <c r="R95" s="3">
        <v>399.89999389648438</v>
      </c>
      <c r="S95" s="3"/>
      <c r="T95" s="3">
        <v>392.70001220703125</v>
      </c>
      <c r="U95" s="3">
        <v>392.70001220703125</v>
      </c>
      <c r="V95" s="3">
        <v>399.89999389648438</v>
      </c>
      <c r="W95" s="3">
        <v>399.89999389648438</v>
      </c>
      <c r="X95" s="3">
        <v>398.60000610351563</v>
      </c>
      <c r="Y95" s="3">
        <v>395.39999389648438</v>
      </c>
      <c r="Z95" s="3">
        <v>395.39999389648438</v>
      </c>
      <c r="AA95" s="3">
        <v>393.29998779296875</v>
      </c>
      <c r="AB95" s="3">
        <v>393.29998779296875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</row>
    <row r="96" spans="1:110" ht="14.25" customHeight="1" x14ac:dyDescent="0.3">
      <c r="A96" s="1">
        <f t="shared" si="5"/>
        <v>87</v>
      </c>
      <c r="B96" s="1" t="s">
        <v>102</v>
      </c>
      <c r="C96" s="4">
        <v>0.33467592592592688</v>
      </c>
      <c r="D96" s="4">
        <v>0.33482638888888983</v>
      </c>
      <c r="E96" s="2">
        <v>13.299999999999999</v>
      </c>
      <c r="F96" s="2">
        <v>13.319999999999999</v>
      </c>
      <c r="G96" s="1" t="s">
        <v>26</v>
      </c>
      <c r="H96" s="4">
        <f t="shared" si="6"/>
        <v>1.5046296296294948E-4</v>
      </c>
      <c r="J96">
        <v>390.5</v>
      </c>
      <c r="K96" s="3">
        <v>390.5</v>
      </c>
      <c r="L96" s="3">
        <v>397.10000610351563</v>
      </c>
      <c r="M96" s="3">
        <v>396.89999389648438</v>
      </c>
      <c r="N96" s="3">
        <v>396.89999389648438</v>
      </c>
      <c r="O96" s="3"/>
      <c r="P96" s="3">
        <v>398</v>
      </c>
      <c r="Q96" s="3">
        <v>398</v>
      </c>
      <c r="R96" s="3">
        <v>394.89999389648438</v>
      </c>
      <c r="S96" s="3">
        <v>394.89999389648438</v>
      </c>
      <c r="T96" s="3">
        <v>394.79998779296875</v>
      </c>
      <c r="U96" s="3">
        <v>394.79998779296875</v>
      </c>
      <c r="V96" s="3"/>
      <c r="W96" s="3">
        <v>394.60000610351563</v>
      </c>
      <c r="X96" s="3">
        <v>394.39999389648438</v>
      </c>
      <c r="Y96" s="3">
        <v>391.5</v>
      </c>
      <c r="Z96" s="3"/>
      <c r="AA96" s="3">
        <v>391.39999389648438</v>
      </c>
      <c r="AB96" s="3">
        <v>391.39999389648438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</row>
    <row r="97" spans="1:110" ht="14.25" customHeight="1" x14ac:dyDescent="0.3">
      <c r="A97" s="1">
        <f t="shared" si="5"/>
        <v>88</v>
      </c>
      <c r="B97" s="1" t="s">
        <v>103</v>
      </c>
      <c r="C97" s="4">
        <v>0.33508101851851946</v>
      </c>
      <c r="D97" s="4">
        <v>0.3352430555555565</v>
      </c>
      <c r="E97" s="2">
        <v>13.299999999999999</v>
      </c>
      <c r="F97" s="2">
        <v>13.409999999999998</v>
      </c>
      <c r="G97" s="1" t="s">
        <v>26</v>
      </c>
      <c r="H97" s="4">
        <f t="shared" si="6"/>
        <v>1.6203703703704386E-4</v>
      </c>
      <c r="J97">
        <v>391.10000610351563</v>
      </c>
      <c r="K97" s="3">
        <v>390.70001220703125</v>
      </c>
      <c r="L97" s="3">
        <v>390.70001220703125</v>
      </c>
      <c r="M97" s="3">
        <v>390.89999389648438</v>
      </c>
      <c r="N97" s="3">
        <v>390.89999389648438</v>
      </c>
      <c r="O97" s="3"/>
      <c r="P97" s="3">
        <v>390.79998779296875</v>
      </c>
      <c r="Q97" s="3">
        <v>390.79998779296875</v>
      </c>
      <c r="R97" s="3">
        <v>399.89999389648438</v>
      </c>
      <c r="S97" s="3">
        <v>399.89999389648438</v>
      </c>
      <c r="T97" s="3">
        <v>397.10000610351563</v>
      </c>
      <c r="U97" s="3">
        <v>397.10000610351563</v>
      </c>
      <c r="V97" s="3">
        <v>396.89999389648438</v>
      </c>
      <c r="W97" s="3">
        <v>396.89999389648438</v>
      </c>
      <c r="X97" s="3"/>
      <c r="Y97" s="3">
        <v>399.5</v>
      </c>
      <c r="Z97" s="3">
        <v>393.39999389648438</v>
      </c>
      <c r="AA97" s="3">
        <v>393.39999389648438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</row>
    <row r="98" spans="1:110" ht="14.25" customHeight="1" x14ac:dyDescent="0.3">
      <c r="A98" s="1">
        <f t="shared" si="5"/>
        <v>89</v>
      </c>
      <c r="B98" s="1" t="s">
        <v>104</v>
      </c>
      <c r="C98" s="4">
        <v>0.33548611111111204</v>
      </c>
      <c r="D98" s="4">
        <v>0.33563657407407499</v>
      </c>
      <c r="E98" s="2">
        <v>13.299999999999999</v>
      </c>
      <c r="F98" s="2">
        <v>13.379999999999999</v>
      </c>
      <c r="G98" s="1" t="s">
        <v>26</v>
      </c>
      <c r="H98" s="4">
        <f t="shared" si="6"/>
        <v>1.5046296296294948E-4</v>
      </c>
      <c r="J98">
        <v>391</v>
      </c>
      <c r="K98" s="3">
        <v>391</v>
      </c>
      <c r="L98" s="3">
        <v>392.39999389648438</v>
      </c>
      <c r="M98" s="3">
        <v>392.39999389648438</v>
      </c>
      <c r="N98" s="3">
        <v>399.89999389648438</v>
      </c>
      <c r="O98" s="3">
        <v>399.89999389648438</v>
      </c>
      <c r="P98" s="3">
        <v>399.20001220703125</v>
      </c>
      <c r="Q98" s="3">
        <v>399.20001220703125</v>
      </c>
      <c r="R98" s="3">
        <v>399.10000610351563</v>
      </c>
      <c r="S98" s="3">
        <v>399.10000610351563</v>
      </c>
      <c r="T98" s="3"/>
      <c r="U98" s="3">
        <v>399</v>
      </c>
      <c r="V98" s="3">
        <v>399</v>
      </c>
      <c r="W98" s="3">
        <v>395.60000610351563</v>
      </c>
      <c r="X98" s="3">
        <v>392.5</v>
      </c>
      <c r="Y98" s="3">
        <v>392.5</v>
      </c>
      <c r="Z98" s="3"/>
      <c r="AA98" s="3">
        <v>395.70001220703125</v>
      </c>
      <c r="AB98" s="3">
        <v>395.70001220703125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</row>
    <row r="99" spans="1:110" ht="14.25" customHeight="1" x14ac:dyDescent="0.3">
      <c r="A99" s="1">
        <f t="shared" si="5"/>
        <v>90</v>
      </c>
      <c r="B99" s="1" t="s">
        <v>105</v>
      </c>
      <c r="C99" s="4">
        <v>0.33586805555555649</v>
      </c>
      <c r="D99" s="4">
        <v>0.33603009259259353</v>
      </c>
      <c r="E99" s="2">
        <v>13.299999999999999</v>
      </c>
      <c r="F99" s="2">
        <v>13.329999999999998</v>
      </c>
      <c r="G99" s="1" t="s">
        <v>26</v>
      </c>
      <c r="H99" s="4">
        <f t="shared" si="6"/>
        <v>1.6203703703704386E-4</v>
      </c>
      <c r="J99">
        <v>390.89999389648438</v>
      </c>
      <c r="K99" s="3">
        <v>395.29998779296875</v>
      </c>
      <c r="L99" s="3">
        <v>395.29998779296875</v>
      </c>
      <c r="M99" s="3"/>
      <c r="N99" s="3">
        <v>398</v>
      </c>
      <c r="O99" s="3">
        <v>394.79998779296875</v>
      </c>
      <c r="P99" s="3">
        <v>394.79998779296875</v>
      </c>
      <c r="Q99" s="3"/>
      <c r="R99" s="3">
        <v>394.70001220703125</v>
      </c>
      <c r="S99" s="3">
        <v>394.70001220703125</v>
      </c>
      <c r="T99" s="3">
        <v>391.60000610351563</v>
      </c>
      <c r="U99" s="3">
        <v>391.60000610351563</v>
      </c>
      <c r="V99" s="3">
        <v>391.5</v>
      </c>
      <c r="W99" s="3">
        <v>391.5</v>
      </c>
      <c r="X99" s="3">
        <v>391.39999389648438</v>
      </c>
      <c r="Y99" s="3">
        <v>391.39999389648438</v>
      </c>
      <c r="Z99" s="3">
        <v>399.89999389648438</v>
      </c>
      <c r="AA99" s="3">
        <v>393.5</v>
      </c>
      <c r="AB99" s="3">
        <v>393.5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</row>
    <row r="100" spans="1:110" ht="14.25" customHeight="1" x14ac:dyDescent="0.3">
      <c r="A100" s="1">
        <f t="shared" si="5"/>
        <v>91</v>
      </c>
      <c r="B100" s="1" t="s">
        <v>106</v>
      </c>
      <c r="C100" s="4">
        <v>0.3363078703703713</v>
      </c>
      <c r="D100" s="4">
        <v>0.33646990740740834</v>
      </c>
      <c r="E100" s="2">
        <v>13.299999999999999</v>
      </c>
      <c r="F100" s="2">
        <v>13.389999999999999</v>
      </c>
      <c r="G100" s="1" t="s">
        <v>26</v>
      </c>
      <c r="H100" s="4">
        <f t="shared" si="6"/>
        <v>1.6203703703704386E-4</v>
      </c>
      <c r="J100">
        <v>390.10000610351563</v>
      </c>
      <c r="K100" s="3">
        <v>390.10000610351563</v>
      </c>
      <c r="L100" s="3">
        <v>397.10000610351563</v>
      </c>
      <c r="M100" s="3">
        <v>397.10000610351563</v>
      </c>
      <c r="N100" s="3"/>
      <c r="O100" s="3">
        <v>399.89999389648438</v>
      </c>
      <c r="P100" s="3">
        <v>399.89999389648438</v>
      </c>
      <c r="Q100" s="3"/>
      <c r="R100" s="3"/>
      <c r="S100" s="3"/>
      <c r="T100" s="3">
        <v>399.89999389648438</v>
      </c>
      <c r="U100" s="3">
        <v>399.89999389648438</v>
      </c>
      <c r="V100" s="3">
        <v>399.89999389648438</v>
      </c>
      <c r="W100" s="3">
        <v>399.89999389648438</v>
      </c>
      <c r="X100" s="3"/>
      <c r="Y100" s="3">
        <v>392</v>
      </c>
      <c r="Z100" s="3">
        <v>392</v>
      </c>
      <c r="AA100" s="3"/>
      <c r="AB100" s="3">
        <v>393</v>
      </c>
      <c r="AC100" s="3">
        <v>393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</row>
    <row r="101" spans="1:110" ht="14.25" customHeight="1" x14ac:dyDescent="0.3">
      <c r="A101" s="1">
        <f t="shared" si="5"/>
        <v>92</v>
      </c>
      <c r="B101" s="1" t="s">
        <v>107</v>
      </c>
      <c r="C101" s="4">
        <v>0.33672453703703797</v>
      </c>
      <c r="D101" s="4">
        <v>0.33689814814814911</v>
      </c>
      <c r="E101" s="2">
        <v>13.299999999999999</v>
      </c>
      <c r="F101" s="2">
        <v>13.389999999999999</v>
      </c>
      <c r="G101" s="1" t="s">
        <v>26</v>
      </c>
      <c r="H101" s="4">
        <f t="shared" si="6"/>
        <v>1.7361111111113825E-4</v>
      </c>
      <c r="J101">
        <v>390.10000610351563</v>
      </c>
      <c r="K101" s="3">
        <v>390.10000610351563</v>
      </c>
      <c r="L101" s="3">
        <v>396.29998779296875</v>
      </c>
      <c r="M101" s="3">
        <v>396.29998779296875</v>
      </c>
      <c r="N101" s="3"/>
      <c r="O101" s="3"/>
      <c r="P101" s="3">
        <v>399.89999389648438</v>
      </c>
      <c r="Q101" s="3">
        <v>399.89999389648438</v>
      </c>
      <c r="R101" s="3"/>
      <c r="S101" s="3">
        <v>391.20001220703125</v>
      </c>
      <c r="T101" s="3">
        <v>391.20001220703125</v>
      </c>
      <c r="U101" s="3"/>
      <c r="V101" s="3">
        <v>394.10000610351563</v>
      </c>
      <c r="W101" s="3">
        <v>394.10000610351563</v>
      </c>
      <c r="X101" s="3">
        <v>391.10000610351563</v>
      </c>
      <c r="Y101" s="3">
        <v>399.70001220703125</v>
      </c>
      <c r="Z101" s="3">
        <v>399.70001220703125</v>
      </c>
      <c r="AA101" s="3">
        <v>398.79998779296875</v>
      </c>
      <c r="AB101" s="3">
        <v>398.79998779296875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</row>
    <row r="102" spans="1:110" ht="14.25" customHeight="1" x14ac:dyDescent="0.3">
      <c r="A102" s="1">
        <f t="shared" si="5"/>
        <v>93</v>
      </c>
      <c r="B102" s="1" t="s">
        <v>108</v>
      </c>
      <c r="C102" s="4">
        <v>0.33718750000000097</v>
      </c>
      <c r="D102" s="4">
        <v>0.33732638888888988</v>
      </c>
      <c r="E102" s="2">
        <v>13.299999999999999</v>
      </c>
      <c r="F102" s="2">
        <v>13.35</v>
      </c>
      <c r="G102" s="1" t="s">
        <v>26</v>
      </c>
      <c r="H102" s="4">
        <f t="shared" si="6"/>
        <v>1.388888888889106E-4</v>
      </c>
      <c r="J102">
        <v>391.29998779296875</v>
      </c>
      <c r="K102" s="3">
        <v>392.60000610351563</v>
      </c>
      <c r="L102" s="3">
        <v>392.60000610351563</v>
      </c>
      <c r="M102" s="3">
        <v>396.39999389648438</v>
      </c>
      <c r="N102" s="3">
        <v>396.39999389648438</v>
      </c>
      <c r="O102" s="3"/>
      <c r="P102" s="3">
        <v>396.60000610351563</v>
      </c>
      <c r="Q102" s="3">
        <v>396.60000610351563</v>
      </c>
      <c r="R102" s="3">
        <v>396.39999389648438</v>
      </c>
      <c r="S102" s="3">
        <v>396.39999389648438</v>
      </c>
      <c r="T102" s="3">
        <v>393.20001220703125</v>
      </c>
      <c r="U102" s="3">
        <v>393.20001220703125</v>
      </c>
      <c r="V102" s="3">
        <v>393</v>
      </c>
      <c r="W102" s="3">
        <v>393</v>
      </c>
      <c r="X102" s="3">
        <v>390.20001220703125</v>
      </c>
      <c r="Y102" s="3">
        <v>390.20001220703125</v>
      </c>
      <c r="Z102" s="3"/>
      <c r="AA102" s="3">
        <v>395.20001220703125</v>
      </c>
      <c r="AB102" s="3">
        <v>395.20001220703125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</row>
    <row r="103" spans="1:110" ht="14.25" customHeight="1" x14ac:dyDescent="0.3">
      <c r="A103" s="1">
        <f t="shared" si="5"/>
        <v>94</v>
      </c>
      <c r="B103" s="1" t="s">
        <v>109</v>
      </c>
      <c r="C103" s="4">
        <v>0.33760416666666765</v>
      </c>
      <c r="D103" s="4">
        <v>0.3377546296296306</v>
      </c>
      <c r="E103" s="2">
        <v>13.299999999999999</v>
      </c>
      <c r="F103" s="2">
        <v>13.329999999999998</v>
      </c>
      <c r="G103" s="1" t="s">
        <v>26</v>
      </c>
      <c r="H103" s="4">
        <f t="shared" si="6"/>
        <v>1.5046296296294948E-4</v>
      </c>
      <c r="J103">
        <v>390.39999389648438</v>
      </c>
      <c r="K103" s="3">
        <v>390.39999389648438</v>
      </c>
      <c r="L103" s="3">
        <v>396.29998779296875</v>
      </c>
      <c r="M103" s="3">
        <v>398.29998779296875</v>
      </c>
      <c r="N103" s="3">
        <v>398.29998779296875</v>
      </c>
      <c r="O103" s="3">
        <v>395.29998779296875</v>
      </c>
      <c r="P103" s="3">
        <v>395.29998779296875</v>
      </c>
      <c r="Q103" s="3"/>
      <c r="R103" s="3">
        <v>395.29998779296875</v>
      </c>
      <c r="S103" s="3">
        <v>395.29998779296875</v>
      </c>
      <c r="T103" s="3">
        <v>392.20001220703125</v>
      </c>
      <c r="U103" s="3">
        <v>392.20001220703125</v>
      </c>
      <c r="V103" s="3">
        <v>392</v>
      </c>
      <c r="W103" s="3">
        <v>392</v>
      </c>
      <c r="X103" s="3">
        <v>391.89999389648438</v>
      </c>
      <c r="Y103" s="3">
        <v>391.89999389648438</v>
      </c>
      <c r="Z103" s="3">
        <v>399.89999389648438</v>
      </c>
      <c r="AA103" s="3">
        <v>396.70001220703125</v>
      </c>
      <c r="AB103" s="3">
        <v>396.70001220703125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</row>
    <row r="104" spans="1:110" ht="14.25" customHeight="1" x14ac:dyDescent="0.3">
      <c r="A104" s="1">
        <f t="shared" si="5"/>
        <v>95</v>
      </c>
      <c r="B104" s="1" t="s">
        <v>110</v>
      </c>
      <c r="C104" s="4">
        <v>0.33800925925926023</v>
      </c>
      <c r="D104" s="4">
        <v>0.33815972222222318</v>
      </c>
      <c r="E104" s="2">
        <v>13.299999999999999</v>
      </c>
      <c r="F104" s="2">
        <v>13.379999999999999</v>
      </c>
      <c r="G104" s="1" t="s">
        <v>26</v>
      </c>
      <c r="H104" s="4">
        <f t="shared" si="6"/>
        <v>1.5046296296294948E-4</v>
      </c>
      <c r="J104">
        <v>390.79998779296875</v>
      </c>
      <c r="K104" s="3">
        <v>392</v>
      </c>
      <c r="L104" s="3">
        <v>392</v>
      </c>
      <c r="M104" s="3"/>
      <c r="N104" s="3">
        <v>397.60000610351563</v>
      </c>
      <c r="O104" s="3">
        <v>391.29998779296875</v>
      </c>
      <c r="P104" s="3">
        <v>391.29998779296875</v>
      </c>
      <c r="Q104" s="3"/>
      <c r="R104" s="3">
        <v>391.29998779296875</v>
      </c>
      <c r="S104" s="3">
        <v>391.29998779296875</v>
      </c>
      <c r="T104" s="3">
        <v>391.20001220703125</v>
      </c>
      <c r="U104" s="3">
        <v>391.20001220703125</v>
      </c>
      <c r="V104" s="3"/>
      <c r="W104" s="3"/>
      <c r="X104" s="3"/>
      <c r="Y104" s="3"/>
      <c r="Z104" s="3">
        <v>396.70001220703125</v>
      </c>
      <c r="AA104" s="3">
        <v>392.70001220703125</v>
      </c>
      <c r="AB104" s="3">
        <v>392.70001220703125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</row>
    <row r="105" spans="1:110" ht="14.25" customHeight="1" x14ac:dyDescent="0.3">
      <c r="A105" s="1">
        <f t="shared" si="5"/>
        <v>96</v>
      </c>
      <c r="B105" s="1" t="s">
        <v>207</v>
      </c>
      <c r="C105" s="4">
        <v>0.33844907407407504</v>
      </c>
      <c r="D105" s="4">
        <v>0.33862268518518618</v>
      </c>
      <c r="E105" s="2">
        <v>13.299999999999999</v>
      </c>
      <c r="F105" s="2">
        <v>13.44</v>
      </c>
      <c r="G105" s="1" t="s">
        <v>26</v>
      </c>
      <c r="H105" s="4">
        <f t="shared" si="6"/>
        <v>1.7361111111113825E-4</v>
      </c>
      <c r="J105">
        <v>390.20001220703125</v>
      </c>
      <c r="K105" s="3">
        <v>393.70001220703125</v>
      </c>
      <c r="L105" s="3">
        <v>394.39999389648438</v>
      </c>
      <c r="M105" s="3">
        <v>394.39999389648438</v>
      </c>
      <c r="N105" s="3">
        <v>399.39999389648438</v>
      </c>
      <c r="O105" s="3">
        <v>399.39999389648438</v>
      </c>
      <c r="P105" s="3">
        <v>396.60000610351563</v>
      </c>
      <c r="Q105" s="3">
        <v>396.60000610351563</v>
      </c>
      <c r="R105" s="3">
        <v>396.39999389648438</v>
      </c>
      <c r="S105" s="3">
        <v>396.39999389648438</v>
      </c>
      <c r="T105" s="3">
        <v>393.20001220703125</v>
      </c>
      <c r="U105" s="3">
        <v>393.20001220703125</v>
      </c>
      <c r="V105" s="3"/>
      <c r="W105" s="3">
        <v>393.10000610351563</v>
      </c>
      <c r="X105" s="3">
        <v>390.10000610351563</v>
      </c>
      <c r="Y105" s="3">
        <v>390.10000610351563</v>
      </c>
      <c r="Z105" s="3"/>
      <c r="AA105" s="3">
        <v>392.29998779296875</v>
      </c>
      <c r="AB105" s="3">
        <v>392.29998779296875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</row>
    <row r="106" spans="1:110" ht="14.25" customHeight="1" x14ac:dyDescent="0.3">
      <c r="A106" s="1">
        <f t="shared" si="5"/>
        <v>97</v>
      </c>
      <c r="B106" s="1" t="s">
        <v>111</v>
      </c>
      <c r="C106" s="4">
        <v>0.33888888888888991</v>
      </c>
      <c r="D106" s="4">
        <v>0.33905092592592695</v>
      </c>
      <c r="E106" s="2">
        <v>13.299999999999999</v>
      </c>
      <c r="F106" s="2">
        <v>13.37</v>
      </c>
      <c r="G106" s="1" t="s">
        <v>26</v>
      </c>
      <c r="H106" s="4">
        <f t="shared" si="6"/>
        <v>1.6203703703704386E-4</v>
      </c>
      <c r="J106">
        <v>390.39999389648438</v>
      </c>
      <c r="K106" s="3">
        <v>394</v>
      </c>
      <c r="L106" s="3">
        <v>394</v>
      </c>
      <c r="M106" s="3">
        <v>397.29998779296875</v>
      </c>
      <c r="N106" s="3">
        <v>397.29998779296875</v>
      </c>
      <c r="O106" s="3">
        <v>395.39999389648438</v>
      </c>
      <c r="P106" s="3">
        <v>395.39999389648438</v>
      </c>
      <c r="Q106" s="3">
        <v>395.20001220703125</v>
      </c>
      <c r="R106" s="3">
        <v>395.20001220703125</v>
      </c>
      <c r="S106" s="3"/>
      <c r="T106" s="3">
        <v>395.10000610351563</v>
      </c>
      <c r="U106" s="3">
        <v>395.10000610351563</v>
      </c>
      <c r="V106" s="3">
        <v>395</v>
      </c>
      <c r="W106" s="3">
        <v>395</v>
      </c>
      <c r="X106" s="3">
        <v>394.70001220703125</v>
      </c>
      <c r="Y106" s="3">
        <v>394.70001220703125</v>
      </c>
      <c r="Z106" s="3">
        <v>391.70001220703125</v>
      </c>
      <c r="AA106" s="3">
        <v>391.70001220703125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</row>
    <row r="107" spans="1:110" ht="14.25" customHeight="1" x14ac:dyDescent="0.3">
      <c r="A107" s="1">
        <f t="shared" si="5"/>
        <v>98</v>
      </c>
      <c r="B107" s="1" t="s">
        <v>112</v>
      </c>
      <c r="C107" s="4">
        <v>0.33929398148148249</v>
      </c>
      <c r="D107" s="4">
        <v>0.33946759259259363</v>
      </c>
      <c r="E107" s="2">
        <v>13.299999999999999</v>
      </c>
      <c r="F107" s="2">
        <v>13.389999999999999</v>
      </c>
      <c r="G107" s="1" t="s">
        <v>26</v>
      </c>
      <c r="H107" s="4">
        <f t="shared" si="6"/>
        <v>1.7361111111113825E-4</v>
      </c>
      <c r="J107">
        <v>390.70001220703125</v>
      </c>
      <c r="K107" s="3">
        <v>395</v>
      </c>
      <c r="L107" s="3">
        <v>395</v>
      </c>
      <c r="M107" s="3">
        <v>394.10000610351563</v>
      </c>
      <c r="N107" s="3">
        <v>394.10000610351563</v>
      </c>
      <c r="O107" s="3"/>
      <c r="P107" s="3">
        <v>394.39999389648438</v>
      </c>
      <c r="Q107" s="3">
        <v>394.39999389648438</v>
      </c>
      <c r="R107" s="3">
        <v>394.29998779296875</v>
      </c>
      <c r="S107" s="3">
        <v>394.29998779296875</v>
      </c>
      <c r="T107" s="3">
        <v>391.20001220703125</v>
      </c>
      <c r="U107" s="3">
        <v>391.20001220703125</v>
      </c>
      <c r="V107" s="3">
        <v>399.89999389648438</v>
      </c>
      <c r="W107" s="3">
        <v>399.89999389648438</v>
      </c>
      <c r="X107" s="3">
        <v>399.79998779296875</v>
      </c>
      <c r="Y107" s="3">
        <v>399.79998779296875</v>
      </c>
      <c r="Z107" s="3">
        <v>399.29998779296875</v>
      </c>
      <c r="AA107" s="3">
        <v>393</v>
      </c>
      <c r="AB107" s="3">
        <v>393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</row>
    <row r="108" spans="1:110" ht="14.25" customHeight="1" x14ac:dyDescent="0.3">
      <c r="A108" s="1">
        <f t="shared" si="5"/>
        <v>99</v>
      </c>
      <c r="B108" s="1" t="s">
        <v>255</v>
      </c>
      <c r="C108" s="4">
        <v>0.33969907407407512</v>
      </c>
      <c r="D108" s="4">
        <v>0.33987268518518626</v>
      </c>
      <c r="E108" s="2">
        <v>13.299999999999999</v>
      </c>
      <c r="F108" s="2">
        <v>13.419999999999998</v>
      </c>
      <c r="G108" s="1" t="s">
        <v>26</v>
      </c>
      <c r="H108" s="4">
        <f t="shared" si="6"/>
        <v>1.7361111111113825E-4</v>
      </c>
      <c r="J108">
        <v>390.5</v>
      </c>
      <c r="K108" s="3">
        <v>390.5</v>
      </c>
      <c r="L108" s="3">
        <v>390.39999389648438</v>
      </c>
      <c r="M108" s="3">
        <v>390.39999389648438</v>
      </c>
      <c r="N108" s="3">
        <v>390.29998779296875</v>
      </c>
      <c r="O108" s="3">
        <v>390.29998779296875</v>
      </c>
      <c r="P108" s="3"/>
      <c r="Q108" s="3">
        <v>390.29998779296875</v>
      </c>
      <c r="R108" s="3">
        <v>390.29998779296875</v>
      </c>
      <c r="S108" s="3"/>
      <c r="T108" s="3">
        <v>393.29998779296875</v>
      </c>
      <c r="U108" s="3">
        <v>393.29998779296875</v>
      </c>
      <c r="V108" s="3">
        <v>393.10000610351563</v>
      </c>
      <c r="W108" s="3">
        <v>393.10000610351563</v>
      </c>
      <c r="X108" s="3">
        <v>390.29998779296875</v>
      </c>
      <c r="Y108" s="3">
        <v>390.29998779296875</v>
      </c>
      <c r="Z108" s="3">
        <v>390.10000610351563</v>
      </c>
      <c r="AA108" s="3">
        <v>394.89999389648438</v>
      </c>
      <c r="AB108" s="3">
        <v>394.89999389648438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</row>
    <row r="109" spans="1:110" ht="14.25" customHeight="1" x14ac:dyDescent="0.3">
      <c r="A109" s="1">
        <f t="shared" si="5"/>
        <v>100</v>
      </c>
      <c r="B109" s="1" t="s">
        <v>256</v>
      </c>
      <c r="C109" s="4">
        <v>0.34015046296296403</v>
      </c>
      <c r="D109" s="4">
        <v>0.34028935185185294</v>
      </c>
      <c r="E109" s="2">
        <v>13.299999999999999</v>
      </c>
      <c r="F109" s="2">
        <v>13.339999999999998</v>
      </c>
      <c r="G109" s="1" t="s">
        <v>26</v>
      </c>
      <c r="H109" s="4">
        <f t="shared" si="6"/>
        <v>1.388888888889106E-4</v>
      </c>
      <c r="J109">
        <v>390.10000610351563</v>
      </c>
      <c r="K109" s="3">
        <v>393.29998779296875</v>
      </c>
      <c r="L109" s="3">
        <v>393.29998779296875</v>
      </c>
      <c r="M109" s="3">
        <v>394.79998779296875</v>
      </c>
      <c r="N109" s="3">
        <v>394.79998779296875</v>
      </c>
      <c r="O109" s="3">
        <v>392.29998779296875</v>
      </c>
      <c r="P109" s="3">
        <v>392.29998779296875</v>
      </c>
      <c r="Q109" s="3"/>
      <c r="R109" s="3">
        <v>392.10000610351563</v>
      </c>
      <c r="S109" s="3">
        <v>392.10000610351563</v>
      </c>
      <c r="T109" s="3">
        <v>399.89999389648438</v>
      </c>
      <c r="U109" s="3">
        <v>399.89999389648438</v>
      </c>
      <c r="V109" s="3">
        <v>399.89999389648438</v>
      </c>
      <c r="W109" s="3">
        <v>399.89999389648438</v>
      </c>
      <c r="X109" s="3">
        <v>397.89999389648438</v>
      </c>
      <c r="Y109" s="3">
        <v>397.89999389648438</v>
      </c>
      <c r="Z109" s="3">
        <v>397.5</v>
      </c>
      <c r="AA109" s="3">
        <v>392.39999389648438</v>
      </c>
      <c r="AB109" s="3">
        <v>392.39999389648438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</row>
    <row r="110" spans="1:110" ht="14.25" customHeight="1" x14ac:dyDescent="0.3">
      <c r="A110" s="1">
        <f t="shared" si="5"/>
        <v>101</v>
      </c>
      <c r="B110" s="1" t="s">
        <v>113</v>
      </c>
      <c r="C110" s="4">
        <v>0.3405671296296307</v>
      </c>
      <c r="D110" s="4">
        <v>0.34072916666666775</v>
      </c>
      <c r="E110" s="2">
        <v>13.299999999999999</v>
      </c>
      <c r="F110" s="2">
        <v>13.329999999999998</v>
      </c>
      <c r="G110" s="1" t="s">
        <v>26</v>
      </c>
      <c r="H110" s="4">
        <f t="shared" si="6"/>
        <v>1.6203703703704386E-4</v>
      </c>
      <c r="J110">
        <v>390.20001220703125</v>
      </c>
      <c r="K110" s="3">
        <v>391.10000610351563</v>
      </c>
      <c r="L110" s="3">
        <v>391.10000610351563</v>
      </c>
      <c r="M110" s="3"/>
      <c r="N110" s="3">
        <v>391.5</v>
      </c>
      <c r="O110" s="3">
        <v>391.5</v>
      </c>
      <c r="P110" s="3"/>
      <c r="Q110" s="3">
        <v>394.29998779296875</v>
      </c>
      <c r="R110" s="3">
        <v>394.29998779296875</v>
      </c>
      <c r="S110" s="3">
        <v>391.10000610351563</v>
      </c>
      <c r="T110" s="3">
        <v>391.10000610351563</v>
      </c>
      <c r="U110" s="3">
        <v>391.20001220703125</v>
      </c>
      <c r="V110" s="3">
        <v>391.20001220703125</v>
      </c>
      <c r="W110" s="3"/>
      <c r="X110" s="3">
        <v>394</v>
      </c>
      <c r="Y110" s="3">
        <v>394</v>
      </c>
      <c r="Z110" s="3">
        <v>391</v>
      </c>
      <c r="AA110" s="3">
        <v>391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</row>
    <row r="111" spans="1:110" ht="14.25" customHeight="1" x14ac:dyDescent="0.3">
      <c r="A111" s="1">
        <f t="shared" si="5"/>
        <v>102</v>
      </c>
      <c r="B111" s="1" t="s">
        <v>114</v>
      </c>
      <c r="C111" s="4">
        <v>0.34096064814814925</v>
      </c>
      <c r="D111" s="4">
        <v>0.3411111111111122</v>
      </c>
      <c r="E111" s="2">
        <v>13.299999999999999</v>
      </c>
      <c r="F111" s="2">
        <v>13.36</v>
      </c>
      <c r="G111" s="1" t="s">
        <v>26</v>
      </c>
      <c r="H111" s="4">
        <f t="shared" si="6"/>
        <v>1.5046296296294948E-4</v>
      </c>
      <c r="J111">
        <v>390.20001220703125</v>
      </c>
      <c r="K111" s="3">
        <v>390.20001220703125</v>
      </c>
      <c r="L111" s="3">
        <v>396.89999389648438</v>
      </c>
      <c r="M111" s="3">
        <v>396.89999389648438</v>
      </c>
      <c r="N111" s="3">
        <v>399.89999389648438</v>
      </c>
      <c r="O111" s="3">
        <v>399.89999389648438</v>
      </c>
      <c r="P111" s="3">
        <v>396.5</v>
      </c>
      <c r="Q111" s="3">
        <v>396.5</v>
      </c>
      <c r="R111" s="3"/>
      <c r="S111" s="3">
        <v>396.39999389648438</v>
      </c>
      <c r="T111" s="3">
        <v>396.39999389648438</v>
      </c>
      <c r="U111" s="3">
        <v>396.39999389648438</v>
      </c>
      <c r="V111" s="3">
        <v>396.39999389648438</v>
      </c>
      <c r="W111" s="3">
        <v>393.10000610351563</v>
      </c>
      <c r="X111" s="3">
        <v>393.10000610351563</v>
      </c>
      <c r="Y111" s="3"/>
      <c r="Z111" s="3">
        <v>393</v>
      </c>
      <c r="AA111" s="3">
        <v>399.89999389648438</v>
      </c>
      <c r="AB111" s="3">
        <v>399.89999389648438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</row>
    <row r="112" spans="1:110" ht="14.25" customHeight="1" x14ac:dyDescent="0.3">
      <c r="A112" s="1">
        <f t="shared" si="5"/>
        <v>103</v>
      </c>
      <c r="B112" s="1" t="s">
        <v>115</v>
      </c>
      <c r="C112" s="4">
        <v>0.34138888888888996</v>
      </c>
      <c r="D112" s="4">
        <v>0.34153935185185291</v>
      </c>
      <c r="E112" s="2">
        <v>13.299999999999999</v>
      </c>
      <c r="F112" s="2">
        <v>13.37</v>
      </c>
      <c r="G112" s="1" t="s">
        <v>26</v>
      </c>
      <c r="H112" s="4">
        <f t="shared" si="6"/>
        <v>1.5046296296294948E-4</v>
      </c>
      <c r="J112">
        <v>390.5</v>
      </c>
      <c r="K112" s="3">
        <v>391.79998779296875</v>
      </c>
      <c r="L112" s="3">
        <v>391.79998779296875</v>
      </c>
      <c r="M112" s="3">
        <v>392.20001220703125</v>
      </c>
      <c r="N112" s="3">
        <v>392.20001220703125</v>
      </c>
      <c r="O112" s="3">
        <v>399.89999389648438</v>
      </c>
      <c r="P112" s="3">
        <v>399.89999389648438</v>
      </c>
      <c r="Q112" s="3"/>
      <c r="R112" s="3">
        <v>399.89999389648438</v>
      </c>
      <c r="S112" s="3">
        <v>399.89999389648438</v>
      </c>
      <c r="T112" s="3">
        <v>398.29998779296875</v>
      </c>
      <c r="U112" s="3">
        <v>398.29998779296875</v>
      </c>
      <c r="V112" s="3"/>
      <c r="W112" s="3">
        <v>391.89999389648438</v>
      </c>
      <c r="X112" s="3">
        <v>391.89999389648438</v>
      </c>
      <c r="Y112" s="3">
        <v>399.89999389648438</v>
      </c>
      <c r="Z112" s="3">
        <v>399.89999389648438</v>
      </c>
      <c r="AA112" s="3">
        <v>399.60000610351563</v>
      </c>
      <c r="AB112" s="3">
        <v>399.60000610351563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</row>
    <row r="113" spans="1:110" ht="14.25" customHeight="1" x14ac:dyDescent="0.3">
      <c r="A113" s="1">
        <f t="shared" si="5"/>
        <v>104</v>
      </c>
      <c r="B113" s="1" t="s">
        <v>116</v>
      </c>
      <c r="C113" s="4">
        <v>0.34177083333333441</v>
      </c>
      <c r="D113" s="4">
        <v>0.34193287037037146</v>
      </c>
      <c r="E113" s="2">
        <v>13.299999999999999</v>
      </c>
      <c r="F113" s="2">
        <v>13.45</v>
      </c>
      <c r="G113" s="1" t="s">
        <v>26</v>
      </c>
      <c r="H113" s="4">
        <f t="shared" si="6"/>
        <v>1.6203703703704386E-4</v>
      </c>
      <c r="J113">
        <v>390.20001220703125</v>
      </c>
      <c r="K113" s="3">
        <v>395.10000610351563</v>
      </c>
      <c r="L113" s="3">
        <v>392.60000610351563</v>
      </c>
      <c r="M113" s="3">
        <v>394.10000610351563</v>
      </c>
      <c r="N113" s="3">
        <v>394.10000610351563</v>
      </c>
      <c r="O113" s="3">
        <v>391.10000610351563</v>
      </c>
      <c r="P113" s="3">
        <v>391.10000610351563</v>
      </c>
      <c r="Q113" s="3">
        <v>391</v>
      </c>
      <c r="R113" s="3">
        <v>391</v>
      </c>
      <c r="S113" s="3"/>
      <c r="T113" s="3">
        <v>391.10000610351563</v>
      </c>
      <c r="U113" s="3">
        <v>391.10000610351563</v>
      </c>
      <c r="V113" s="3">
        <v>390.79998779296875</v>
      </c>
      <c r="W113" s="3">
        <v>390.79998779296875</v>
      </c>
      <c r="X113" s="3">
        <v>399.60000610351563</v>
      </c>
      <c r="Y113" s="3">
        <v>399.60000610351563</v>
      </c>
      <c r="Z113" s="3">
        <v>399.20001220703125</v>
      </c>
      <c r="AA113" s="3">
        <v>392.29998779296875</v>
      </c>
      <c r="AB113" s="3">
        <v>392.29998779296875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</row>
    <row r="114" spans="1:110" ht="14.25" customHeight="1" x14ac:dyDescent="0.3">
      <c r="A114" s="1">
        <f t="shared" si="5"/>
        <v>105</v>
      </c>
      <c r="B114" s="1" t="s">
        <v>117</v>
      </c>
      <c r="C114" s="4">
        <v>0.34219907407407518</v>
      </c>
      <c r="D114" s="4">
        <v>0.34233796296296409</v>
      </c>
      <c r="E114" s="2">
        <v>13.299999999999999</v>
      </c>
      <c r="F114" s="2">
        <v>13.35</v>
      </c>
      <c r="G114" s="1" t="s">
        <v>26</v>
      </c>
      <c r="H114" s="4">
        <f t="shared" si="6"/>
        <v>1.388888888889106E-4</v>
      </c>
      <c r="J114">
        <v>390.10000610351563</v>
      </c>
      <c r="K114" s="3">
        <v>395.10000610351563</v>
      </c>
      <c r="L114" s="3">
        <v>395.10000610351563</v>
      </c>
      <c r="M114" s="3">
        <v>398.5</v>
      </c>
      <c r="N114" s="3">
        <v>398.5</v>
      </c>
      <c r="O114" s="3"/>
      <c r="P114" s="3">
        <v>399.39999389648438</v>
      </c>
      <c r="Q114" s="3">
        <v>399.39999389648438</v>
      </c>
      <c r="R114" s="3">
        <v>399.20001220703125</v>
      </c>
      <c r="S114" s="3">
        <v>399.20001220703125</v>
      </c>
      <c r="T114" s="3">
        <v>399.10000610351563</v>
      </c>
      <c r="U114" s="3">
        <v>399.10000610351563</v>
      </c>
      <c r="V114" s="3">
        <v>395.79998779296875</v>
      </c>
      <c r="W114" s="3">
        <v>395.79998779296875</v>
      </c>
      <c r="X114" s="3">
        <v>392.79998779296875</v>
      </c>
      <c r="Y114" s="3">
        <v>392.79998779296875</v>
      </c>
      <c r="Z114" s="3">
        <v>392.39999389648438</v>
      </c>
      <c r="AA114" s="3">
        <v>392.39999389648438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</row>
    <row r="115" spans="1:110" ht="14.25" customHeight="1" x14ac:dyDescent="0.3">
      <c r="A115" s="1">
        <f t="shared" si="5"/>
        <v>106</v>
      </c>
      <c r="B115" s="1" t="s">
        <v>118</v>
      </c>
      <c r="C115" s="4">
        <v>0.34260416666666782</v>
      </c>
      <c r="D115" s="4">
        <v>0.34277777777777896</v>
      </c>
      <c r="E115" s="2">
        <v>13.299999999999999</v>
      </c>
      <c r="F115" s="2">
        <v>13.319999999999999</v>
      </c>
      <c r="G115" s="1" t="s">
        <v>26</v>
      </c>
      <c r="H115" s="4">
        <f t="shared" si="6"/>
        <v>1.7361111111113825E-4</v>
      </c>
      <c r="J115">
        <v>393.79998779296875</v>
      </c>
      <c r="K115" s="3">
        <v>390.89999389648438</v>
      </c>
      <c r="L115" s="3">
        <v>391.60000610351563</v>
      </c>
      <c r="M115" s="3">
        <v>391.60000610351563</v>
      </c>
      <c r="N115" s="3">
        <v>399.89999389648438</v>
      </c>
      <c r="O115" s="3">
        <v>399.89999389648438</v>
      </c>
      <c r="P115" s="3"/>
      <c r="Q115" s="3">
        <v>399.89999389648438</v>
      </c>
      <c r="R115" s="3">
        <v>399.89999389648438</v>
      </c>
      <c r="S115" s="3">
        <v>399.89999389648438</v>
      </c>
      <c r="T115" s="3">
        <v>399.89999389648438</v>
      </c>
      <c r="U115" s="3">
        <v>399.89999389648438</v>
      </c>
      <c r="V115" s="3">
        <v>399.89999389648438</v>
      </c>
      <c r="W115" s="3">
        <v>397.29998779296875</v>
      </c>
      <c r="X115" s="3">
        <v>397.29998779296875</v>
      </c>
      <c r="Y115" s="3">
        <v>397.10000610351563</v>
      </c>
      <c r="Z115" s="3">
        <v>397.10000610351563</v>
      </c>
      <c r="AA115" s="3">
        <v>396.5</v>
      </c>
      <c r="AB115" s="3">
        <v>394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</row>
    <row r="116" spans="1:110" ht="14.25" customHeight="1" x14ac:dyDescent="0.3">
      <c r="A116" s="1">
        <f t="shared" si="5"/>
        <v>107</v>
      </c>
      <c r="B116" s="1" t="s">
        <v>119</v>
      </c>
      <c r="C116" s="4">
        <v>0.34303240740740859</v>
      </c>
      <c r="D116" s="4">
        <v>0.34320601851851973</v>
      </c>
      <c r="E116" s="2">
        <v>13.299999999999999</v>
      </c>
      <c r="F116" s="2">
        <v>13.319999999999999</v>
      </c>
      <c r="G116" s="1" t="s">
        <v>26</v>
      </c>
      <c r="H116" s="4">
        <f t="shared" si="6"/>
        <v>1.7361111111113825E-4</v>
      </c>
      <c r="J116">
        <v>391.10000610351563</v>
      </c>
      <c r="K116" s="3">
        <v>391.10000610351563</v>
      </c>
      <c r="L116" s="3">
        <v>390.60000610351563</v>
      </c>
      <c r="M116" s="3">
        <v>390.60000610351563</v>
      </c>
      <c r="N116" s="3">
        <v>390.89999389648438</v>
      </c>
      <c r="O116" s="3">
        <v>390.89999389648438</v>
      </c>
      <c r="P116" s="3">
        <v>390.89999389648438</v>
      </c>
      <c r="Q116" s="3">
        <v>390.89999389648438</v>
      </c>
      <c r="R116" s="3"/>
      <c r="S116" s="3">
        <v>390.89999389648438</v>
      </c>
      <c r="T116" s="3">
        <v>390.89999389648438</v>
      </c>
      <c r="U116" s="3">
        <v>399.89999389648438</v>
      </c>
      <c r="V116" s="3">
        <v>399.89999389648438</v>
      </c>
      <c r="W116" s="3">
        <v>399.89999389648438</v>
      </c>
      <c r="X116" s="3">
        <v>399.89999389648438</v>
      </c>
      <c r="Y116" s="3">
        <v>399.39999389648438</v>
      </c>
      <c r="Z116" s="3">
        <v>399.39999389648438</v>
      </c>
      <c r="AA116" s="3">
        <v>396.10000610351563</v>
      </c>
      <c r="AB116" s="3">
        <v>396.10000610351563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</row>
    <row r="117" spans="1:110" ht="14.25" customHeight="1" x14ac:dyDescent="0.3">
      <c r="A117" s="1">
        <f t="shared" si="5"/>
        <v>108</v>
      </c>
      <c r="B117" s="1" t="s">
        <v>120</v>
      </c>
      <c r="C117" s="4">
        <v>0.34349537037037159</v>
      </c>
      <c r="D117" s="4">
        <v>0.34366898148148273</v>
      </c>
      <c r="E117" s="2">
        <v>13.299999999999999</v>
      </c>
      <c r="F117" s="2">
        <v>13.399999999999999</v>
      </c>
      <c r="G117" s="1" t="s">
        <v>26</v>
      </c>
      <c r="H117" s="4">
        <f t="shared" si="6"/>
        <v>1.7361111111113825E-4</v>
      </c>
      <c r="J117">
        <v>390.29998779296875</v>
      </c>
      <c r="K117" s="3">
        <v>391.29998779296875</v>
      </c>
      <c r="L117" s="3">
        <v>391.29998779296875</v>
      </c>
      <c r="M117" s="3">
        <v>393.29998779296875</v>
      </c>
      <c r="N117" s="3">
        <v>393.29998779296875</v>
      </c>
      <c r="O117" s="3"/>
      <c r="P117" s="3">
        <v>393.29998779296875</v>
      </c>
      <c r="Q117" s="3">
        <v>393.29998779296875</v>
      </c>
      <c r="R117" s="3">
        <v>399.89999389648438</v>
      </c>
      <c r="S117" s="3">
        <v>399.89999389648438</v>
      </c>
      <c r="T117" s="3">
        <v>399.89999389648438</v>
      </c>
      <c r="U117" s="3">
        <v>399.89999389648438</v>
      </c>
      <c r="V117" s="3"/>
      <c r="W117" s="3">
        <v>399.89999389648438</v>
      </c>
      <c r="X117" s="3">
        <v>399.89999389648438</v>
      </c>
      <c r="Y117" s="3">
        <v>398.79998779296875</v>
      </c>
      <c r="Z117" s="3">
        <v>398.79998779296875</v>
      </c>
      <c r="AA117" s="3">
        <v>398.29998779296875</v>
      </c>
      <c r="AB117" s="3">
        <v>398.29998779296875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</row>
    <row r="118" spans="1:110" ht="14.25" customHeight="1" x14ac:dyDescent="0.3">
      <c r="A118" s="1">
        <f t="shared" si="5"/>
        <v>109</v>
      </c>
      <c r="B118" s="1" t="s">
        <v>121</v>
      </c>
      <c r="C118" s="4">
        <v>0.34392361111111236</v>
      </c>
      <c r="D118" s="4">
        <v>0.3440856481481494</v>
      </c>
      <c r="E118" s="2">
        <v>13.299999999999999</v>
      </c>
      <c r="F118" s="2">
        <v>13.309999999999999</v>
      </c>
      <c r="G118" s="1" t="s">
        <v>26</v>
      </c>
      <c r="H118" s="4">
        <f t="shared" si="6"/>
        <v>1.6203703703704386E-4</v>
      </c>
      <c r="J118">
        <v>391.60000610351563</v>
      </c>
      <c r="K118" s="3">
        <v>393</v>
      </c>
      <c r="L118" s="3">
        <v>393</v>
      </c>
      <c r="M118" s="3">
        <v>392</v>
      </c>
      <c r="N118" s="3">
        <v>392</v>
      </c>
      <c r="O118" s="3">
        <v>392</v>
      </c>
      <c r="P118" s="3">
        <v>392</v>
      </c>
      <c r="Q118" s="3">
        <v>399.89999389648438</v>
      </c>
      <c r="R118" s="3">
        <v>399.89999389648438</v>
      </c>
      <c r="S118" s="3"/>
      <c r="T118" s="3">
        <v>399.89999389648438</v>
      </c>
      <c r="U118" s="3">
        <v>399.89999389648438</v>
      </c>
      <c r="V118" s="3">
        <v>399.89999389648438</v>
      </c>
      <c r="W118" s="3"/>
      <c r="X118" s="3">
        <v>397.5</v>
      </c>
      <c r="Y118" s="3">
        <v>397.5</v>
      </c>
      <c r="Z118" s="3">
        <v>397.29998779296875</v>
      </c>
      <c r="AA118" s="3">
        <v>393.29998779296875</v>
      </c>
      <c r="AB118" s="3">
        <v>393.29998779296875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</row>
    <row r="119" spans="1:110" ht="14.25" customHeight="1" x14ac:dyDescent="0.3">
      <c r="A119" s="1">
        <f t="shared" si="5"/>
        <v>110</v>
      </c>
      <c r="B119" s="1" t="s">
        <v>122</v>
      </c>
      <c r="C119" s="4">
        <v>0.34437500000000126</v>
      </c>
      <c r="D119" s="4">
        <v>0.34453703703703831</v>
      </c>
      <c r="E119" s="2">
        <v>13.299999999999999</v>
      </c>
      <c r="F119" s="2">
        <v>13.44</v>
      </c>
      <c r="G119" s="1" t="s">
        <v>26</v>
      </c>
      <c r="H119" s="4">
        <f t="shared" si="6"/>
        <v>1.6203703703704386E-4</v>
      </c>
      <c r="J119">
        <v>390.29998779296875</v>
      </c>
      <c r="K119" s="3">
        <v>390.29998779296875</v>
      </c>
      <c r="L119" s="3"/>
      <c r="M119" s="3">
        <v>391.20001220703125</v>
      </c>
      <c r="N119" s="3">
        <v>391.20001220703125</v>
      </c>
      <c r="O119" s="3">
        <v>391.20001220703125</v>
      </c>
      <c r="P119" s="3">
        <v>391.20001220703125</v>
      </c>
      <c r="Q119" s="3"/>
      <c r="R119" s="3"/>
      <c r="S119" s="3">
        <v>394.20001220703125</v>
      </c>
      <c r="T119" s="3">
        <v>394.20001220703125</v>
      </c>
      <c r="U119" s="3"/>
      <c r="V119" s="3">
        <v>397</v>
      </c>
      <c r="W119" s="3">
        <v>397</v>
      </c>
      <c r="X119" s="3"/>
      <c r="Y119" s="3">
        <v>399.60000610351563</v>
      </c>
      <c r="Z119" s="3">
        <v>399.60000610351563</v>
      </c>
      <c r="AA119" s="3">
        <v>390.5</v>
      </c>
      <c r="AB119" s="3">
        <v>390.5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</row>
    <row r="120" spans="1:110" ht="14.25" customHeight="1" x14ac:dyDescent="0.3">
      <c r="A120" s="1">
        <f t="shared" si="5"/>
        <v>111</v>
      </c>
      <c r="B120" s="1" t="s">
        <v>123</v>
      </c>
      <c r="C120" s="4">
        <v>0.34480324074074203</v>
      </c>
      <c r="D120" s="4">
        <v>0.34494212962963094</v>
      </c>
      <c r="E120" s="2">
        <v>13.299999999999999</v>
      </c>
      <c r="F120" s="2">
        <v>13.43</v>
      </c>
      <c r="G120" s="1" t="s">
        <v>26</v>
      </c>
      <c r="H120" s="4">
        <f t="shared" si="6"/>
        <v>1.388888888889106E-4</v>
      </c>
      <c r="J120">
        <v>390.89999389648438</v>
      </c>
      <c r="K120" s="3">
        <v>392.70001220703125</v>
      </c>
      <c r="L120" s="3">
        <v>392.70001220703125</v>
      </c>
      <c r="M120" s="3"/>
      <c r="N120" s="3">
        <v>393.39999389648438</v>
      </c>
      <c r="O120" s="3">
        <v>393.39999389648438</v>
      </c>
      <c r="P120" s="3">
        <v>393.39999389648438</v>
      </c>
      <c r="Q120" s="3">
        <v>393.39999389648438</v>
      </c>
      <c r="R120" s="3">
        <v>390.20001220703125</v>
      </c>
      <c r="S120" s="3">
        <v>390.20001220703125</v>
      </c>
      <c r="T120" s="3"/>
      <c r="U120" s="3">
        <v>390.20001220703125</v>
      </c>
      <c r="V120" s="3">
        <v>390.20001220703125</v>
      </c>
      <c r="W120" s="3">
        <v>399.29998779296875</v>
      </c>
      <c r="X120" s="3">
        <v>399.29998779296875</v>
      </c>
      <c r="Y120" s="3">
        <v>398.79998779296875</v>
      </c>
      <c r="Z120" s="3">
        <v>398.79998779296875</v>
      </c>
      <c r="AA120" s="3">
        <v>395.60000610351563</v>
      </c>
      <c r="AB120" s="3">
        <v>395.60000610351563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</row>
    <row r="121" spans="1:110" ht="14.25" customHeight="1" x14ac:dyDescent="0.3">
      <c r="A121" s="1">
        <f t="shared" si="5"/>
        <v>112</v>
      </c>
      <c r="B121" s="1" t="s">
        <v>124</v>
      </c>
      <c r="C121" s="4">
        <v>0.3452314814814828</v>
      </c>
      <c r="D121" s="4">
        <v>0.34537037037037172</v>
      </c>
      <c r="E121" s="2">
        <v>13.299999999999999</v>
      </c>
      <c r="F121" s="2">
        <v>13.419999999999998</v>
      </c>
      <c r="G121" s="1" t="s">
        <v>26</v>
      </c>
      <c r="H121" s="4">
        <f t="shared" si="6"/>
        <v>1.388888888889106E-4</v>
      </c>
      <c r="J121">
        <v>390.29998779296875</v>
      </c>
      <c r="K121" s="3">
        <v>393.39999389648438</v>
      </c>
      <c r="L121" s="3">
        <v>393.39999389648438</v>
      </c>
      <c r="M121" s="3">
        <v>395.39999389648438</v>
      </c>
      <c r="N121" s="3">
        <v>395.39999389648438</v>
      </c>
      <c r="O121" s="3">
        <v>392.20001220703125</v>
      </c>
      <c r="P121" s="3">
        <v>392.20001220703125</v>
      </c>
      <c r="Q121" s="3"/>
      <c r="R121" s="3">
        <v>392.20001220703125</v>
      </c>
      <c r="S121" s="3">
        <v>392.20001220703125</v>
      </c>
      <c r="T121" s="3">
        <v>392.10000610351563</v>
      </c>
      <c r="U121" s="3">
        <v>392.10000610351563</v>
      </c>
      <c r="V121" s="3">
        <v>392</v>
      </c>
      <c r="W121" s="3">
        <v>392</v>
      </c>
      <c r="X121" s="3">
        <v>399.89999389648438</v>
      </c>
      <c r="Y121" s="3">
        <v>399.89999389648438</v>
      </c>
      <c r="Z121" s="3">
        <v>399.89999389648438</v>
      </c>
      <c r="AA121" s="3">
        <v>392.89999389648438</v>
      </c>
      <c r="AB121" s="3">
        <v>392.89999389648438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</row>
    <row r="122" spans="1:110" ht="14.25" customHeight="1" x14ac:dyDescent="0.3">
      <c r="A122" s="1">
        <f t="shared" si="5"/>
        <v>113</v>
      </c>
      <c r="B122" s="1" t="s">
        <v>125</v>
      </c>
      <c r="C122" s="4">
        <v>0.34561342592592725</v>
      </c>
      <c r="D122" s="4">
        <v>0.3457638888888902</v>
      </c>
      <c r="E122" s="2">
        <v>13.299999999999999</v>
      </c>
      <c r="F122" s="2">
        <v>13.43</v>
      </c>
      <c r="G122" s="1" t="s">
        <v>26</v>
      </c>
      <c r="H122" s="4">
        <f t="shared" si="6"/>
        <v>1.5046296296294948E-4</v>
      </c>
      <c r="J122">
        <v>390.5</v>
      </c>
      <c r="K122" s="3">
        <v>390.5</v>
      </c>
      <c r="L122" s="3">
        <v>391.39999389648438</v>
      </c>
      <c r="M122" s="3">
        <v>391.39999389648438</v>
      </c>
      <c r="N122" s="3">
        <v>399.89999389648438</v>
      </c>
      <c r="O122" s="3">
        <v>399.89999389648438</v>
      </c>
      <c r="P122" s="3"/>
      <c r="Q122" s="3">
        <v>399.89999389648438</v>
      </c>
      <c r="R122" s="3">
        <v>397.5</v>
      </c>
      <c r="S122" s="3">
        <v>397.5</v>
      </c>
      <c r="T122" s="3"/>
      <c r="U122" s="3">
        <v>397.5</v>
      </c>
      <c r="V122" s="3">
        <v>397.5</v>
      </c>
      <c r="W122" s="3">
        <v>394.20001220703125</v>
      </c>
      <c r="X122" s="3">
        <v>394.20001220703125</v>
      </c>
      <c r="Y122" s="3">
        <v>394</v>
      </c>
      <c r="Z122" s="3">
        <v>394</v>
      </c>
      <c r="AA122" s="3">
        <v>390.89999389648438</v>
      </c>
      <c r="AB122" s="3">
        <v>390.89999389648438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</row>
    <row r="123" spans="1:110" ht="14.25" customHeight="1" x14ac:dyDescent="0.3">
      <c r="A123" s="1">
        <f t="shared" si="5"/>
        <v>114</v>
      </c>
      <c r="B123" s="1" t="s">
        <v>126</v>
      </c>
      <c r="C123" s="4">
        <v>0.34604166666666797</v>
      </c>
      <c r="D123" s="4">
        <v>0.34620370370370501</v>
      </c>
      <c r="E123" s="2">
        <v>13.299999999999999</v>
      </c>
      <c r="F123" s="2">
        <v>13.45</v>
      </c>
      <c r="G123" s="1" t="s">
        <v>26</v>
      </c>
      <c r="H123" s="4">
        <f t="shared" si="6"/>
        <v>1.6203703703704386E-4</v>
      </c>
      <c r="J123">
        <v>391.70001220703125</v>
      </c>
      <c r="K123" s="3">
        <v>391.70001220703125</v>
      </c>
      <c r="L123" s="3"/>
      <c r="M123" s="3">
        <v>393.70001220703125</v>
      </c>
      <c r="N123" s="3">
        <v>390.39999389648438</v>
      </c>
      <c r="O123" s="3">
        <v>390.39999389648438</v>
      </c>
      <c r="P123" s="3"/>
      <c r="Q123" s="3">
        <v>390.39999389648438</v>
      </c>
      <c r="R123" s="3">
        <v>390.39999389648438</v>
      </c>
      <c r="S123" s="3">
        <v>390.29998779296875</v>
      </c>
      <c r="T123" s="3">
        <v>390.29998779296875</v>
      </c>
      <c r="U123" s="3">
        <v>399.5</v>
      </c>
      <c r="V123" s="3">
        <v>399.5</v>
      </c>
      <c r="W123" s="3">
        <v>396.20001220703125</v>
      </c>
      <c r="X123" s="3">
        <v>396.20001220703125</v>
      </c>
      <c r="Y123" s="3">
        <v>396.10000610351563</v>
      </c>
      <c r="Z123" s="3">
        <v>396.10000610351563</v>
      </c>
      <c r="AA123" s="3">
        <v>393.79998779296875</v>
      </c>
      <c r="AB123" s="3">
        <v>393.79998779296875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</row>
    <row r="124" spans="1:110" ht="14.25" customHeight="1" x14ac:dyDescent="0.3">
      <c r="A124" s="1">
        <f t="shared" si="5"/>
        <v>115</v>
      </c>
      <c r="B124" s="1" t="s">
        <v>127</v>
      </c>
      <c r="C124" s="4">
        <v>0.34649305555555687</v>
      </c>
      <c r="D124" s="4">
        <v>0.34665509259259392</v>
      </c>
      <c r="E124" s="2">
        <v>13.299999999999999</v>
      </c>
      <c r="F124" s="2">
        <v>13.309999999999999</v>
      </c>
      <c r="G124" s="1" t="s">
        <v>26</v>
      </c>
      <c r="H124" s="4">
        <f t="shared" si="6"/>
        <v>1.6203703703704386E-4</v>
      </c>
      <c r="J124">
        <v>391.79998779296875</v>
      </c>
      <c r="K124" s="3">
        <v>391</v>
      </c>
      <c r="L124" s="3">
        <v>393.70001220703125</v>
      </c>
      <c r="M124" s="3">
        <v>396.5</v>
      </c>
      <c r="N124" s="3">
        <v>395.29998779296875</v>
      </c>
      <c r="O124" s="3">
        <v>396.10000610351563</v>
      </c>
      <c r="P124" s="3">
        <v>396.10000610351563</v>
      </c>
      <c r="Q124" s="3">
        <v>396.10000610351563</v>
      </c>
      <c r="R124" s="3">
        <v>390.5</v>
      </c>
      <c r="S124" s="3">
        <v>390.5</v>
      </c>
      <c r="T124" s="3">
        <v>394.60000610351563</v>
      </c>
      <c r="U124" s="3">
        <v>392.39999389648438</v>
      </c>
      <c r="V124" s="3">
        <v>392.39999389648438</v>
      </c>
      <c r="W124" s="3">
        <v>392.29998779296875</v>
      </c>
      <c r="X124" s="3">
        <v>392.29998779296875</v>
      </c>
      <c r="Y124" s="3">
        <v>392.79998779296875</v>
      </c>
      <c r="Z124" s="3">
        <v>392.79998779296875</v>
      </c>
      <c r="AA124" s="3">
        <v>392.5</v>
      </c>
      <c r="AB124" s="3">
        <v>392.5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</row>
    <row r="125" spans="1:110" ht="14.25" customHeight="1" x14ac:dyDescent="0.3">
      <c r="A125" s="1">
        <f t="shared" si="5"/>
        <v>116</v>
      </c>
      <c r="B125" s="1" t="s">
        <v>128</v>
      </c>
      <c r="C125" s="4">
        <v>0.34689814814814945</v>
      </c>
      <c r="D125" s="4">
        <v>0.34703703703703837</v>
      </c>
      <c r="E125" s="2">
        <v>13.299999999999999</v>
      </c>
      <c r="F125" s="2">
        <v>13.389999999999999</v>
      </c>
      <c r="G125" s="1" t="s">
        <v>26</v>
      </c>
      <c r="H125" s="4">
        <f t="shared" si="6"/>
        <v>1.388888888889106E-4</v>
      </c>
      <c r="J125">
        <v>390.20001220703125</v>
      </c>
      <c r="K125" s="3">
        <v>394.79998779296875</v>
      </c>
      <c r="L125" s="3">
        <v>394.79998779296875</v>
      </c>
      <c r="M125" s="3"/>
      <c r="N125" s="3">
        <v>398.5</v>
      </c>
      <c r="O125" s="3">
        <v>398.5</v>
      </c>
      <c r="P125" s="3">
        <v>398.20001220703125</v>
      </c>
      <c r="Q125" s="3">
        <v>398.20001220703125</v>
      </c>
      <c r="R125" s="3">
        <v>395.20001220703125</v>
      </c>
      <c r="S125" s="3">
        <v>395.20001220703125</v>
      </c>
      <c r="T125" s="3"/>
      <c r="U125" s="3">
        <v>395.10000610351563</v>
      </c>
      <c r="V125" s="3">
        <v>392</v>
      </c>
      <c r="W125" s="3">
        <v>392</v>
      </c>
      <c r="X125" s="3"/>
      <c r="Y125" s="3">
        <v>391.79998779296875</v>
      </c>
      <c r="Z125" s="3">
        <v>399.89999389648438</v>
      </c>
      <c r="AA125" s="3">
        <v>394</v>
      </c>
      <c r="AB125" s="3">
        <v>394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</row>
    <row r="126" spans="1:110" ht="14.25" customHeight="1" x14ac:dyDescent="0.3">
      <c r="A126" s="1">
        <f t="shared" si="5"/>
        <v>117</v>
      </c>
      <c r="B126" s="1" t="s">
        <v>129</v>
      </c>
      <c r="C126" s="4">
        <v>0.347291666666668</v>
      </c>
      <c r="D126" s="4">
        <v>0.34743055555555691</v>
      </c>
      <c r="E126" s="2">
        <v>13.299999999999999</v>
      </c>
      <c r="F126" s="2">
        <v>13.44</v>
      </c>
      <c r="G126" s="1" t="s">
        <v>26</v>
      </c>
      <c r="H126" s="4">
        <f t="shared" si="6"/>
        <v>1.388888888889106E-4</v>
      </c>
      <c r="J126">
        <v>390.79998779296875</v>
      </c>
      <c r="K126" s="3">
        <v>390.79998779296875</v>
      </c>
      <c r="L126" s="3">
        <v>396.79998779296875</v>
      </c>
      <c r="M126" s="3">
        <v>396.79998779296875</v>
      </c>
      <c r="N126" s="3"/>
      <c r="O126" s="3">
        <v>399.89999389648438</v>
      </c>
      <c r="P126" s="3">
        <v>399.89999389648438</v>
      </c>
      <c r="Q126" s="3"/>
      <c r="R126" s="3"/>
      <c r="S126" s="3">
        <v>394.20001220703125</v>
      </c>
      <c r="T126" s="3">
        <v>394.20001220703125</v>
      </c>
      <c r="U126" s="3"/>
      <c r="V126" s="3"/>
      <c r="W126" s="3">
        <v>399.89999389648438</v>
      </c>
      <c r="X126" s="3">
        <v>399.89999389648438</v>
      </c>
      <c r="Y126" s="3">
        <v>399.79998779296875</v>
      </c>
      <c r="Z126" s="3">
        <v>399.79998779296875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</row>
    <row r="127" spans="1:110" ht="14.25" customHeight="1" x14ac:dyDescent="0.3">
      <c r="A127" s="1">
        <f t="shared" si="5"/>
        <v>118</v>
      </c>
      <c r="B127" s="1" t="s">
        <v>130</v>
      </c>
      <c r="C127" s="4">
        <v>0.34766203703703841</v>
      </c>
      <c r="D127" s="4">
        <v>0.34781250000000136</v>
      </c>
      <c r="E127" s="2">
        <v>13.299999999999999</v>
      </c>
      <c r="F127" s="2">
        <v>13.319999999999999</v>
      </c>
      <c r="G127" s="1" t="s">
        <v>26</v>
      </c>
      <c r="H127" s="4">
        <f t="shared" si="6"/>
        <v>1.5046296296294948E-4</v>
      </c>
      <c r="J127">
        <v>390.10000610351563</v>
      </c>
      <c r="K127" s="3">
        <v>390.10000610351563</v>
      </c>
      <c r="L127" s="3">
        <v>396.20001220703125</v>
      </c>
      <c r="M127" s="3">
        <v>396.20001220703125</v>
      </c>
      <c r="N127" s="3">
        <v>393.39999389648438</v>
      </c>
      <c r="O127" s="3">
        <v>393.39999389648438</v>
      </c>
      <c r="P127" s="3"/>
      <c r="Q127" s="3">
        <v>393.29998779296875</v>
      </c>
      <c r="R127" s="3">
        <v>393.29998779296875</v>
      </c>
      <c r="S127" s="3"/>
      <c r="T127" s="3">
        <v>396.20001220703125</v>
      </c>
      <c r="U127" s="3">
        <v>393.10000610351563</v>
      </c>
      <c r="V127" s="3">
        <v>393.10000610351563</v>
      </c>
      <c r="W127" s="3"/>
      <c r="X127" s="3">
        <v>395.79998779296875</v>
      </c>
      <c r="Y127" s="3">
        <v>395.79998779296875</v>
      </c>
      <c r="Z127" s="3"/>
      <c r="AA127" s="3">
        <v>398.29998779296875</v>
      </c>
      <c r="AB127" s="3">
        <v>398.29998779296875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</row>
    <row r="128" spans="1:110" ht="14.25" customHeight="1" x14ac:dyDescent="0.3">
      <c r="A128" s="1">
        <f t="shared" si="5"/>
        <v>119</v>
      </c>
      <c r="B128" s="1" t="s">
        <v>131</v>
      </c>
      <c r="C128" s="4">
        <v>0.34806712962963099</v>
      </c>
      <c r="D128" s="4">
        <v>0.3482060185185199</v>
      </c>
      <c r="E128" s="2">
        <v>13.299999999999999</v>
      </c>
      <c r="F128" s="2">
        <v>13.319999999999999</v>
      </c>
      <c r="G128" s="1" t="s">
        <v>26</v>
      </c>
      <c r="H128" s="4">
        <f t="shared" si="6"/>
        <v>1.388888888889106E-4</v>
      </c>
      <c r="J128">
        <v>390.29998779296875</v>
      </c>
      <c r="K128" s="3">
        <v>390.29998779296875</v>
      </c>
      <c r="L128" s="3">
        <v>391.5</v>
      </c>
      <c r="M128" s="3">
        <v>398.60000610351563</v>
      </c>
      <c r="N128" s="3">
        <v>390.89999389648438</v>
      </c>
      <c r="O128" s="3">
        <v>390.89999389648438</v>
      </c>
      <c r="P128" s="3">
        <v>391.20001220703125</v>
      </c>
      <c r="Q128" s="3">
        <v>397.89999389648438</v>
      </c>
      <c r="R128" s="3">
        <v>398.5</v>
      </c>
      <c r="S128" s="3">
        <v>398.5</v>
      </c>
      <c r="T128" s="3">
        <v>399.89999389648438</v>
      </c>
      <c r="U128" s="3">
        <v>399.89999389648438</v>
      </c>
      <c r="V128" s="3"/>
      <c r="W128" s="3">
        <v>399.89999389648438</v>
      </c>
      <c r="X128" s="3">
        <v>396.79998779296875</v>
      </c>
      <c r="Y128" s="3">
        <v>396.79998779296875</v>
      </c>
      <c r="Z128" s="3">
        <v>396.70001220703125</v>
      </c>
      <c r="AA128" s="3">
        <v>390.10000610351563</v>
      </c>
      <c r="AB128" s="3">
        <v>390.10000610351563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</row>
    <row r="129" spans="1:110" ht="14.25" customHeight="1" x14ac:dyDescent="0.3">
      <c r="A129" s="1">
        <f t="shared" si="5"/>
        <v>120</v>
      </c>
      <c r="B129" s="1" t="s">
        <v>132</v>
      </c>
      <c r="C129" s="4">
        <v>0.34848379629629767</v>
      </c>
      <c r="D129" s="4">
        <v>0.34863425925926061</v>
      </c>
      <c r="E129" s="2">
        <v>13.299999999999999</v>
      </c>
      <c r="F129" s="2">
        <v>13.37</v>
      </c>
      <c r="G129" s="1" t="s">
        <v>26</v>
      </c>
      <c r="H129" s="4">
        <f t="shared" si="6"/>
        <v>1.5046296296294948E-4</v>
      </c>
      <c r="J129">
        <v>390.10000610351563</v>
      </c>
      <c r="K129" s="3">
        <v>394.5</v>
      </c>
      <c r="L129" s="3">
        <v>394.5</v>
      </c>
      <c r="M129" s="3">
        <v>399.5</v>
      </c>
      <c r="N129" s="3">
        <v>399.5</v>
      </c>
      <c r="O129" s="3"/>
      <c r="P129" s="3">
        <v>399.60000610351563</v>
      </c>
      <c r="Q129" s="3">
        <v>399.60000610351563</v>
      </c>
      <c r="R129" s="3">
        <v>396.5</v>
      </c>
      <c r="S129" s="3">
        <v>396.5</v>
      </c>
      <c r="T129" s="3"/>
      <c r="U129" s="3">
        <v>399.29998779296875</v>
      </c>
      <c r="V129" s="3">
        <v>396.10000610351563</v>
      </c>
      <c r="W129" s="3">
        <v>396.10000610351563</v>
      </c>
      <c r="X129" s="3">
        <v>393.10000610351563</v>
      </c>
      <c r="Y129" s="3">
        <v>393.10000610351563</v>
      </c>
      <c r="Z129" s="3">
        <v>392.89999389648438</v>
      </c>
      <c r="AA129" s="3">
        <v>392.89999389648438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</row>
    <row r="130" spans="1:110" ht="14.25" customHeight="1" x14ac:dyDescent="0.3">
      <c r="A130" s="1">
        <f t="shared" si="5"/>
        <v>121</v>
      </c>
      <c r="B130" s="1" t="s">
        <v>257</v>
      </c>
      <c r="C130" s="4">
        <v>0.34888888888889025</v>
      </c>
      <c r="D130" s="4">
        <v>0.3490393518518532</v>
      </c>
      <c r="E130" s="2">
        <v>13.299999999999999</v>
      </c>
      <c r="F130" s="2">
        <v>13.43</v>
      </c>
      <c r="G130" s="1" t="s">
        <v>26</v>
      </c>
      <c r="H130" s="4">
        <f t="shared" si="6"/>
        <v>1.5046296296294948E-4</v>
      </c>
      <c r="J130">
        <v>390.29998779296875</v>
      </c>
      <c r="K130" s="3">
        <v>390.29998779296875</v>
      </c>
      <c r="L130" s="3">
        <v>398.5</v>
      </c>
      <c r="M130" s="3">
        <v>398.5</v>
      </c>
      <c r="N130" s="3"/>
      <c r="O130" s="3">
        <v>392.39999389648438</v>
      </c>
      <c r="P130" s="3">
        <v>392.39999389648438</v>
      </c>
      <c r="Q130" s="3"/>
      <c r="R130" s="3">
        <v>392.39999389648438</v>
      </c>
      <c r="S130" s="3">
        <v>392.39999389648438</v>
      </c>
      <c r="T130" s="3"/>
      <c r="U130" s="3">
        <v>395.39999389648438</v>
      </c>
      <c r="V130" s="3">
        <v>395.39999389648438</v>
      </c>
      <c r="W130" s="3"/>
      <c r="X130" s="3">
        <v>397.89999389648438</v>
      </c>
      <c r="Y130" s="3">
        <v>397.89999389648438</v>
      </c>
      <c r="Z130" s="3">
        <v>399.89999389648438</v>
      </c>
      <c r="AA130" s="3">
        <v>399.89999389648438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</row>
    <row r="131" spans="1:110" ht="14.25" customHeight="1" x14ac:dyDescent="0.3">
      <c r="A131" s="1">
        <f t="shared" si="5"/>
        <v>122</v>
      </c>
      <c r="B131" s="1" t="s">
        <v>258</v>
      </c>
      <c r="C131" s="4">
        <v>0.34932870370370506</v>
      </c>
      <c r="D131" s="4">
        <v>0.34946759259259397</v>
      </c>
      <c r="E131" s="2">
        <v>13.299999999999999</v>
      </c>
      <c r="F131" s="2">
        <v>13.329999999999998</v>
      </c>
      <c r="G131" s="1" t="s">
        <v>26</v>
      </c>
      <c r="H131" s="4">
        <f t="shared" si="6"/>
        <v>1.388888888889106E-4</v>
      </c>
      <c r="J131">
        <v>394.39999389648438</v>
      </c>
      <c r="K131" s="3">
        <v>390.60000610351563</v>
      </c>
      <c r="L131" s="3">
        <v>390.60000610351563</v>
      </c>
      <c r="M131" s="3">
        <v>394.60000610351563</v>
      </c>
      <c r="N131" s="3">
        <v>394.60000610351563</v>
      </c>
      <c r="O131" s="3"/>
      <c r="P131" s="3">
        <v>394.5</v>
      </c>
      <c r="Q131" s="3">
        <v>394.5</v>
      </c>
      <c r="R131" s="3"/>
      <c r="S131" s="3">
        <v>397.39999389648438</v>
      </c>
      <c r="T131" s="3">
        <v>397.39999389648438</v>
      </c>
      <c r="U131" s="3"/>
      <c r="V131" s="3">
        <v>399.89999389648438</v>
      </c>
      <c r="W131" s="3">
        <v>399.89999389648438</v>
      </c>
      <c r="X131" s="3"/>
      <c r="Y131" s="3">
        <v>391.10000610351563</v>
      </c>
      <c r="Z131" s="3">
        <v>391.10000610351563</v>
      </c>
      <c r="AA131" s="3">
        <v>390.89999389648438</v>
      </c>
      <c r="AB131" s="3">
        <v>390.89999389648438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</row>
    <row r="132" spans="1:110" ht="14.25" customHeight="1" x14ac:dyDescent="0.3">
      <c r="A132" s="1">
        <f t="shared" si="5"/>
        <v>123</v>
      </c>
      <c r="B132" s="1" t="s">
        <v>133</v>
      </c>
      <c r="C132" s="4">
        <v>0.3497222222222236</v>
      </c>
      <c r="D132" s="4">
        <v>0.34988425925926064</v>
      </c>
      <c r="E132" s="2">
        <v>13.299999999999999</v>
      </c>
      <c r="F132" s="2">
        <v>13.309999999999999</v>
      </c>
      <c r="G132" s="1" t="s">
        <v>26</v>
      </c>
      <c r="H132" s="4">
        <f t="shared" si="6"/>
        <v>1.6203703703704386E-4</v>
      </c>
      <c r="J132">
        <v>390.10000610351563</v>
      </c>
      <c r="K132" s="3">
        <v>390.10000610351563</v>
      </c>
      <c r="L132" s="3">
        <v>392.70001220703125</v>
      </c>
      <c r="M132" s="3">
        <v>392.70001220703125</v>
      </c>
      <c r="N132" s="3"/>
      <c r="O132" s="3">
        <v>396.5</v>
      </c>
      <c r="P132" s="3">
        <v>396.5</v>
      </c>
      <c r="Q132" s="3"/>
      <c r="R132" s="3">
        <v>399.39999389648438</v>
      </c>
      <c r="S132" s="3">
        <v>399.39999389648438</v>
      </c>
      <c r="T132" s="3"/>
      <c r="U132" s="3">
        <v>390.10000610351563</v>
      </c>
      <c r="V132" s="3">
        <v>390.10000610351563</v>
      </c>
      <c r="W132" s="3"/>
      <c r="X132" s="3">
        <v>393.10000610351563</v>
      </c>
      <c r="Y132" s="3">
        <v>393.10000610351563</v>
      </c>
      <c r="Z132" s="3">
        <v>395.60000610351563</v>
      </c>
      <c r="AA132" s="3">
        <v>395.60000610351563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</row>
    <row r="133" spans="1:110" ht="14.25" customHeight="1" x14ac:dyDescent="0.3">
      <c r="A133" s="1">
        <f t="shared" si="5"/>
        <v>124</v>
      </c>
      <c r="B133" s="1" t="s">
        <v>134</v>
      </c>
      <c r="C133" s="4">
        <v>0.35013888888889028</v>
      </c>
      <c r="D133" s="4">
        <v>0.35031250000000141</v>
      </c>
      <c r="E133" s="2">
        <v>13.299999999999999</v>
      </c>
      <c r="F133" s="2">
        <v>13.309999999999999</v>
      </c>
      <c r="G133" s="1" t="s">
        <v>26</v>
      </c>
      <c r="H133" s="4">
        <f t="shared" si="6"/>
        <v>1.7361111111113825E-4</v>
      </c>
      <c r="J133">
        <v>391.20001220703125</v>
      </c>
      <c r="K133" s="3">
        <v>391.20001220703125</v>
      </c>
      <c r="L133" s="3">
        <v>399.20001220703125</v>
      </c>
      <c r="M133" s="3">
        <v>399.20001220703125</v>
      </c>
      <c r="N133" s="3"/>
      <c r="O133" s="3">
        <v>392.29998779296875</v>
      </c>
      <c r="P133" s="3">
        <v>392.29998779296875</v>
      </c>
      <c r="Q133" s="3"/>
      <c r="R133" s="3">
        <v>395.29998779296875</v>
      </c>
      <c r="S133" s="3">
        <v>395.29998779296875</v>
      </c>
      <c r="T133" s="3">
        <v>395.20001220703125</v>
      </c>
      <c r="U133" s="3">
        <v>395.20001220703125</v>
      </c>
      <c r="V133" s="3"/>
      <c r="W133" s="3">
        <v>397.89999389648438</v>
      </c>
      <c r="X133" s="3">
        <v>397.89999389648438</v>
      </c>
      <c r="Y133" s="3"/>
      <c r="Z133" s="3">
        <v>399.89999389648438</v>
      </c>
      <c r="AA133" s="3">
        <v>393.10000610351563</v>
      </c>
      <c r="AB133" s="3">
        <v>393.10000610351563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</row>
    <row r="134" spans="1:110" ht="14.25" customHeight="1" x14ac:dyDescent="0.3">
      <c r="A134" s="1">
        <f t="shared" si="5"/>
        <v>125</v>
      </c>
      <c r="B134" s="1" t="s">
        <v>135</v>
      </c>
      <c r="C134" s="4">
        <v>0.35055555555555695</v>
      </c>
      <c r="D134" s="4">
        <v>0.35069444444444586</v>
      </c>
      <c r="E134" s="2">
        <v>13.299999999999999</v>
      </c>
      <c r="F134" s="2">
        <v>13.35</v>
      </c>
      <c r="G134" s="1" t="s">
        <v>26</v>
      </c>
      <c r="H134" s="4">
        <f t="shared" si="6"/>
        <v>1.388888888889106E-4</v>
      </c>
      <c r="J134">
        <v>391</v>
      </c>
      <c r="K134" s="3">
        <v>391</v>
      </c>
      <c r="L134" s="3">
        <v>391</v>
      </c>
      <c r="M134" s="3">
        <v>391</v>
      </c>
      <c r="N134" s="3">
        <v>391.29998779296875</v>
      </c>
      <c r="O134" s="3">
        <v>391.29998779296875</v>
      </c>
      <c r="P134" s="3"/>
      <c r="Q134" s="3">
        <v>394.29998779296875</v>
      </c>
      <c r="R134" s="3">
        <v>394.29998779296875</v>
      </c>
      <c r="S134" s="3"/>
      <c r="T134" s="3">
        <v>397.39999389648438</v>
      </c>
      <c r="U134" s="3">
        <v>397.39999389648438</v>
      </c>
      <c r="V134" s="3"/>
      <c r="W134" s="3">
        <v>397.10000610351563</v>
      </c>
      <c r="X134" s="3">
        <v>397.10000610351563</v>
      </c>
      <c r="Y134" s="3">
        <v>399.70001220703125</v>
      </c>
      <c r="Z134" s="3">
        <v>399.70001220703125</v>
      </c>
      <c r="AA134" s="3">
        <v>390.29998779296875</v>
      </c>
      <c r="AB134" s="3">
        <v>390.29998779296875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</row>
    <row r="135" spans="1:110" ht="14.25" customHeight="1" x14ac:dyDescent="0.3">
      <c r="A135" s="1">
        <f t="shared" si="5"/>
        <v>126</v>
      </c>
      <c r="B135" s="1" t="s">
        <v>136</v>
      </c>
      <c r="C135" s="4">
        <v>0.3509375000000014</v>
      </c>
      <c r="D135" s="4">
        <v>0.35109953703703844</v>
      </c>
      <c r="E135" s="2">
        <v>13.299999999999999</v>
      </c>
      <c r="F135" s="2">
        <v>13.409999999999998</v>
      </c>
      <c r="G135" s="1" t="s">
        <v>26</v>
      </c>
      <c r="H135" s="4">
        <f t="shared" si="6"/>
        <v>1.6203703703704386E-4</v>
      </c>
      <c r="J135">
        <v>391.5</v>
      </c>
      <c r="K135" s="3">
        <v>391.5</v>
      </c>
      <c r="L135" s="3">
        <v>395</v>
      </c>
      <c r="M135" s="3">
        <v>392.5</v>
      </c>
      <c r="N135" s="3"/>
      <c r="O135" s="3">
        <v>396.29998779296875</v>
      </c>
      <c r="P135" s="3">
        <v>393.20001220703125</v>
      </c>
      <c r="Q135" s="3">
        <v>393.20001220703125</v>
      </c>
      <c r="R135" s="3"/>
      <c r="S135" s="3">
        <v>393.10000610351563</v>
      </c>
      <c r="T135" s="3">
        <v>393.10000610351563</v>
      </c>
      <c r="U135" s="3">
        <v>393.10000610351563</v>
      </c>
      <c r="V135" s="3">
        <v>393.10000610351563</v>
      </c>
      <c r="W135" s="3">
        <v>399.89999389648438</v>
      </c>
      <c r="X135" s="3">
        <v>399.89999389648438</v>
      </c>
      <c r="Y135" s="3">
        <v>399.89999389648438</v>
      </c>
      <c r="Z135" s="3">
        <v>399.89999389648438</v>
      </c>
      <c r="AA135" s="3">
        <v>397.89999389648438</v>
      </c>
      <c r="AB135" s="3">
        <v>397.89999389648438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</row>
    <row r="136" spans="1:110" ht="14.25" customHeight="1" x14ac:dyDescent="0.3">
      <c r="A136" s="1">
        <f t="shared" si="5"/>
        <v>127</v>
      </c>
      <c r="B136" s="1" t="s">
        <v>137</v>
      </c>
      <c r="C136" s="4">
        <v>0.35137731481481621</v>
      </c>
      <c r="D136" s="4">
        <v>0.35152777777777916</v>
      </c>
      <c r="E136" s="2">
        <v>13.299999999999999</v>
      </c>
      <c r="F136" s="2">
        <v>13.309999999999999</v>
      </c>
      <c r="G136" s="1" t="s">
        <v>26</v>
      </c>
      <c r="H136" s="4">
        <f t="shared" si="6"/>
        <v>1.5046296296294948E-4</v>
      </c>
      <c r="J136">
        <v>390.60000610351563</v>
      </c>
      <c r="K136" s="3">
        <v>394.29998779296875</v>
      </c>
      <c r="L136" s="3">
        <v>394.29998779296875</v>
      </c>
      <c r="M136" s="3"/>
      <c r="N136" s="3">
        <v>392.10000610351563</v>
      </c>
      <c r="O136" s="3">
        <v>392.10000610351563</v>
      </c>
      <c r="P136" s="3"/>
      <c r="Q136" s="3">
        <v>398</v>
      </c>
      <c r="R136" s="3">
        <v>398</v>
      </c>
      <c r="S136" s="3">
        <v>395</v>
      </c>
      <c r="T136" s="3">
        <v>395</v>
      </c>
      <c r="U136" s="3"/>
      <c r="V136" s="3">
        <v>395</v>
      </c>
      <c r="W136" s="3">
        <v>391.70001220703125</v>
      </c>
      <c r="X136" s="3">
        <v>391.70001220703125</v>
      </c>
      <c r="Y136" s="3"/>
      <c r="Z136" s="3">
        <v>391.70001220703125</v>
      </c>
      <c r="AA136" s="3">
        <v>399.89999389648438</v>
      </c>
      <c r="AB136" s="3">
        <v>399.70001220703125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</row>
    <row r="137" spans="1:110" ht="14.25" customHeight="1" x14ac:dyDescent="0.3">
      <c r="A137" s="1">
        <f t="shared" si="5"/>
        <v>128</v>
      </c>
      <c r="B137" s="1" t="s">
        <v>138</v>
      </c>
      <c r="C137" s="4">
        <v>0.35180555555555693</v>
      </c>
      <c r="D137" s="4">
        <v>0.35197916666666806</v>
      </c>
      <c r="E137" s="2">
        <v>13.299999999999999</v>
      </c>
      <c r="F137" s="2">
        <v>13.399999999999999</v>
      </c>
      <c r="G137" s="1" t="s">
        <v>26</v>
      </c>
      <c r="H137" s="4">
        <f t="shared" si="6"/>
        <v>1.7361111111113825E-4</v>
      </c>
      <c r="J137">
        <v>390.29998779296875</v>
      </c>
      <c r="K137" s="3">
        <v>393.39999389648438</v>
      </c>
      <c r="L137" s="3">
        <v>393.39999389648438</v>
      </c>
      <c r="M137" s="3">
        <v>390.89999389648438</v>
      </c>
      <c r="N137" s="3">
        <v>390.89999389648438</v>
      </c>
      <c r="O137" s="3"/>
      <c r="P137" s="3">
        <v>390.79998779296875</v>
      </c>
      <c r="Q137" s="3">
        <v>390.79998779296875</v>
      </c>
      <c r="R137" s="3"/>
      <c r="S137" s="3">
        <v>393.79998779296875</v>
      </c>
      <c r="T137" s="3">
        <v>393.79998779296875</v>
      </c>
      <c r="U137" s="3">
        <v>393.70001220703125</v>
      </c>
      <c r="V137" s="3">
        <v>393.70001220703125</v>
      </c>
      <c r="W137" s="3"/>
      <c r="X137" s="3">
        <v>396.29998779296875</v>
      </c>
      <c r="Y137" s="3">
        <v>396.29998779296875</v>
      </c>
      <c r="Z137" s="3">
        <v>396.10000610351563</v>
      </c>
      <c r="AA137" s="3">
        <v>396.10000610351563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</row>
    <row r="138" spans="1:110" ht="14.25" customHeight="1" x14ac:dyDescent="0.3">
      <c r="A138" s="1">
        <f t="shared" si="5"/>
        <v>129</v>
      </c>
      <c r="B138" s="1" t="s">
        <v>139</v>
      </c>
      <c r="C138" s="4">
        <v>0.35226851851851992</v>
      </c>
      <c r="D138" s="4">
        <v>0.35240740740740883</v>
      </c>
      <c r="E138" s="2">
        <v>13.299999999999999</v>
      </c>
      <c r="F138" s="2">
        <v>13.339999999999998</v>
      </c>
      <c r="G138" s="1" t="s">
        <v>26</v>
      </c>
      <c r="H138" s="4">
        <f t="shared" si="6"/>
        <v>1.388888888889106E-4</v>
      </c>
      <c r="J138">
        <v>393.29998779296875</v>
      </c>
      <c r="K138" s="3">
        <v>394.79998779296875</v>
      </c>
      <c r="L138" s="3">
        <v>394.79998779296875</v>
      </c>
      <c r="M138" s="3">
        <v>399.89999389648438</v>
      </c>
      <c r="N138" s="3">
        <v>399.89999389648438</v>
      </c>
      <c r="O138" s="3"/>
      <c r="P138" s="3">
        <v>392.79998779296875</v>
      </c>
      <c r="Q138" s="3">
        <v>399.89999389648438</v>
      </c>
      <c r="R138" s="3">
        <v>399.89999389648438</v>
      </c>
      <c r="S138" s="3">
        <v>399.89999389648438</v>
      </c>
      <c r="T138" s="3"/>
      <c r="U138" s="3">
        <v>399.89999389648438</v>
      </c>
      <c r="V138" s="3">
        <v>399.89999389648438</v>
      </c>
      <c r="W138" s="3">
        <v>399.89999389648438</v>
      </c>
      <c r="X138" s="3">
        <v>399.89999389648438</v>
      </c>
      <c r="Y138" s="3">
        <v>399.89999389648438</v>
      </c>
      <c r="Z138" s="3">
        <v>399.89999389648438</v>
      </c>
      <c r="AA138" s="3">
        <v>397.5</v>
      </c>
      <c r="AB138" s="3">
        <v>397.5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</row>
    <row r="139" spans="1:110" ht="14.25" customHeight="1" x14ac:dyDescent="0.3">
      <c r="A139" s="1">
        <f t="shared" si="5"/>
        <v>130</v>
      </c>
      <c r="B139" s="1" t="s">
        <v>140</v>
      </c>
      <c r="C139" s="4">
        <v>0.35265046296296437</v>
      </c>
      <c r="D139" s="4">
        <v>0.35278935185185328</v>
      </c>
      <c r="E139" s="2">
        <v>13.299999999999999</v>
      </c>
      <c r="F139" s="2">
        <v>13.45</v>
      </c>
      <c r="G139" s="1" t="s">
        <v>26</v>
      </c>
      <c r="H139" s="4">
        <f t="shared" si="6"/>
        <v>1.388888888889106E-4</v>
      </c>
      <c r="J139">
        <v>390.10000610351563</v>
      </c>
      <c r="K139" s="3">
        <v>391.29998779296875</v>
      </c>
      <c r="L139" s="3">
        <v>393.70001220703125</v>
      </c>
      <c r="M139" s="3">
        <v>399.89999389648438</v>
      </c>
      <c r="N139" s="3">
        <v>399.89999389648438</v>
      </c>
      <c r="O139" s="3"/>
      <c r="P139" s="3">
        <v>399.89999389648438</v>
      </c>
      <c r="Q139" s="3">
        <v>397.5</v>
      </c>
      <c r="R139" s="3">
        <v>397.5</v>
      </c>
      <c r="S139" s="3"/>
      <c r="T139" s="3">
        <v>397.39999389648438</v>
      </c>
      <c r="U139" s="3">
        <v>397.39999389648438</v>
      </c>
      <c r="V139" s="3">
        <v>394.39999389648438</v>
      </c>
      <c r="W139" s="3">
        <v>394.39999389648438</v>
      </c>
      <c r="X139" s="3">
        <v>396.89999389648438</v>
      </c>
      <c r="Y139" s="3">
        <v>396.89999389648438</v>
      </c>
      <c r="Z139" s="3">
        <v>394</v>
      </c>
      <c r="AA139" s="3">
        <v>394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</row>
    <row r="140" spans="1:110" ht="14.25" customHeight="1" x14ac:dyDescent="0.3">
      <c r="A140" s="1">
        <f t="shared" ref="A140:A203" si="7">A139+1</f>
        <v>131</v>
      </c>
      <c r="B140" s="1" t="s">
        <v>141</v>
      </c>
      <c r="C140" s="4">
        <v>0.35306712962963105</v>
      </c>
      <c r="D140" s="4">
        <v>0.35324074074074219</v>
      </c>
      <c r="E140" s="2">
        <v>13.299999999999999</v>
      </c>
      <c r="F140" s="2">
        <v>13.389999999999999</v>
      </c>
      <c r="G140" s="1" t="s">
        <v>26</v>
      </c>
      <c r="H140" s="4">
        <f t="shared" ref="H140:H203" si="8">D140-C140</f>
        <v>1.7361111111113825E-4</v>
      </c>
      <c r="J140">
        <v>390.29998779296875</v>
      </c>
      <c r="K140" s="3">
        <v>392.70001220703125</v>
      </c>
      <c r="L140" s="3">
        <v>392.70001220703125</v>
      </c>
      <c r="M140" s="3">
        <v>396.60000610351563</v>
      </c>
      <c r="N140" s="3">
        <v>396.60000610351563</v>
      </c>
      <c r="O140" s="3">
        <v>397.29998779296875</v>
      </c>
      <c r="P140" s="3">
        <v>397.29998779296875</v>
      </c>
      <c r="Q140" s="3">
        <v>399.29998779296875</v>
      </c>
      <c r="R140" s="3">
        <v>399.29998779296875</v>
      </c>
      <c r="S140" s="3">
        <v>399.29998779296875</v>
      </c>
      <c r="T140" s="3">
        <v>399.29998779296875</v>
      </c>
      <c r="U140" s="3">
        <v>395.79998779296875</v>
      </c>
      <c r="V140" s="3">
        <v>395.79998779296875</v>
      </c>
      <c r="W140" s="3">
        <v>395.39999389648438</v>
      </c>
      <c r="X140" s="3">
        <v>395.39999389648438</v>
      </c>
      <c r="Y140" s="3">
        <v>395.60000610351563</v>
      </c>
      <c r="Z140" s="3">
        <v>395.60000610351563</v>
      </c>
      <c r="AA140" s="3">
        <v>394.5</v>
      </c>
      <c r="AB140" s="3">
        <v>394.5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</row>
    <row r="141" spans="1:110" ht="14.25" customHeight="1" x14ac:dyDescent="0.3">
      <c r="A141" s="1">
        <f t="shared" si="7"/>
        <v>132</v>
      </c>
      <c r="B141" s="1" t="s">
        <v>142</v>
      </c>
      <c r="C141" s="4">
        <v>0.35351851851851995</v>
      </c>
      <c r="D141" s="4">
        <v>0.35365740740740886</v>
      </c>
      <c r="E141" s="2">
        <v>13.299999999999999</v>
      </c>
      <c r="F141" s="2">
        <v>13.37</v>
      </c>
      <c r="G141" s="1" t="s">
        <v>26</v>
      </c>
      <c r="H141" s="4">
        <f t="shared" si="8"/>
        <v>1.388888888889106E-4</v>
      </c>
      <c r="J141">
        <v>391.10000610351563</v>
      </c>
      <c r="K141" s="3">
        <v>390.60000610351563</v>
      </c>
      <c r="L141" s="3">
        <v>390.60000610351563</v>
      </c>
      <c r="M141" s="3">
        <v>395.10000610351563</v>
      </c>
      <c r="N141" s="3">
        <v>395.10000610351563</v>
      </c>
      <c r="O141" s="3">
        <v>392.29998779296875</v>
      </c>
      <c r="P141" s="3">
        <v>392.29998779296875</v>
      </c>
      <c r="Q141" s="3">
        <v>392.20001220703125</v>
      </c>
      <c r="R141" s="3">
        <v>392.20001220703125</v>
      </c>
      <c r="S141" s="3">
        <v>392.10000610351563</v>
      </c>
      <c r="T141" s="3">
        <v>399.89999389648438</v>
      </c>
      <c r="U141" s="3"/>
      <c r="V141" s="3">
        <v>399.89999389648438</v>
      </c>
      <c r="W141" s="3">
        <v>397.89999389648438</v>
      </c>
      <c r="X141" s="3">
        <v>397.89999389648438</v>
      </c>
      <c r="Y141" s="3"/>
      <c r="Z141" s="3">
        <v>397.70001220703125</v>
      </c>
      <c r="AA141" s="3">
        <v>394.89999389648438</v>
      </c>
      <c r="AB141" s="3">
        <v>394.89999389648438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</row>
    <row r="142" spans="1:110" ht="14.25" customHeight="1" x14ac:dyDescent="0.3">
      <c r="A142" s="1">
        <f t="shared" si="7"/>
        <v>133</v>
      </c>
      <c r="B142" s="1" t="s">
        <v>143</v>
      </c>
      <c r="C142" s="4">
        <v>0.35394675925926072</v>
      </c>
      <c r="D142" s="4">
        <v>0.35409722222222367</v>
      </c>
      <c r="E142" s="2">
        <v>13.299999999999999</v>
      </c>
      <c r="F142" s="2">
        <v>13.37</v>
      </c>
      <c r="G142" s="1" t="s">
        <v>26</v>
      </c>
      <c r="H142" s="4">
        <f t="shared" si="8"/>
        <v>1.5046296296294948E-4</v>
      </c>
      <c r="J142">
        <v>390.39999389648438</v>
      </c>
      <c r="K142" s="3">
        <v>390.29998779296875</v>
      </c>
      <c r="L142" s="3">
        <v>393.39999389648438</v>
      </c>
      <c r="M142" s="3">
        <v>393.39999389648438</v>
      </c>
      <c r="N142" s="3">
        <v>390.89999389648438</v>
      </c>
      <c r="O142" s="3">
        <v>390.89999389648438</v>
      </c>
      <c r="P142" s="3">
        <v>391</v>
      </c>
      <c r="Q142" s="3">
        <v>391</v>
      </c>
      <c r="R142" s="3"/>
      <c r="S142" s="3">
        <v>391</v>
      </c>
      <c r="T142" s="3">
        <v>399.89999389648438</v>
      </c>
      <c r="U142" s="3">
        <v>399.89999389648438</v>
      </c>
      <c r="V142" s="3"/>
      <c r="W142" s="3">
        <v>399.89999389648438</v>
      </c>
      <c r="X142" s="3">
        <v>399.89999389648438</v>
      </c>
      <c r="Y142" s="3">
        <v>396.70001220703125</v>
      </c>
      <c r="Z142" s="3">
        <v>396.70001220703125</v>
      </c>
      <c r="AA142" s="3">
        <v>396.10000610351563</v>
      </c>
      <c r="AB142" s="3">
        <v>396.10000610351563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</row>
    <row r="143" spans="1:110" ht="14.25" customHeight="1" x14ac:dyDescent="0.3">
      <c r="A143" s="1">
        <f t="shared" si="7"/>
        <v>134</v>
      </c>
      <c r="B143" s="1" t="s">
        <v>144</v>
      </c>
      <c r="C143" s="4">
        <v>0.35435185185185331</v>
      </c>
      <c r="D143" s="4">
        <v>0.35449074074074222</v>
      </c>
      <c r="E143" s="2">
        <v>13.299999999999999</v>
      </c>
      <c r="F143" s="2">
        <v>13.36</v>
      </c>
      <c r="G143" s="1" t="s">
        <v>26</v>
      </c>
      <c r="H143" s="4">
        <f t="shared" si="8"/>
        <v>1.388888888889106E-4</v>
      </c>
      <c r="J143">
        <v>391.10000610351563</v>
      </c>
      <c r="K143" s="3">
        <v>390.70001220703125</v>
      </c>
      <c r="L143" s="3">
        <v>399.60000610351563</v>
      </c>
      <c r="M143" s="3">
        <v>396.60000610351563</v>
      </c>
      <c r="N143" s="3"/>
      <c r="O143" s="3">
        <v>399.29998779296875</v>
      </c>
      <c r="P143" s="3">
        <v>399.29998779296875</v>
      </c>
      <c r="Q143" s="3">
        <v>398.89999389648438</v>
      </c>
      <c r="R143" s="3">
        <v>398.89999389648438</v>
      </c>
      <c r="S143" s="3"/>
      <c r="T143" s="3">
        <v>399</v>
      </c>
      <c r="U143" s="3">
        <v>395.79998779296875</v>
      </c>
      <c r="V143" s="3">
        <v>395.79998779296875</v>
      </c>
      <c r="W143" s="3"/>
      <c r="X143" s="3">
        <v>395.5</v>
      </c>
      <c r="Y143" s="3">
        <v>392.5</v>
      </c>
      <c r="Z143" s="3">
        <v>392.5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</row>
    <row r="144" spans="1:110" ht="14.25" customHeight="1" x14ac:dyDescent="0.3">
      <c r="A144" s="1">
        <f t="shared" si="7"/>
        <v>135</v>
      </c>
      <c r="B144" s="1" t="s">
        <v>145</v>
      </c>
      <c r="C144" s="4">
        <v>0.35476851851851998</v>
      </c>
      <c r="D144" s="4">
        <v>0.35491898148148293</v>
      </c>
      <c r="E144" s="2">
        <v>13.299999999999999</v>
      </c>
      <c r="F144" s="2">
        <v>13.379999999999999</v>
      </c>
      <c r="G144" s="1" t="s">
        <v>26</v>
      </c>
      <c r="H144" s="4">
        <f t="shared" si="8"/>
        <v>1.5046296296294948E-4</v>
      </c>
      <c r="J144">
        <v>390.89999389648438</v>
      </c>
      <c r="K144" s="3">
        <v>393.29998779296875</v>
      </c>
      <c r="L144" s="3">
        <v>393.29998779296875</v>
      </c>
      <c r="M144" s="3">
        <v>397.29998779296875</v>
      </c>
      <c r="N144" s="3">
        <v>397.29998779296875</v>
      </c>
      <c r="O144" s="3">
        <v>397.79998779296875</v>
      </c>
      <c r="P144" s="3">
        <v>397.79998779296875</v>
      </c>
      <c r="Q144" s="3">
        <v>394.60000610351563</v>
      </c>
      <c r="R144" s="3">
        <v>394.60000610351563</v>
      </c>
      <c r="S144" s="3"/>
      <c r="T144" s="3">
        <v>394.60000610351563</v>
      </c>
      <c r="U144" s="3">
        <v>391.5</v>
      </c>
      <c r="V144" s="3">
        <v>391.5</v>
      </c>
      <c r="W144" s="3"/>
      <c r="X144" s="3">
        <v>391.39999389648438</v>
      </c>
      <c r="Y144" s="3">
        <v>391.39999389648438</v>
      </c>
      <c r="Z144" s="3">
        <v>391.20001220703125</v>
      </c>
      <c r="AA144" s="3">
        <v>396.79998779296875</v>
      </c>
      <c r="AB144" s="3">
        <v>396.79998779296875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</row>
    <row r="145" spans="1:110" ht="14.25" customHeight="1" x14ac:dyDescent="0.3">
      <c r="A145" s="1">
        <f t="shared" si="7"/>
        <v>136</v>
      </c>
      <c r="B145" s="1" t="s">
        <v>146</v>
      </c>
      <c r="C145" s="4">
        <v>0.35517361111111256</v>
      </c>
      <c r="D145" s="4">
        <v>0.35531250000000147</v>
      </c>
      <c r="E145" s="2">
        <v>13.299999999999999</v>
      </c>
      <c r="F145" s="2">
        <v>13.319999999999999</v>
      </c>
      <c r="G145" s="1" t="s">
        <v>26</v>
      </c>
      <c r="H145" s="4">
        <f t="shared" si="8"/>
        <v>1.388888888889106E-4</v>
      </c>
      <c r="J145">
        <v>390.89999389648438</v>
      </c>
      <c r="K145" s="3">
        <v>392.29998779296875</v>
      </c>
      <c r="L145" s="3">
        <v>392.29998779296875</v>
      </c>
      <c r="M145" s="3"/>
      <c r="N145" s="3"/>
      <c r="O145" s="3"/>
      <c r="P145" s="3"/>
      <c r="Q145" s="3"/>
      <c r="R145" s="3">
        <v>399.60000610351563</v>
      </c>
      <c r="S145" s="3">
        <v>399.60000610351563</v>
      </c>
      <c r="T145" s="3"/>
      <c r="U145" s="3">
        <v>399.5</v>
      </c>
      <c r="V145" s="3">
        <v>396.29998779296875</v>
      </c>
      <c r="W145" s="3">
        <v>396.29998779296875</v>
      </c>
      <c r="X145" s="3"/>
      <c r="Y145" s="3">
        <v>396</v>
      </c>
      <c r="Z145" s="3">
        <v>393</v>
      </c>
      <c r="AA145" s="3">
        <v>393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</row>
    <row r="146" spans="1:110" ht="14.25" customHeight="1" x14ac:dyDescent="0.3">
      <c r="A146" s="1">
        <f t="shared" si="7"/>
        <v>137</v>
      </c>
      <c r="B146" s="1" t="s">
        <v>147</v>
      </c>
      <c r="C146" s="4">
        <v>0.35556712962963111</v>
      </c>
      <c r="D146" s="4">
        <v>0.35572916666666815</v>
      </c>
      <c r="E146" s="2">
        <v>13.299999999999999</v>
      </c>
      <c r="F146" s="2">
        <v>13.419999999999998</v>
      </c>
      <c r="G146" s="1" t="s">
        <v>26</v>
      </c>
      <c r="H146" s="4">
        <f t="shared" si="8"/>
        <v>1.6203703703704386E-4</v>
      </c>
      <c r="J146">
        <v>390.70001220703125</v>
      </c>
      <c r="K146" s="3">
        <v>390.70001220703125</v>
      </c>
      <c r="L146" s="3">
        <v>395.5</v>
      </c>
      <c r="M146" s="3">
        <v>395.5</v>
      </c>
      <c r="N146" s="3">
        <v>395.60000610351563</v>
      </c>
      <c r="O146" s="3">
        <v>395.60000610351563</v>
      </c>
      <c r="P146" s="3">
        <v>395.70001220703125</v>
      </c>
      <c r="Q146" s="3">
        <v>395.70001220703125</v>
      </c>
      <c r="R146" s="3">
        <v>395.5</v>
      </c>
      <c r="S146" s="3">
        <v>395.5</v>
      </c>
      <c r="T146" s="3"/>
      <c r="U146" s="3">
        <v>395.39999389648438</v>
      </c>
      <c r="V146" s="3">
        <v>395.39999389648438</v>
      </c>
      <c r="W146" s="3">
        <v>392.20001220703125</v>
      </c>
      <c r="X146" s="3">
        <v>392.20001220703125</v>
      </c>
      <c r="Y146" s="3">
        <v>392.10000610351563</v>
      </c>
      <c r="Z146" s="3">
        <v>392.10000610351563</v>
      </c>
      <c r="AA146" s="3">
        <v>391.29998779296875</v>
      </c>
      <c r="AB146" s="3">
        <v>391.29998779296875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</row>
    <row r="147" spans="1:110" ht="14.25" customHeight="1" x14ac:dyDescent="0.3">
      <c r="A147" s="1">
        <f t="shared" si="7"/>
        <v>138</v>
      </c>
      <c r="B147" s="1" t="s">
        <v>148</v>
      </c>
      <c r="C147" s="4">
        <v>0.35599537037037188</v>
      </c>
      <c r="D147" s="4">
        <v>0.35613425925926079</v>
      </c>
      <c r="E147" s="2">
        <v>13.299999999999999</v>
      </c>
      <c r="F147" s="2">
        <v>13.309999999999999</v>
      </c>
      <c r="G147" s="1" t="s">
        <v>26</v>
      </c>
      <c r="H147" s="4">
        <f t="shared" si="8"/>
        <v>1.388888888889106E-4</v>
      </c>
      <c r="J147">
        <v>390.20001220703125</v>
      </c>
      <c r="K147" s="3">
        <v>390.20001220703125</v>
      </c>
      <c r="L147" s="3">
        <v>397.70001220703125</v>
      </c>
      <c r="M147" s="3">
        <v>397.70001220703125</v>
      </c>
      <c r="N147" s="3"/>
      <c r="O147" s="3">
        <v>399.89999389648438</v>
      </c>
      <c r="P147" s="3">
        <v>399.89999389648438</v>
      </c>
      <c r="Q147" s="3"/>
      <c r="R147" s="3">
        <v>391.39999389648438</v>
      </c>
      <c r="S147" s="3">
        <v>391.39999389648438</v>
      </c>
      <c r="T147" s="3"/>
      <c r="U147" s="3">
        <v>394.20001220703125</v>
      </c>
      <c r="V147" s="3">
        <v>394.20001220703125</v>
      </c>
      <c r="W147" s="3">
        <v>396.79998779296875</v>
      </c>
      <c r="X147" s="3">
        <v>396.79998779296875</v>
      </c>
      <c r="Y147" s="3"/>
      <c r="Z147" s="3">
        <v>399.10000610351563</v>
      </c>
      <c r="AA147" s="3">
        <v>394.39999389648438</v>
      </c>
      <c r="AB147" s="3">
        <v>394.39999389648438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</row>
    <row r="148" spans="1:110" ht="14.25" customHeight="1" x14ac:dyDescent="0.3">
      <c r="A148" s="1">
        <f t="shared" si="7"/>
        <v>139</v>
      </c>
      <c r="B148" s="1" t="s">
        <v>149</v>
      </c>
      <c r="C148" s="4">
        <v>0.35640046296296451</v>
      </c>
      <c r="D148" s="4">
        <v>0.35655092592592746</v>
      </c>
      <c r="E148" s="2">
        <v>13.299999999999999</v>
      </c>
      <c r="F148" s="2">
        <v>13.419999999999998</v>
      </c>
      <c r="G148" s="1" t="s">
        <v>26</v>
      </c>
      <c r="H148" s="4">
        <f t="shared" si="8"/>
        <v>1.5046296296294948E-4</v>
      </c>
      <c r="J148">
        <v>390.89999389648438</v>
      </c>
      <c r="K148" s="3">
        <v>394.10000610351563</v>
      </c>
      <c r="L148" s="3">
        <v>394.10000610351563</v>
      </c>
      <c r="M148" s="3"/>
      <c r="N148" s="3">
        <v>396.39999389648438</v>
      </c>
      <c r="O148" s="3">
        <v>396.39999389648438</v>
      </c>
      <c r="P148" s="3">
        <v>396.39999389648438</v>
      </c>
      <c r="Q148" s="3">
        <v>396.39999389648438</v>
      </c>
      <c r="R148" s="3"/>
      <c r="S148" s="3">
        <v>396.10000610351563</v>
      </c>
      <c r="T148" s="3">
        <v>396.10000610351563</v>
      </c>
      <c r="U148" s="3">
        <v>396.20001220703125</v>
      </c>
      <c r="V148" s="3">
        <v>396.20001220703125</v>
      </c>
      <c r="W148" s="3">
        <v>395.89999389648438</v>
      </c>
      <c r="X148" s="3">
        <v>395.89999389648438</v>
      </c>
      <c r="Y148" s="3">
        <v>392.89999389648438</v>
      </c>
      <c r="Z148" s="3">
        <v>392.89999389648438</v>
      </c>
      <c r="AA148" s="3">
        <v>392.5</v>
      </c>
      <c r="AB148" s="3">
        <v>392.5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</row>
    <row r="149" spans="1:110" ht="14.25" customHeight="1" x14ac:dyDescent="0.3">
      <c r="A149" s="1">
        <f t="shared" si="7"/>
        <v>140</v>
      </c>
      <c r="B149" s="1" t="s">
        <v>150</v>
      </c>
      <c r="C149" s="4">
        <v>0.356793981481483</v>
      </c>
      <c r="D149" s="4">
        <v>0.35696759259259414</v>
      </c>
      <c r="E149" s="2">
        <v>13.299999999999999</v>
      </c>
      <c r="F149" s="2">
        <v>13.36</v>
      </c>
      <c r="G149" s="1" t="s">
        <v>26</v>
      </c>
      <c r="H149" s="4">
        <f t="shared" si="8"/>
        <v>1.7361111111113825E-4</v>
      </c>
      <c r="J149">
        <v>390.70001220703125</v>
      </c>
      <c r="K149" s="3">
        <v>390.70001220703125</v>
      </c>
      <c r="L149" s="3">
        <v>396.79998779296875</v>
      </c>
      <c r="M149" s="3">
        <v>396.79998779296875</v>
      </c>
      <c r="N149" s="3">
        <v>399.89999389648438</v>
      </c>
      <c r="O149" s="3">
        <v>399.89999389648438</v>
      </c>
      <c r="P149" s="3">
        <v>398.29998779296875</v>
      </c>
      <c r="Q149" s="3">
        <v>398.29998779296875</v>
      </c>
      <c r="R149" s="3">
        <v>398.20001220703125</v>
      </c>
      <c r="S149" s="3">
        <v>398.20001220703125</v>
      </c>
      <c r="T149" s="3"/>
      <c r="U149" s="3">
        <v>398.10000610351563</v>
      </c>
      <c r="V149" s="3">
        <v>394.89999389648438</v>
      </c>
      <c r="W149" s="3">
        <v>394.89999389648438</v>
      </c>
      <c r="X149" s="3">
        <v>394.60000610351563</v>
      </c>
      <c r="Y149" s="3">
        <v>394.60000610351563</v>
      </c>
      <c r="Z149" s="3"/>
      <c r="AA149" s="3">
        <v>394.20001220703125</v>
      </c>
      <c r="AB149" s="3">
        <v>394.20001220703125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</row>
    <row r="150" spans="1:110" ht="14.25" customHeight="1" x14ac:dyDescent="0.3">
      <c r="A150" s="1">
        <f t="shared" si="7"/>
        <v>141</v>
      </c>
      <c r="B150" s="1" t="s">
        <v>151</v>
      </c>
      <c r="C150" s="4">
        <v>0.35719907407407564</v>
      </c>
      <c r="D150" s="4">
        <v>0.35734953703703859</v>
      </c>
      <c r="E150" s="2">
        <v>13.299999999999999</v>
      </c>
      <c r="F150" s="2">
        <v>13.409999999999998</v>
      </c>
      <c r="G150" s="1" t="s">
        <v>26</v>
      </c>
      <c r="H150" s="4">
        <f t="shared" si="8"/>
        <v>1.5046296296294948E-4</v>
      </c>
      <c r="J150">
        <v>390.20001220703125</v>
      </c>
      <c r="K150" s="3">
        <v>390.20001220703125</v>
      </c>
      <c r="L150" s="3">
        <v>391</v>
      </c>
      <c r="M150" s="3">
        <v>391</v>
      </c>
      <c r="N150" s="3"/>
      <c r="O150" s="3">
        <v>394.5</v>
      </c>
      <c r="P150" s="3">
        <v>394.5</v>
      </c>
      <c r="Q150" s="3"/>
      <c r="R150" s="3">
        <v>397.39999389648438</v>
      </c>
      <c r="S150" s="3">
        <v>397.39999389648438</v>
      </c>
      <c r="T150" s="3"/>
      <c r="U150" s="3">
        <v>399.89999389648438</v>
      </c>
      <c r="V150" s="3">
        <v>399.89999389648438</v>
      </c>
      <c r="W150" s="3"/>
      <c r="X150" s="3">
        <v>391.10000610351563</v>
      </c>
      <c r="Y150" s="3">
        <v>391.10000610351563</v>
      </c>
      <c r="Z150" s="3"/>
      <c r="AA150" s="3">
        <v>393.5</v>
      </c>
      <c r="AB150" s="3">
        <v>393.5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</row>
    <row r="151" spans="1:110" ht="14.25" customHeight="1" x14ac:dyDescent="0.3">
      <c r="A151" s="1">
        <f t="shared" si="7"/>
        <v>142</v>
      </c>
      <c r="B151" s="1" t="s">
        <v>259</v>
      </c>
      <c r="C151" s="4">
        <v>0.35760416666666822</v>
      </c>
      <c r="D151" s="4">
        <v>0.35776620370370527</v>
      </c>
      <c r="E151" s="2">
        <v>13.299999999999999</v>
      </c>
      <c r="F151" s="2">
        <v>13.44</v>
      </c>
      <c r="G151" s="1" t="s">
        <v>26</v>
      </c>
      <c r="H151" s="4">
        <f t="shared" si="8"/>
        <v>1.6203703703704386E-4</v>
      </c>
      <c r="J151">
        <v>390.20001220703125</v>
      </c>
      <c r="K151" s="3">
        <v>395.10000610351563</v>
      </c>
      <c r="L151" s="3">
        <v>395.10000610351563</v>
      </c>
      <c r="M151" s="3">
        <v>399.10000610351563</v>
      </c>
      <c r="N151" s="3">
        <v>399.10000610351563</v>
      </c>
      <c r="O151" s="3"/>
      <c r="P151" s="3">
        <v>399.60000610351563</v>
      </c>
      <c r="Q151" s="3">
        <v>399.60000610351563</v>
      </c>
      <c r="R151" s="3"/>
      <c r="S151" s="3">
        <v>393.29998779296875</v>
      </c>
      <c r="T151" s="3">
        <v>390.29998779296875</v>
      </c>
      <c r="U151" s="3"/>
      <c r="V151" s="3">
        <v>393.20001220703125</v>
      </c>
      <c r="W151" s="3">
        <v>393.20001220703125</v>
      </c>
      <c r="X151" s="3">
        <v>393</v>
      </c>
      <c r="Y151" s="3">
        <v>393</v>
      </c>
      <c r="Z151" s="3">
        <v>390.10000610351563</v>
      </c>
      <c r="AA151" s="3">
        <v>390.10000610351563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</row>
    <row r="152" spans="1:110" ht="14.25" customHeight="1" x14ac:dyDescent="0.3">
      <c r="A152" s="1">
        <f t="shared" si="7"/>
        <v>143</v>
      </c>
      <c r="B152" s="1" t="s">
        <v>260</v>
      </c>
      <c r="C152" s="4">
        <v>0.3580092592592608</v>
      </c>
      <c r="D152" s="4">
        <v>0.35818287037037194</v>
      </c>
      <c r="E152" s="2">
        <v>13.299999999999999</v>
      </c>
      <c r="F152" s="2">
        <v>13.339999999999998</v>
      </c>
      <c r="G152" s="1" t="s">
        <v>26</v>
      </c>
      <c r="H152" s="4">
        <f t="shared" si="8"/>
        <v>1.7361111111113825E-4</v>
      </c>
      <c r="J152">
        <v>390.20001220703125</v>
      </c>
      <c r="K152" s="3">
        <v>390.20001220703125</v>
      </c>
      <c r="L152" s="3">
        <v>393.60000610351563</v>
      </c>
      <c r="M152" s="3">
        <v>391.79998779296875</v>
      </c>
      <c r="N152" s="3">
        <v>391.79998779296875</v>
      </c>
      <c r="O152" s="3"/>
      <c r="P152" s="3"/>
      <c r="Q152" s="3">
        <v>397.79998779296875</v>
      </c>
      <c r="R152" s="3">
        <v>397.79998779296875</v>
      </c>
      <c r="S152" s="3">
        <v>397.79998779296875</v>
      </c>
      <c r="T152" s="3">
        <v>394.79998779296875</v>
      </c>
      <c r="U152" s="3">
        <v>394.60000610351563</v>
      </c>
      <c r="V152" s="3">
        <v>394.60000610351563</v>
      </c>
      <c r="W152" s="3">
        <v>391.5</v>
      </c>
      <c r="X152" s="3">
        <v>391.5</v>
      </c>
      <c r="Y152" s="3">
        <v>391.39999389648438</v>
      </c>
      <c r="Z152" s="3">
        <v>391.39999389648438</v>
      </c>
      <c r="AA152" s="3">
        <v>391.10000610351563</v>
      </c>
      <c r="AB152" s="3">
        <v>391.10000610351563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</row>
    <row r="153" spans="1:110" ht="14.25" customHeight="1" x14ac:dyDescent="0.3">
      <c r="A153" s="1">
        <f t="shared" si="7"/>
        <v>144</v>
      </c>
      <c r="B153" s="1" t="s">
        <v>152</v>
      </c>
      <c r="C153" s="4">
        <v>0.35842592592592748</v>
      </c>
      <c r="D153" s="4">
        <v>0.35858796296296452</v>
      </c>
      <c r="E153" s="2">
        <v>13.299999999999999</v>
      </c>
      <c r="F153" s="2">
        <v>13.309999999999999</v>
      </c>
      <c r="G153" s="1" t="s">
        <v>26</v>
      </c>
      <c r="H153" s="4">
        <f t="shared" si="8"/>
        <v>1.6203703703704386E-4</v>
      </c>
      <c r="J153">
        <v>390.79998779296875</v>
      </c>
      <c r="K153" s="3">
        <v>390.89999389648438</v>
      </c>
      <c r="L153" s="3">
        <v>393.10000610351563</v>
      </c>
      <c r="M153" s="3">
        <v>393.10000610351563</v>
      </c>
      <c r="N153" s="3">
        <v>393.89999389648438</v>
      </c>
      <c r="O153" s="3">
        <v>393.89999389648438</v>
      </c>
      <c r="P153" s="3">
        <v>390.70001220703125</v>
      </c>
      <c r="Q153" s="3">
        <v>390.70001220703125</v>
      </c>
      <c r="R153" s="3">
        <v>390.70001220703125</v>
      </c>
      <c r="S153" s="3">
        <v>390.70001220703125</v>
      </c>
      <c r="T153" s="3"/>
      <c r="U153" s="3">
        <v>390.70001220703125</v>
      </c>
      <c r="V153" s="3">
        <v>390.70001220703125</v>
      </c>
      <c r="W153" s="3">
        <v>399.20001220703125</v>
      </c>
      <c r="X153" s="3">
        <v>399.20001220703125</v>
      </c>
      <c r="Y153" s="3">
        <v>398.70001220703125</v>
      </c>
      <c r="Z153" s="3">
        <v>398.70001220703125</v>
      </c>
      <c r="AA153" s="3">
        <v>390.20001220703125</v>
      </c>
      <c r="AB153" s="3">
        <v>390.20001220703125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</row>
    <row r="154" spans="1:110" ht="14.25" customHeight="1" x14ac:dyDescent="0.3">
      <c r="A154" s="1">
        <f t="shared" si="7"/>
        <v>145</v>
      </c>
      <c r="B154" s="1" t="s">
        <v>153</v>
      </c>
      <c r="C154" s="4">
        <v>0.35885416666666825</v>
      </c>
      <c r="D154" s="4">
        <v>0.35902777777777939</v>
      </c>
      <c r="E154" s="2">
        <v>13.299999999999999</v>
      </c>
      <c r="F154" s="2">
        <v>13.399999999999999</v>
      </c>
      <c r="G154" s="1" t="s">
        <v>26</v>
      </c>
      <c r="H154" s="4">
        <f t="shared" si="8"/>
        <v>1.7361111111113825E-4</v>
      </c>
      <c r="J154">
        <v>391.10000610351563</v>
      </c>
      <c r="K154" s="3">
        <v>392.10000610351563</v>
      </c>
      <c r="L154" s="3">
        <v>392.10000610351563</v>
      </c>
      <c r="M154" s="3"/>
      <c r="N154" s="3">
        <v>395.89999389648438</v>
      </c>
      <c r="O154" s="3">
        <v>395.89999389648438</v>
      </c>
      <c r="P154" s="3">
        <v>395.79998779296875</v>
      </c>
      <c r="Q154" s="3">
        <v>395.79998779296875</v>
      </c>
      <c r="R154" s="3">
        <v>392.89999389648438</v>
      </c>
      <c r="S154" s="3">
        <v>392.89999389648438</v>
      </c>
      <c r="T154" s="3">
        <v>392.70001220703125</v>
      </c>
      <c r="U154" s="3">
        <v>392.70001220703125</v>
      </c>
      <c r="V154" s="3"/>
      <c r="W154" s="3">
        <v>395.20001220703125</v>
      </c>
      <c r="X154" s="3">
        <v>395.20001220703125</v>
      </c>
      <c r="Y154" s="3">
        <v>392.39999389648438</v>
      </c>
      <c r="Z154" s="3">
        <v>392.39999389648438</v>
      </c>
      <c r="AA154" s="3">
        <v>392.20001220703125</v>
      </c>
      <c r="AB154" s="3">
        <v>392.20001220703125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</row>
    <row r="155" spans="1:110" ht="14.25" customHeight="1" x14ac:dyDescent="0.3">
      <c r="A155" s="1">
        <f t="shared" si="7"/>
        <v>146</v>
      </c>
      <c r="B155" s="1" t="s">
        <v>154</v>
      </c>
      <c r="C155" s="4">
        <v>0.35925925925926089</v>
      </c>
      <c r="D155" s="4">
        <v>0.35940972222222384</v>
      </c>
      <c r="E155" s="2">
        <v>13.299999999999999</v>
      </c>
      <c r="F155" s="2">
        <v>13.309999999999999</v>
      </c>
      <c r="G155" s="1" t="s">
        <v>26</v>
      </c>
      <c r="H155" s="4">
        <f t="shared" si="8"/>
        <v>1.5046296296294948E-4</v>
      </c>
      <c r="J155">
        <v>390.10000610351563</v>
      </c>
      <c r="K155" s="3">
        <v>391.10000610351563</v>
      </c>
      <c r="L155" s="3">
        <v>398</v>
      </c>
      <c r="M155" s="3">
        <v>398</v>
      </c>
      <c r="N155" s="3"/>
      <c r="O155" s="3">
        <v>399.89999389648438</v>
      </c>
      <c r="P155" s="3">
        <v>399.89999389648438</v>
      </c>
      <c r="Q155" s="3">
        <v>390.10000610351563</v>
      </c>
      <c r="R155" s="3">
        <v>391.70001220703125</v>
      </c>
      <c r="S155" s="3">
        <v>391.70001220703125</v>
      </c>
      <c r="T155" s="3"/>
      <c r="U155" s="3"/>
      <c r="V155" s="3"/>
      <c r="W155" s="3"/>
      <c r="X155" s="3"/>
      <c r="Y155" s="3">
        <v>391.79998779296875</v>
      </c>
      <c r="Z155" s="3">
        <v>391.79998779296875</v>
      </c>
      <c r="AA155" s="3">
        <v>394.10000610351563</v>
      </c>
      <c r="AB155" s="3">
        <v>391.70001220703125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</row>
    <row r="156" spans="1:110" ht="14.25" customHeight="1" x14ac:dyDescent="0.3">
      <c r="A156" s="1">
        <f t="shared" si="7"/>
        <v>147</v>
      </c>
      <c r="B156" s="1" t="s">
        <v>155</v>
      </c>
      <c r="C156" s="4">
        <v>0.35967592592592756</v>
      </c>
      <c r="D156" s="4">
        <v>0.35982638888889051</v>
      </c>
      <c r="E156" s="2">
        <v>13.299999999999999</v>
      </c>
      <c r="F156" s="2">
        <v>13.409999999999998</v>
      </c>
      <c r="G156" s="1" t="s">
        <v>26</v>
      </c>
      <c r="H156" s="4">
        <f t="shared" si="8"/>
        <v>1.5046296296294948E-4</v>
      </c>
      <c r="J156">
        <v>390.29998779296875</v>
      </c>
      <c r="K156" s="3">
        <v>393.89999389648438</v>
      </c>
      <c r="L156" s="3">
        <v>393.89999389648438</v>
      </c>
      <c r="M156" s="3"/>
      <c r="N156" s="3">
        <v>397.5</v>
      </c>
      <c r="O156" s="3">
        <v>394.29998779296875</v>
      </c>
      <c r="P156" s="3">
        <v>394.29998779296875</v>
      </c>
      <c r="Q156" s="3"/>
      <c r="R156" s="3">
        <v>394.29998779296875</v>
      </c>
      <c r="S156" s="3">
        <v>394.29998779296875</v>
      </c>
      <c r="T156" s="3">
        <v>394.20001220703125</v>
      </c>
      <c r="U156" s="3">
        <v>394.20001220703125</v>
      </c>
      <c r="V156" s="3"/>
      <c r="W156" s="3"/>
      <c r="X156" s="3">
        <v>391</v>
      </c>
      <c r="Y156" s="3">
        <v>391</v>
      </c>
      <c r="Z156" s="3"/>
      <c r="AA156" s="3">
        <v>394.79998779296875</v>
      </c>
      <c r="AB156" s="3">
        <v>394.79998779296875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</row>
    <row r="157" spans="1:110" ht="14.25" customHeight="1" x14ac:dyDescent="0.3">
      <c r="A157" s="1">
        <f t="shared" si="7"/>
        <v>148</v>
      </c>
      <c r="B157" s="1" t="s">
        <v>156</v>
      </c>
      <c r="C157" s="4">
        <v>0.36010416666666828</v>
      </c>
      <c r="D157" s="4">
        <v>0.36024305555555719</v>
      </c>
      <c r="E157" s="2">
        <v>13.299999999999999</v>
      </c>
      <c r="F157" s="2">
        <v>13.329999999999998</v>
      </c>
      <c r="G157" s="1" t="s">
        <v>26</v>
      </c>
      <c r="H157" s="4">
        <f t="shared" si="8"/>
        <v>1.388888888889106E-4</v>
      </c>
      <c r="J157">
        <v>390.29998779296875</v>
      </c>
      <c r="K157" s="3">
        <v>391.5</v>
      </c>
      <c r="L157" s="3">
        <v>391.5</v>
      </c>
      <c r="M157" s="3">
        <v>393.29998779296875</v>
      </c>
      <c r="N157" s="3">
        <v>393.29998779296875</v>
      </c>
      <c r="O157" s="3"/>
      <c r="P157" s="3">
        <v>393.29998779296875</v>
      </c>
      <c r="Q157" s="3">
        <v>390.10000610351563</v>
      </c>
      <c r="R157" s="3">
        <v>390.10000610351563</v>
      </c>
      <c r="S157" s="3"/>
      <c r="T157" s="3">
        <v>390.10000610351563</v>
      </c>
      <c r="U157" s="3">
        <v>390.10000610351563</v>
      </c>
      <c r="V157" s="3"/>
      <c r="W157" s="3">
        <v>392.89999389648438</v>
      </c>
      <c r="X157" s="3">
        <v>392.89999389648438</v>
      </c>
      <c r="Y157" s="3">
        <v>392.79998779296875</v>
      </c>
      <c r="Z157" s="3">
        <v>392.79998779296875</v>
      </c>
      <c r="AA157" s="3">
        <v>392.39999389648438</v>
      </c>
      <c r="AB157" s="3">
        <v>392.39999389648438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</row>
    <row r="158" spans="1:110" ht="14.25" customHeight="1" x14ac:dyDescent="0.3">
      <c r="A158" s="1">
        <f t="shared" si="7"/>
        <v>149</v>
      </c>
      <c r="B158" s="1" t="s">
        <v>157</v>
      </c>
      <c r="C158" s="4">
        <v>0.36048611111111273</v>
      </c>
      <c r="D158" s="4">
        <v>0.36063657407407568</v>
      </c>
      <c r="E158" s="2">
        <v>13.299999999999999</v>
      </c>
      <c r="F158" s="2">
        <v>13.35</v>
      </c>
      <c r="G158" s="1" t="s">
        <v>26</v>
      </c>
      <c r="H158" s="4">
        <f t="shared" si="8"/>
        <v>1.5046296296294948E-4</v>
      </c>
      <c r="J158">
        <v>390.60000610351563</v>
      </c>
      <c r="K158" s="3">
        <v>390.89999389648438</v>
      </c>
      <c r="L158" s="3">
        <v>390.89999389648438</v>
      </c>
      <c r="M158" s="3">
        <v>392.10000610351563</v>
      </c>
      <c r="N158" s="3">
        <v>392.10000610351563</v>
      </c>
      <c r="O158" s="3">
        <v>392</v>
      </c>
      <c r="P158" s="3">
        <v>392</v>
      </c>
      <c r="Q158" s="3">
        <v>399.89999389648438</v>
      </c>
      <c r="R158" s="3">
        <v>399.89999389648438</v>
      </c>
      <c r="S158" s="3">
        <v>399.89999389648438</v>
      </c>
      <c r="T158" s="3">
        <v>399.89999389648438</v>
      </c>
      <c r="U158" s="3"/>
      <c r="V158" s="3">
        <v>399.89999389648438</v>
      </c>
      <c r="W158" s="3">
        <v>399.89999389648438</v>
      </c>
      <c r="X158" s="3"/>
      <c r="Y158" s="3">
        <v>394.5</v>
      </c>
      <c r="Z158" s="3">
        <v>394.5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</row>
    <row r="159" spans="1:110" ht="14.25" customHeight="1" x14ac:dyDescent="0.3">
      <c r="A159" s="1">
        <f t="shared" si="7"/>
        <v>150</v>
      </c>
      <c r="B159" s="1" t="s">
        <v>158</v>
      </c>
      <c r="C159" s="4">
        <v>0.36091435185185344</v>
      </c>
      <c r="D159" s="4">
        <v>0.36108796296296458</v>
      </c>
      <c r="E159" s="2">
        <v>13.299999999999999</v>
      </c>
      <c r="F159" s="2">
        <v>13.309999999999999</v>
      </c>
      <c r="G159" s="1" t="s">
        <v>26</v>
      </c>
      <c r="H159" s="4">
        <f t="shared" si="8"/>
        <v>1.7361111111113825E-4</v>
      </c>
      <c r="J159">
        <v>391.10000610351563</v>
      </c>
      <c r="K159" s="3">
        <v>391.10000610351563</v>
      </c>
      <c r="L159" s="3">
        <v>395.60000610351563</v>
      </c>
      <c r="M159" s="3">
        <v>395.60000610351563</v>
      </c>
      <c r="N159" s="3">
        <v>393.29998779296875</v>
      </c>
      <c r="O159" s="3">
        <v>393.29998779296875</v>
      </c>
      <c r="P159" s="3">
        <v>390.20001220703125</v>
      </c>
      <c r="Q159" s="3">
        <v>390.20001220703125</v>
      </c>
      <c r="R159" s="3">
        <v>390.29998779296875</v>
      </c>
      <c r="S159" s="3">
        <v>390.29998779296875</v>
      </c>
      <c r="T159" s="3"/>
      <c r="U159" s="3">
        <v>390.10000610351563</v>
      </c>
      <c r="V159" s="3">
        <v>390.10000610351563</v>
      </c>
      <c r="W159" s="3">
        <v>399</v>
      </c>
      <c r="X159" s="3">
        <v>399</v>
      </c>
      <c r="Y159" s="3"/>
      <c r="Z159" s="3"/>
      <c r="AA159" s="3">
        <v>398.10000610351563</v>
      </c>
      <c r="AB159" s="3">
        <v>398.10000610351563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</row>
    <row r="160" spans="1:110" ht="14.25" customHeight="1" x14ac:dyDescent="0.3">
      <c r="A160" s="1">
        <f t="shared" si="7"/>
        <v>151</v>
      </c>
      <c r="B160" s="1" t="s">
        <v>159</v>
      </c>
      <c r="C160" s="4">
        <v>0.36137731481481644</v>
      </c>
      <c r="D160" s="4">
        <v>0.36151620370370535</v>
      </c>
      <c r="E160" s="2">
        <v>13.299999999999999</v>
      </c>
      <c r="F160" s="2">
        <v>13.329999999999998</v>
      </c>
      <c r="G160" s="1" t="s">
        <v>26</v>
      </c>
      <c r="H160" s="4">
        <f t="shared" si="8"/>
        <v>1.388888888889106E-4</v>
      </c>
      <c r="J160">
        <v>390.89999389648438</v>
      </c>
      <c r="K160" s="3">
        <v>390.89999389648438</v>
      </c>
      <c r="L160" s="3">
        <v>394.29998779296875</v>
      </c>
      <c r="M160" s="3">
        <v>394.29998779296875</v>
      </c>
      <c r="N160" s="3">
        <v>392.20001220703125</v>
      </c>
      <c r="O160" s="3">
        <v>392.20001220703125</v>
      </c>
      <c r="P160" s="3">
        <v>392</v>
      </c>
      <c r="Q160" s="3">
        <v>392</v>
      </c>
      <c r="R160" s="3">
        <v>392.10000610351563</v>
      </c>
      <c r="S160" s="3">
        <v>392.10000610351563</v>
      </c>
      <c r="T160" s="3">
        <v>399.89999389648438</v>
      </c>
      <c r="U160" s="3">
        <v>399.89999389648438</v>
      </c>
      <c r="V160" s="3"/>
      <c r="W160" s="3">
        <v>399.89999389648438</v>
      </c>
      <c r="X160" s="3">
        <v>397.39999389648438</v>
      </c>
      <c r="Y160" s="3">
        <v>397.39999389648438</v>
      </c>
      <c r="Z160" s="3">
        <v>397</v>
      </c>
      <c r="AA160" s="3">
        <v>391.5</v>
      </c>
      <c r="AB160" s="3">
        <v>391.70001220703125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</row>
    <row r="161" spans="1:110" ht="14.25" customHeight="1" x14ac:dyDescent="0.3">
      <c r="A161" s="1">
        <f t="shared" si="7"/>
        <v>152</v>
      </c>
      <c r="B161" s="1" t="s">
        <v>160</v>
      </c>
      <c r="C161" s="4">
        <v>0.36178240740740908</v>
      </c>
      <c r="D161" s="4">
        <v>0.36195601851852022</v>
      </c>
      <c r="E161" s="2">
        <v>13.299999999999999</v>
      </c>
      <c r="F161" s="2">
        <v>13.379999999999999</v>
      </c>
      <c r="G161" s="1" t="s">
        <v>26</v>
      </c>
      <c r="H161" s="4">
        <f t="shared" si="8"/>
        <v>1.7361111111113825E-4</v>
      </c>
      <c r="J161">
        <v>390.79998779296875</v>
      </c>
      <c r="K161" s="3">
        <v>390.79998779296875</v>
      </c>
      <c r="L161" s="3">
        <v>398.60000610351563</v>
      </c>
      <c r="M161" s="3">
        <v>398.60000610351563</v>
      </c>
      <c r="N161" s="3"/>
      <c r="O161" s="3">
        <v>391.20001220703125</v>
      </c>
      <c r="P161" s="3">
        <v>391.20001220703125</v>
      </c>
      <c r="Q161" s="3"/>
      <c r="R161" s="3">
        <v>391.20001220703125</v>
      </c>
      <c r="S161" s="3">
        <v>399.89999389648438</v>
      </c>
      <c r="T161" s="3">
        <v>399.89999389648438</v>
      </c>
      <c r="U161" s="3"/>
      <c r="V161" s="3">
        <v>399.89999389648438</v>
      </c>
      <c r="W161" s="3">
        <v>399.89999389648438</v>
      </c>
      <c r="X161" s="3">
        <v>399.79998779296875</v>
      </c>
      <c r="Y161" s="3">
        <v>399.79998779296875</v>
      </c>
      <c r="Z161" s="3">
        <v>396.60000610351563</v>
      </c>
      <c r="AA161" s="3">
        <v>392.10000610351563</v>
      </c>
      <c r="AB161" s="3">
        <v>392.10000610351563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</row>
    <row r="162" spans="1:110" ht="14.25" customHeight="1" x14ac:dyDescent="0.3">
      <c r="A162" s="1">
        <f t="shared" si="7"/>
        <v>153</v>
      </c>
      <c r="B162" s="1" t="s">
        <v>161</v>
      </c>
      <c r="C162" s="4">
        <v>0.36219907407407576</v>
      </c>
      <c r="D162" s="4">
        <v>0.3623611111111128</v>
      </c>
      <c r="E162" s="2">
        <v>13.299999999999999</v>
      </c>
      <c r="F162" s="2">
        <v>13.399999999999999</v>
      </c>
      <c r="G162" s="1" t="s">
        <v>26</v>
      </c>
      <c r="H162" s="4">
        <f t="shared" si="8"/>
        <v>1.6203703703704386E-4</v>
      </c>
      <c r="J162">
        <v>390.5</v>
      </c>
      <c r="K162" s="3">
        <v>391.60000610351563</v>
      </c>
      <c r="L162" s="3">
        <v>390.39999389648438</v>
      </c>
      <c r="M162" s="3">
        <v>390.39999389648438</v>
      </c>
      <c r="N162" s="3"/>
      <c r="O162" s="3">
        <v>390.20001220703125</v>
      </c>
      <c r="P162" s="3">
        <v>390.20001220703125</v>
      </c>
      <c r="Q162" s="3">
        <v>390.20001220703125</v>
      </c>
      <c r="R162" s="3">
        <v>390.20001220703125</v>
      </c>
      <c r="S162" s="3">
        <v>399.39999389648438</v>
      </c>
      <c r="T162" s="3">
        <v>399.39999389648438</v>
      </c>
      <c r="U162" s="3"/>
      <c r="V162" s="3">
        <v>399</v>
      </c>
      <c r="W162" s="3">
        <v>395.79998779296875</v>
      </c>
      <c r="X162" s="3">
        <v>395.79998779296875</v>
      </c>
      <c r="Y162" s="3"/>
      <c r="Z162" s="3">
        <v>395.79998779296875</v>
      </c>
      <c r="AA162" s="3">
        <v>394.10000610351563</v>
      </c>
      <c r="AB162" s="3">
        <v>392.60000610351563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</row>
    <row r="163" spans="1:110" ht="14.25" customHeight="1" x14ac:dyDescent="0.3">
      <c r="A163" s="1">
        <f t="shared" si="7"/>
        <v>154</v>
      </c>
      <c r="B163" s="1" t="s">
        <v>162</v>
      </c>
      <c r="C163" s="4">
        <v>0.36265046296296466</v>
      </c>
      <c r="D163" s="4">
        <v>0.36280092592592761</v>
      </c>
      <c r="E163" s="2">
        <v>13.299999999999999</v>
      </c>
      <c r="F163" s="2">
        <v>13.44</v>
      </c>
      <c r="G163" s="1" t="s">
        <v>26</v>
      </c>
      <c r="H163" s="4">
        <f t="shared" si="8"/>
        <v>1.5046296296294948E-4</v>
      </c>
      <c r="J163">
        <v>394.10000610351563</v>
      </c>
      <c r="K163" s="3">
        <v>392.89999389648438</v>
      </c>
      <c r="L163" s="3">
        <v>392.89999389648438</v>
      </c>
      <c r="M163" s="3">
        <v>394.39999389648438</v>
      </c>
      <c r="N163" s="3">
        <v>392.10000610351563</v>
      </c>
      <c r="O163" s="3">
        <v>392.10000610351563</v>
      </c>
      <c r="P163" s="3"/>
      <c r="Q163" s="3">
        <v>392.10000610351563</v>
      </c>
      <c r="R163" s="3">
        <v>392.10000610351563</v>
      </c>
      <c r="S163" s="3">
        <v>392.10000610351563</v>
      </c>
      <c r="T163" s="3">
        <v>392.10000610351563</v>
      </c>
      <c r="U163" s="3"/>
      <c r="V163" s="3"/>
      <c r="W163" s="3"/>
      <c r="X163" s="3"/>
      <c r="Y163" s="3">
        <v>397.39999389648438</v>
      </c>
      <c r="Z163" s="3">
        <v>397.39999389648438</v>
      </c>
      <c r="AA163" s="3">
        <v>394.20001220703125</v>
      </c>
      <c r="AB163" s="3">
        <v>394.20001220703125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</row>
    <row r="164" spans="1:110" ht="14.25" customHeight="1" x14ac:dyDescent="0.3">
      <c r="A164" s="1">
        <f t="shared" si="7"/>
        <v>155</v>
      </c>
      <c r="B164" s="1" t="s">
        <v>163</v>
      </c>
      <c r="C164" s="4">
        <v>0.36303240740740911</v>
      </c>
      <c r="D164" s="4">
        <v>0.36318287037037206</v>
      </c>
      <c r="E164" s="2">
        <v>13.299999999999999</v>
      </c>
      <c r="F164" s="2">
        <v>13.35</v>
      </c>
      <c r="G164" s="1" t="s">
        <v>26</v>
      </c>
      <c r="H164" s="4">
        <f t="shared" si="8"/>
        <v>1.5046296296294948E-4</v>
      </c>
      <c r="J164">
        <v>390.70001220703125</v>
      </c>
      <c r="K164" s="3">
        <v>395.89999389648438</v>
      </c>
      <c r="L164" s="3">
        <v>395.89999389648438</v>
      </c>
      <c r="M164" s="3"/>
      <c r="N164" s="3">
        <v>399.89999389648438</v>
      </c>
      <c r="O164" s="3">
        <v>399.89999389648438</v>
      </c>
      <c r="P164" s="3">
        <v>397.5</v>
      </c>
      <c r="Q164" s="3">
        <v>397.5</v>
      </c>
      <c r="R164" s="3">
        <v>397.39999389648438</v>
      </c>
      <c r="S164" s="3">
        <v>397.39999389648438</v>
      </c>
      <c r="T164" s="3"/>
      <c r="U164" s="3">
        <v>397.5</v>
      </c>
      <c r="V164" s="3">
        <v>394.10000610351563</v>
      </c>
      <c r="W164" s="3">
        <v>394.10000610351563</v>
      </c>
      <c r="X164" s="3"/>
      <c r="Y164" s="3">
        <v>393.89999389648438</v>
      </c>
      <c r="Z164" s="3">
        <v>393.89999389648438</v>
      </c>
      <c r="AA164" s="3">
        <v>393.5</v>
      </c>
      <c r="AB164" s="3">
        <v>393.5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</row>
    <row r="165" spans="1:110" ht="14.25" customHeight="1" x14ac:dyDescent="0.3">
      <c r="A165" s="1">
        <f t="shared" si="7"/>
        <v>156</v>
      </c>
      <c r="B165" s="1" t="s">
        <v>164</v>
      </c>
      <c r="C165" s="4">
        <v>0.3634259259259276</v>
      </c>
      <c r="D165" s="4">
        <v>0.36357638888889054</v>
      </c>
      <c r="E165" s="2">
        <v>13.299999999999999</v>
      </c>
      <c r="F165" s="2">
        <v>13.36</v>
      </c>
      <c r="G165" s="1" t="s">
        <v>26</v>
      </c>
      <c r="H165" s="4">
        <f t="shared" si="8"/>
        <v>1.5046296296294948E-4</v>
      </c>
      <c r="J165">
        <v>390.29998779296875</v>
      </c>
      <c r="K165" s="3">
        <v>390.60000610351563</v>
      </c>
      <c r="L165" s="3">
        <v>393</v>
      </c>
      <c r="M165" s="3">
        <v>393</v>
      </c>
      <c r="N165" s="3">
        <v>390.20001220703125</v>
      </c>
      <c r="O165" s="3">
        <v>390.20001220703125</v>
      </c>
      <c r="P165" s="3"/>
      <c r="Q165" s="3">
        <v>390.10000610351563</v>
      </c>
      <c r="R165" s="3">
        <v>390.10000610351563</v>
      </c>
      <c r="S165" s="3">
        <v>390.10000610351563</v>
      </c>
      <c r="T165" s="3">
        <v>390.10000610351563</v>
      </c>
      <c r="U165" s="3">
        <v>399.29998779296875</v>
      </c>
      <c r="V165" s="3">
        <v>399.29998779296875</v>
      </c>
      <c r="W165" s="3">
        <v>398.70001220703125</v>
      </c>
      <c r="X165" s="3">
        <v>398.70001220703125</v>
      </c>
      <c r="Y165" s="3">
        <v>395.60000610351563</v>
      </c>
      <c r="Z165" s="3">
        <v>395.60000610351563</v>
      </c>
      <c r="AA165" s="3">
        <v>395</v>
      </c>
      <c r="AB165" s="3">
        <v>395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</row>
    <row r="166" spans="1:110" ht="14.25" customHeight="1" x14ac:dyDescent="0.3">
      <c r="A166" s="1">
        <f t="shared" si="7"/>
        <v>157</v>
      </c>
      <c r="B166" s="1" t="s">
        <v>165</v>
      </c>
      <c r="C166" s="4">
        <v>0.36380787037037204</v>
      </c>
      <c r="D166" s="4">
        <v>0.36396990740740909</v>
      </c>
      <c r="E166" s="2">
        <v>13.299999999999999</v>
      </c>
      <c r="F166" s="2">
        <v>13.43</v>
      </c>
      <c r="G166" s="1" t="s">
        <v>26</v>
      </c>
      <c r="H166" s="4">
        <f t="shared" si="8"/>
        <v>1.6203703703704386E-4</v>
      </c>
      <c r="J166">
        <v>390.10000610351563</v>
      </c>
      <c r="K166" s="3">
        <v>394.20001220703125</v>
      </c>
      <c r="L166" s="3">
        <v>394.20001220703125</v>
      </c>
      <c r="M166" s="3">
        <v>399.79998779296875</v>
      </c>
      <c r="N166" s="3">
        <v>399.79998779296875</v>
      </c>
      <c r="O166" s="3"/>
      <c r="P166" s="3">
        <v>392.20001220703125</v>
      </c>
      <c r="Q166" s="3">
        <v>392.20001220703125</v>
      </c>
      <c r="R166" s="3"/>
      <c r="S166" s="3">
        <v>392.10000610351563</v>
      </c>
      <c r="T166" s="3">
        <v>392.10000610351563</v>
      </c>
      <c r="U166" s="3">
        <v>391.89999389648438</v>
      </c>
      <c r="V166" s="3">
        <v>391.89999389648438</v>
      </c>
      <c r="W166" s="3"/>
      <c r="X166" s="3"/>
      <c r="Y166" s="3"/>
      <c r="Z166" s="3">
        <v>391.70001220703125</v>
      </c>
      <c r="AA166" s="3">
        <v>399.29998779296875</v>
      </c>
      <c r="AB166" s="3">
        <v>399.29998779296875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</row>
    <row r="167" spans="1:110" ht="14.25" customHeight="1" x14ac:dyDescent="0.3">
      <c r="A167" s="1">
        <f t="shared" si="7"/>
        <v>158</v>
      </c>
      <c r="B167" s="1" t="s">
        <v>166</v>
      </c>
      <c r="C167" s="4">
        <v>0.36424768518518685</v>
      </c>
      <c r="D167" s="4">
        <v>0.36438657407407576</v>
      </c>
      <c r="E167" s="2">
        <v>13.299999999999999</v>
      </c>
      <c r="F167" s="2">
        <v>13.399999999999999</v>
      </c>
      <c r="G167" s="1" t="s">
        <v>26</v>
      </c>
      <c r="H167" s="4">
        <f t="shared" si="8"/>
        <v>1.388888888889106E-4</v>
      </c>
      <c r="J167">
        <v>390.79998779296875</v>
      </c>
      <c r="K167" s="3">
        <v>390.89999389648438</v>
      </c>
      <c r="L167" s="3">
        <v>390.89999389648438</v>
      </c>
      <c r="M167" s="3">
        <v>391.20001220703125</v>
      </c>
      <c r="N167" s="3">
        <v>391.20001220703125</v>
      </c>
      <c r="O167" s="3"/>
      <c r="P167" s="3">
        <v>391.10000610351563</v>
      </c>
      <c r="Q167" s="3">
        <v>391.10000610351563</v>
      </c>
      <c r="R167" s="3">
        <v>391.20001220703125</v>
      </c>
      <c r="S167" s="3">
        <v>391.20001220703125</v>
      </c>
      <c r="T167" s="3"/>
      <c r="U167" s="3">
        <v>391</v>
      </c>
      <c r="V167" s="3">
        <v>391</v>
      </c>
      <c r="W167" s="3">
        <v>391</v>
      </c>
      <c r="X167" s="3">
        <v>391</v>
      </c>
      <c r="Y167" s="3">
        <v>390.89999389648438</v>
      </c>
      <c r="Z167" s="3">
        <v>390.89999389648438</v>
      </c>
      <c r="AA167" s="3">
        <v>390.5</v>
      </c>
      <c r="AB167" s="3">
        <v>390.5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</row>
    <row r="168" spans="1:110" ht="14.25" customHeight="1" x14ac:dyDescent="0.3">
      <c r="A168" s="1">
        <f t="shared" si="7"/>
        <v>159</v>
      </c>
      <c r="B168" s="1" t="s">
        <v>167</v>
      </c>
      <c r="C168" s="4">
        <v>0.36466435185185353</v>
      </c>
      <c r="D168" s="4">
        <v>0.36481481481481648</v>
      </c>
      <c r="E168" s="2">
        <v>13.299999999999999</v>
      </c>
      <c r="F168" s="2">
        <v>13.43</v>
      </c>
      <c r="G168" s="1" t="s">
        <v>26</v>
      </c>
      <c r="H168" s="4">
        <f t="shared" si="8"/>
        <v>1.5046296296294948E-4</v>
      </c>
      <c r="J168">
        <v>391.10000610351563</v>
      </c>
      <c r="K168" s="3">
        <v>391.10000610351563</v>
      </c>
      <c r="L168" s="3">
        <v>392.60000610351563</v>
      </c>
      <c r="M168" s="3">
        <v>399.89999389648438</v>
      </c>
      <c r="N168" s="3">
        <v>399.89999389648438</v>
      </c>
      <c r="O168" s="3"/>
      <c r="P168" s="3">
        <v>399.89999389648438</v>
      </c>
      <c r="Q168" s="3">
        <v>399.89999389648438</v>
      </c>
      <c r="R168" s="3">
        <v>399.20001220703125</v>
      </c>
      <c r="S168" s="3">
        <v>399.20001220703125</v>
      </c>
      <c r="T168" s="3">
        <v>398.89999389648438</v>
      </c>
      <c r="U168" s="3">
        <v>398.89999389648438</v>
      </c>
      <c r="V168" s="3">
        <v>395.79998779296875</v>
      </c>
      <c r="W168" s="3">
        <v>395.79998779296875</v>
      </c>
      <c r="X168" s="3">
        <v>395.39999389648438</v>
      </c>
      <c r="Y168" s="3">
        <v>395.39999389648438</v>
      </c>
      <c r="Z168" s="3">
        <v>394.79998779296875</v>
      </c>
      <c r="AA168" s="3">
        <v>390.39999389648438</v>
      </c>
      <c r="AB168" s="3">
        <v>390.39999389648438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</row>
    <row r="169" spans="1:110" ht="14.25" customHeight="1" x14ac:dyDescent="0.3">
      <c r="A169" s="1">
        <f t="shared" si="7"/>
        <v>160</v>
      </c>
      <c r="B169" s="1" t="s">
        <v>168</v>
      </c>
      <c r="C169" s="4">
        <v>0.36505787037037202</v>
      </c>
      <c r="D169" s="4">
        <v>0.36519675925926093</v>
      </c>
      <c r="E169" s="2">
        <v>13.299999999999999</v>
      </c>
      <c r="F169" s="2">
        <v>13.45</v>
      </c>
      <c r="G169" s="1" t="s">
        <v>26</v>
      </c>
      <c r="H169" s="4">
        <f t="shared" si="8"/>
        <v>1.388888888889106E-4</v>
      </c>
      <c r="J169">
        <v>391</v>
      </c>
      <c r="K169" s="3">
        <v>391</v>
      </c>
      <c r="L169" s="3">
        <v>394.20001220703125</v>
      </c>
      <c r="M169" s="3">
        <v>394.20001220703125</v>
      </c>
      <c r="N169" s="3"/>
      <c r="O169" s="3"/>
      <c r="P169" s="3"/>
      <c r="Q169" s="3">
        <v>398</v>
      </c>
      <c r="R169" s="3">
        <v>398</v>
      </c>
      <c r="S169" s="3">
        <v>397.79998779296875</v>
      </c>
      <c r="T169" s="3">
        <v>397.79998779296875</v>
      </c>
      <c r="U169" s="3">
        <v>394.70001220703125</v>
      </c>
      <c r="V169" s="3">
        <v>394.70001220703125</v>
      </c>
      <c r="W169" s="3"/>
      <c r="X169" s="3">
        <v>397.10000610351563</v>
      </c>
      <c r="Y169" s="3">
        <v>397.10000610351563</v>
      </c>
      <c r="Z169" s="3">
        <v>396.70001220703125</v>
      </c>
      <c r="AA169" s="3">
        <v>390.89999389648438</v>
      </c>
      <c r="AB169" s="3">
        <v>390.89999389648438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</row>
    <row r="170" spans="1:110" ht="14.25" customHeight="1" x14ac:dyDescent="0.3">
      <c r="A170" s="1">
        <f t="shared" si="7"/>
        <v>161</v>
      </c>
      <c r="B170" s="1" t="s">
        <v>169</v>
      </c>
      <c r="C170" s="4">
        <v>0.36543981481481647</v>
      </c>
      <c r="D170" s="4">
        <v>0.36560185185185351</v>
      </c>
      <c r="E170" s="2">
        <v>13.299999999999999</v>
      </c>
      <c r="F170" s="2">
        <v>13.329999999999998</v>
      </c>
      <c r="G170" s="1" t="s">
        <v>26</v>
      </c>
      <c r="H170" s="4">
        <f t="shared" si="8"/>
        <v>1.6203703703704386E-4</v>
      </c>
      <c r="J170">
        <v>392.89999389648438</v>
      </c>
      <c r="K170" s="3">
        <v>390.60000610351563</v>
      </c>
      <c r="L170" s="3">
        <v>393.29998779296875</v>
      </c>
      <c r="M170" s="3">
        <v>393.29998779296875</v>
      </c>
      <c r="N170" s="3">
        <v>394.10000610351563</v>
      </c>
      <c r="O170" s="3">
        <v>394.10000610351563</v>
      </c>
      <c r="P170" s="3"/>
      <c r="Q170" s="3">
        <v>394</v>
      </c>
      <c r="R170" s="3">
        <v>394</v>
      </c>
      <c r="S170" s="3">
        <v>390.89999389648438</v>
      </c>
      <c r="T170" s="3">
        <v>390.89999389648438</v>
      </c>
      <c r="U170" s="3">
        <v>390.79998779296875</v>
      </c>
      <c r="V170" s="3">
        <v>390.79998779296875</v>
      </c>
      <c r="W170" s="3">
        <v>399.70001220703125</v>
      </c>
      <c r="X170" s="3">
        <v>399.70001220703125</v>
      </c>
      <c r="Y170" s="3">
        <v>399.29998779296875</v>
      </c>
      <c r="Z170" s="3">
        <v>399.29998779296875</v>
      </c>
      <c r="AA170" s="3">
        <v>395.89999389648438</v>
      </c>
      <c r="AB170" s="3">
        <v>395.89999389648438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</row>
    <row r="171" spans="1:110" ht="14.25" customHeight="1" x14ac:dyDescent="0.3">
      <c r="A171" s="1">
        <f t="shared" si="7"/>
        <v>162</v>
      </c>
      <c r="B171" s="1" t="s">
        <v>170</v>
      </c>
      <c r="C171" s="4">
        <v>0.36583333333333501</v>
      </c>
      <c r="D171" s="4">
        <v>0.36598379629629796</v>
      </c>
      <c r="E171" s="2">
        <v>13.299999999999999</v>
      </c>
      <c r="F171" s="2">
        <v>13.45</v>
      </c>
      <c r="G171" s="1" t="s">
        <v>26</v>
      </c>
      <c r="H171" s="4">
        <f t="shared" si="8"/>
        <v>1.5046296296294948E-4</v>
      </c>
      <c r="J171">
        <v>391</v>
      </c>
      <c r="K171" s="3">
        <v>391.60000610351563</v>
      </c>
      <c r="L171" s="3">
        <v>391.60000610351563</v>
      </c>
      <c r="M171" s="3">
        <v>393.20001220703125</v>
      </c>
      <c r="N171" s="3">
        <v>393.20001220703125</v>
      </c>
      <c r="O171" s="3">
        <v>393.10000610351563</v>
      </c>
      <c r="P171" s="3">
        <v>393.10000610351563</v>
      </c>
      <c r="Q171" s="3">
        <v>399.89999389648438</v>
      </c>
      <c r="R171" s="3">
        <v>399.89999389648438</v>
      </c>
      <c r="S171" s="3"/>
      <c r="T171" s="3">
        <v>399.89999389648438</v>
      </c>
      <c r="U171" s="3">
        <v>399.89999389648438</v>
      </c>
      <c r="V171" s="3">
        <v>399.89999389648438</v>
      </c>
      <c r="W171" s="3"/>
      <c r="X171" s="3"/>
      <c r="Y171" s="3"/>
      <c r="Z171" s="3">
        <v>398.20001220703125</v>
      </c>
      <c r="AA171" s="3">
        <v>392.70001220703125</v>
      </c>
      <c r="AB171" s="3">
        <v>392.70001220703125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</row>
    <row r="172" spans="1:110" ht="14.25" customHeight="1" x14ac:dyDescent="0.3">
      <c r="A172" s="1">
        <f t="shared" si="7"/>
        <v>163</v>
      </c>
      <c r="B172" s="1" t="s">
        <v>171</v>
      </c>
      <c r="C172" s="4">
        <v>0.36625000000000169</v>
      </c>
      <c r="D172" s="4">
        <v>0.36640046296296463</v>
      </c>
      <c r="E172" s="2">
        <v>13.299999999999999</v>
      </c>
      <c r="F172" s="2">
        <v>13.419999999999998</v>
      </c>
      <c r="G172" s="1" t="s">
        <v>26</v>
      </c>
      <c r="H172" s="4">
        <f t="shared" si="8"/>
        <v>1.5046296296294948E-4</v>
      </c>
      <c r="J172">
        <v>390.60000610351563</v>
      </c>
      <c r="K172" s="3">
        <v>390.60000610351563</v>
      </c>
      <c r="L172" s="3">
        <v>391.5</v>
      </c>
      <c r="M172" s="3">
        <v>391.5</v>
      </c>
      <c r="N172" s="3">
        <v>391.89999389648438</v>
      </c>
      <c r="O172" s="3">
        <v>391.89999389648438</v>
      </c>
      <c r="P172" s="3">
        <v>391.79998779296875</v>
      </c>
      <c r="Q172" s="3">
        <v>391.79998779296875</v>
      </c>
      <c r="R172" s="3">
        <v>399.89999389648438</v>
      </c>
      <c r="S172" s="3">
        <v>399.89999389648438</v>
      </c>
      <c r="T172" s="3"/>
      <c r="U172" s="3">
        <v>399.89999389648438</v>
      </c>
      <c r="V172" s="3">
        <v>397.79998779296875</v>
      </c>
      <c r="W172" s="3">
        <v>397.79998779296875</v>
      </c>
      <c r="X172" s="3"/>
      <c r="Y172" s="3">
        <v>397.70001220703125</v>
      </c>
      <c r="Z172" s="3">
        <v>397.70001220703125</v>
      </c>
      <c r="AA172" s="3">
        <v>397</v>
      </c>
      <c r="AB172" s="3">
        <v>397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</row>
    <row r="173" spans="1:110" ht="14.25" customHeight="1" x14ac:dyDescent="0.3">
      <c r="A173" s="1">
        <f t="shared" si="7"/>
        <v>164</v>
      </c>
      <c r="B173" s="1" t="s">
        <v>261</v>
      </c>
      <c r="C173" s="4">
        <v>0.36665509259259427</v>
      </c>
      <c r="D173" s="4">
        <v>0.36681712962963131</v>
      </c>
      <c r="E173" s="2">
        <v>13.299999999999999</v>
      </c>
      <c r="F173" s="2">
        <v>13.389999999999999</v>
      </c>
      <c r="G173" s="1" t="s">
        <v>26</v>
      </c>
      <c r="H173" s="4">
        <f t="shared" si="8"/>
        <v>1.6203703703704386E-4</v>
      </c>
      <c r="J173">
        <v>393.29998779296875</v>
      </c>
      <c r="K173" s="3">
        <v>391.29998779296875</v>
      </c>
      <c r="L173" s="3">
        <v>394.89999389648438</v>
      </c>
      <c r="M173" s="3">
        <v>394.89999389648438</v>
      </c>
      <c r="N173" s="3">
        <v>397.20001220703125</v>
      </c>
      <c r="O173" s="3">
        <v>397.20001220703125</v>
      </c>
      <c r="P173" s="3">
        <v>394</v>
      </c>
      <c r="Q173" s="3">
        <v>394</v>
      </c>
      <c r="R173" s="3"/>
      <c r="S173" s="3">
        <v>393.89999389648438</v>
      </c>
      <c r="T173" s="3">
        <v>390.89999389648438</v>
      </c>
      <c r="U173" s="3">
        <v>390.89999389648438</v>
      </c>
      <c r="V173" s="3"/>
      <c r="W173" s="3">
        <v>390.70001220703125</v>
      </c>
      <c r="X173" s="3">
        <v>399.20001220703125</v>
      </c>
      <c r="Y173" s="3">
        <v>399.20001220703125</v>
      </c>
      <c r="Z173" s="3"/>
      <c r="AA173" s="3">
        <v>398.79998779296875</v>
      </c>
      <c r="AB173" s="3">
        <v>398.79998779296875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</row>
    <row r="174" spans="1:110" ht="14.25" customHeight="1" x14ac:dyDescent="0.3">
      <c r="A174" s="1">
        <f t="shared" si="7"/>
        <v>165</v>
      </c>
      <c r="B174" s="1" t="s">
        <v>262</v>
      </c>
      <c r="C174" s="4">
        <v>0.36707175925926094</v>
      </c>
      <c r="D174" s="4">
        <v>0.36724537037037208</v>
      </c>
      <c r="E174" s="2">
        <v>13.299999999999999</v>
      </c>
      <c r="F174" s="2">
        <v>13.329999999999998</v>
      </c>
      <c r="G174" s="1" t="s">
        <v>26</v>
      </c>
      <c r="H174" s="4">
        <f t="shared" si="8"/>
        <v>1.7361111111113825E-4</v>
      </c>
      <c r="J174">
        <v>390.70001220703125</v>
      </c>
      <c r="K174" s="3">
        <v>391.70001220703125</v>
      </c>
      <c r="L174" s="3">
        <v>391.70001220703125</v>
      </c>
      <c r="M174" s="3"/>
      <c r="N174" s="3">
        <v>393</v>
      </c>
      <c r="O174" s="3">
        <v>393</v>
      </c>
      <c r="P174" s="3">
        <v>393</v>
      </c>
      <c r="Q174" s="3">
        <v>393</v>
      </c>
      <c r="R174" s="3">
        <v>399.89999389648438</v>
      </c>
      <c r="S174" s="3">
        <v>399.89999389648438</v>
      </c>
      <c r="T174" s="3"/>
      <c r="U174" s="3">
        <v>399.89999389648438</v>
      </c>
      <c r="V174" s="3">
        <v>399.89999389648438</v>
      </c>
      <c r="W174" s="3">
        <v>399.89999389648438</v>
      </c>
      <c r="X174" s="3">
        <v>399.89999389648438</v>
      </c>
      <c r="Y174" s="3">
        <v>398.39999389648438</v>
      </c>
      <c r="Z174" s="3">
        <v>398.39999389648438</v>
      </c>
      <c r="AA174" s="3">
        <v>397.89999389648438</v>
      </c>
      <c r="AB174" s="3">
        <v>397.89999389648438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</row>
    <row r="175" spans="1:110" ht="14.25" customHeight="1" x14ac:dyDescent="0.3">
      <c r="A175" s="1">
        <f t="shared" si="7"/>
        <v>166</v>
      </c>
      <c r="B175" s="1" t="s">
        <v>172</v>
      </c>
      <c r="C175" s="4">
        <v>0.36753472222222394</v>
      </c>
      <c r="D175" s="4">
        <v>0.36767361111111285</v>
      </c>
      <c r="E175" s="2">
        <v>13.299999999999999</v>
      </c>
      <c r="F175" s="2">
        <v>13.339999999999998</v>
      </c>
      <c r="G175" s="1" t="s">
        <v>26</v>
      </c>
      <c r="H175" s="4">
        <f t="shared" si="8"/>
        <v>1.388888888889106E-4</v>
      </c>
      <c r="J175">
        <v>390.20001220703125</v>
      </c>
      <c r="K175" s="3">
        <v>395.39999389648438</v>
      </c>
      <c r="L175" s="3">
        <v>395.39999389648438</v>
      </c>
      <c r="M175" s="3">
        <v>398.29998779296875</v>
      </c>
      <c r="N175" s="3">
        <v>398.29998779296875</v>
      </c>
      <c r="O175" s="3">
        <v>399.89999389648438</v>
      </c>
      <c r="P175" s="3">
        <v>399.89999389648438</v>
      </c>
      <c r="Q175" s="3">
        <v>397.5</v>
      </c>
      <c r="R175" s="3">
        <v>397.5</v>
      </c>
      <c r="S175" s="3"/>
      <c r="T175" s="3">
        <v>397.5</v>
      </c>
      <c r="U175" s="3">
        <v>394.39999389648438</v>
      </c>
      <c r="V175" s="3">
        <v>394.39999389648438</v>
      </c>
      <c r="W175" s="3"/>
      <c r="X175" s="3">
        <v>394.10000610351563</v>
      </c>
      <c r="Y175" s="3">
        <v>391.29998779296875</v>
      </c>
      <c r="Z175" s="3">
        <v>391.29998779296875</v>
      </c>
      <c r="AA175" s="3">
        <v>391.10000610351563</v>
      </c>
      <c r="AB175" s="3">
        <v>391.10000610351563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</row>
    <row r="176" spans="1:110" ht="14.25" customHeight="1" x14ac:dyDescent="0.3">
      <c r="A176" s="1">
        <f t="shared" si="7"/>
        <v>167</v>
      </c>
      <c r="B176" s="1" t="s">
        <v>173</v>
      </c>
      <c r="C176" s="4">
        <v>0.36795138888889062</v>
      </c>
      <c r="D176" s="4">
        <v>0.36809027777777953</v>
      </c>
      <c r="E176" s="2">
        <v>13.299999999999999</v>
      </c>
      <c r="F176" s="2">
        <v>13.37</v>
      </c>
      <c r="G176" s="1" t="s">
        <v>26</v>
      </c>
      <c r="H176" s="4">
        <f t="shared" si="8"/>
        <v>1.388888888889106E-4</v>
      </c>
      <c r="J176">
        <v>390.10000610351563</v>
      </c>
      <c r="K176" s="3">
        <v>392.39999389648438</v>
      </c>
      <c r="L176" s="3">
        <v>392.39999389648438</v>
      </c>
      <c r="M176" s="3">
        <v>393.70001220703125</v>
      </c>
      <c r="N176" s="3">
        <v>393.70001220703125</v>
      </c>
      <c r="O176" s="3">
        <v>390.60000610351563</v>
      </c>
      <c r="P176" s="3">
        <v>390.60000610351563</v>
      </c>
      <c r="Q176" s="3"/>
      <c r="R176" s="3">
        <v>390.60000610351563</v>
      </c>
      <c r="S176" s="3">
        <v>390.60000610351563</v>
      </c>
      <c r="T176" s="3">
        <v>390.5</v>
      </c>
      <c r="U176" s="3">
        <v>390.5</v>
      </c>
      <c r="V176" s="3"/>
      <c r="W176" s="3"/>
      <c r="X176" s="3">
        <v>396.29998779296875</v>
      </c>
      <c r="Y176" s="3">
        <v>396.29998779296875</v>
      </c>
      <c r="Z176" s="3">
        <v>396</v>
      </c>
      <c r="AA176" s="3">
        <v>392.29998779296875</v>
      </c>
      <c r="AB176" s="3">
        <v>392.29998779296875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</row>
    <row r="177" spans="1:110" ht="14.25" customHeight="1" x14ac:dyDescent="0.3">
      <c r="A177" s="1">
        <f t="shared" si="7"/>
        <v>168</v>
      </c>
      <c r="B177" s="1" t="s">
        <v>174</v>
      </c>
      <c r="C177" s="4">
        <v>0.36837962962963139</v>
      </c>
      <c r="D177" s="4">
        <v>0.36855324074074253</v>
      </c>
      <c r="E177" s="2">
        <v>13.299999999999999</v>
      </c>
      <c r="F177" s="2">
        <v>13.36</v>
      </c>
      <c r="G177" s="1" t="s">
        <v>26</v>
      </c>
      <c r="H177" s="4">
        <f t="shared" si="8"/>
        <v>1.7361111111113825E-4</v>
      </c>
      <c r="J177">
        <v>391.20001220703125</v>
      </c>
      <c r="K177" s="3">
        <v>394.60000610351563</v>
      </c>
      <c r="L177" s="3">
        <v>394.60000610351563</v>
      </c>
      <c r="M177" s="3">
        <v>398.20001220703125</v>
      </c>
      <c r="N177" s="3">
        <v>398.20001220703125</v>
      </c>
      <c r="O177" s="3">
        <v>395.79998779296875</v>
      </c>
      <c r="P177" s="3">
        <v>395.79998779296875</v>
      </c>
      <c r="Q177" s="3"/>
      <c r="R177" s="3">
        <v>395.60000610351563</v>
      </c>
      <c r="S177" s="3">
        <v>398.5</v>
      </c>
      <c r="T177" s="3">
        <v>398.5</v>
      </c>
      <c r="U177" s="3"/>
      <c r="V177" s="3">
        <v>392.29998779296875</v>
      </c>
      <c r="W177" s="3">
        <v>392.29998779296875</v>
      </c>
      <c r="X177" s="3">
        <v>399.89999389648438</v>
      </c>
      <c r="Y177" s="3">
        <v>399.89999389648438</v>
      </c>
      <c r="Z177" s="3">
        <v>399.89999389648438</v>
      </c>
      <c r="AA177" s="3">
        <v>397</v>
      </c>
      <c r="AB177" s="3">
        <v>397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</row>
    <row r="178" spans="1:110" ht="14.25" customHeight="1" x14ac:dyDescent="0.3">
      <c r="A178" s="1">
        <f t="shared" si="7"/>
        <v>169</v>
      </c>
      <c r="B178" s="1" t="s">
        <v>175</v>
      </c>
      <c r="C178" s="4">
        <v>0.36884259259259439</v>
      </c>
      <c r="D178" s="4">
        <v>0.36900462962963143</v>
      </c>
      <c r="E178" s="2">
        <v>13.299999999999999</v>
      </c>
      <c r="F178" s="2">
        <v>13.389999999999999</v>
      </c>
      <c r="G178" s="1" t="s">
        <v>26</v>
      </c>
      <c r="H178" s="4">
        <f t="shared" si="8"/>
        <v>1.6203703703704386E-4</v>
      </c>
      <c r="J178">
        <v>390.60000610351563</v>
      </c>
      <c r="K178" s="3">
        <v>390.60000610351563</v>
      </c>
      <c r="L178" s="3">
        <v>391.29998779296875</v>
      </c>
      <c r="M178" s="3">
        <v>391.29998779296875</v>
      </c>
      <c r="N178" s="3">
        <v>391.5</v>
      </c>
      <c r="O178" s="3">
        <v>391.5</v>
      </c>
      <c r="P178" s="3">
        <v>391.5</v>
      </c>
      <c r="Q178" s="3">
        <v>391.5</v>
      </c>
      <c r="R178" s="3"/>
      <c r="S178" s="3">
        <v>391.39999389648438</v>
      </c>
      <c r="T178" s="3">
        <v>391.39999389648438</v>
      </c>
      <c r="U178" s="3">
        <v>391.29998779296875</v>
      </c>
      <c r="V178" s="3">
        <v>391.29998779296875</v>
      </c>
      <c r="W178" s="3">
        <v>399.89999389648438</v>
      </c>
      <c r="X178" s="3">
        <v>399.89999389648438</v>
      </c>
      <c r="Y178" s="3">
        <v>399.89999389648438</v>
      </c>
      <c r="Z178" s="3">
        <v>399.89999389648438</v>
      </c>
      <c r="AA178" s="3">
        <v>397.20001220703125</v>
      </c>
      <c r="AB178" s="3">
        <v>397.20001220703125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</row>
    <row r="179" spans="1:110" ht="14.25" customHeight="1" x14ac:dyDescent="0.3">
      <c r="A179" s="1">
        <f t="shared" si="7"/>
        <v>170</v>
      </c>
      <c r="B179" s="1" t="s">
        <v>176</v>
      </c>
      <c r="C179" s="4">
        <v>0.36925925925926106</v>
      </c>
      <c r="D179" s="4">
        <v>0.36939814814814997</v>
      </c>
      <c r="E179" s="2">
        <v>13.299999999999999</v>
      </c>
      <c r="F179" s="2">
        <v>13.319999999999999</v>
      </c>
      <c r="G179" s="1" t="s">
        <v>26</v>
      </c>
      <c r="H179" s="4">
        <f t="shared" si="8"/>
        <v>1.388888888889106E-4</v>
      </c>
      <c r="J179">
        <v>391.10000610351563</v>
      </c>
      <c r="K179" s="3">
        <v>391.10000610351563</v>
      </c>
      <c r="L179" s="3">
        <v>392</v>
      </c>
      <c r="M179" s="3">
        <v>392</v>
      </c>
      <c r="N179" s="3"/>
      <c r="O179" s="3">
        <v>398.60000610351563</v>
      </c>
      <c r="P179" s="3">
        <v>398.60000610351563</v>
      </c>
      <c r="Q179" s="3">
        <v>395.39999389648438</v>
      </c>
      <c r="R179" s="3">
        <v>395.39999389648438</v>
      </c>
      <c r="S179" s="3">
        <v>395.29998779296875</v>
      </c>
      <c r="T179" s="3">
        <v>395.29998779296875</v>
      </c>
      <c r="U179" s="3"/>
      <c r="V179" s="3"/>
      <c r="W179" s="3"/>
      <c r="X179" s="3"/>
      <c r="Y179" s="3">
        <v>399.89999389648438</v>
      </c>
      <c r="Z179" s="3">
        <v>399.89999389648438</v>
      </c>
      <c r="AA179" s="3">
        <v>399.39999389648438</v>
      </c>
      <c r="AB179" s="3">
        <v>399.39999389648438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</row>
    <row r="180" spans="1:110" ht="14.25" customHeight="1" x14ac:dyDescent="0.3">
      <c r="A180" s="1">
        <f t="shared" si="7"/>
        <v>171</v>
      </c>
      <c r="B180" s="1" t="s">
        <v>177</v>
      </c>
      <c r="C180" s="4">
        <v>0.36967592592592774</v>
      </c>
      <c r="D180" s="4">
        <v>0.36981481481481665</v>
      </c>
      <c r="E180" s="2">
        <v>13.299999999999999</v>
      </c>
      <c r="F180" s="2">
        <v>13.379999999999999</v>
      </c>
      <c r="G180" s="1" t="s">
        <v>26</v>
      </c>
      <c r="H180" s="4">
        <f t="shared" si="8"/>
        <v>1.388888888889106E-4</v>
      </c>
      <c r="J180">
        <v>390.5</v>
      </c>
      <c r="K180" s="3">
        <v>390.10000610351563</v>
      </c>
      <c r="L180" s="3">
        <v>390.10000610351563</v>
      </c>
      <c r="M180" s="3">
        <v>391.39999389648438</v>
      </c>
      <c r="N180" s="3">
        <v>399.89999389648438</v>
      </c>
      <c r="O180" s="3">
        <v>399.89999389648438</v>
      </c>
      <c r="P180" s="3">
        <v>397.29998779296875</v>
      </c>
      <c r="Q180" s="3">
        <v>397.29998779296875</v>
      </c>
      <c r="R180" s="3"/>
      <c r="S180" s="3">
        <v>397.39999389648438</v>
      </c>
      <c r="T180" s="3">
        <v>397.39999389648438</v>
      </c>
      <c r="U180" s="3">
        <v>397</v>
      </c>
      <c r="V180" s="3">
        <v>397</v>
      </c>
      <c r="W180" s="3">
        <v>393.79998779296875</v>
      </c>
      <c r="X180" s="3">
        <v>393.79998779296875</v>
      </c>
      <c r="Y180" s="3">
        <v>393.70001220703125</v>
      </c>
      <c r="Z180" s="3">
        <v>393.70001220703125</v>
      </c>
      <c r="AA180" s="3">
        <v>393.5</v>
      </c>
      <c r="AB180" s="3">
        <v>393.5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</row>
    <row r="181" spans="1:110" ht="14.25" customHeight="1" x14ac:dyDescent="0.3">
      <c r="A181" s="1">
        <f t="shared" si="7"/>
        <v>172</v>
      </c>
      <c r="B181" s="1" t="s">
        <v>178</v>
      </c>
      <c r="C181" s="4">
        <v>0.37008101851852038</v>
      </c>
      <c r="D181" s="4">
        <v>0.37024305555555742</v>
      </c>
      <c r="E181" s="2">
        <v>13.299999999999999</v>
      </c>
      <c r="F181" s="2">
        <v>13.35</v>
      </c>
      <c r="G181" s="1" t="s">
        <v>26</v>
      </c>
      <c r="H181" s="4">
        <f t="shared" si="8"/>
        <v>1.6203703703704386E-4</v>
      </c>
      <c r="J181">
        <v>390.10000610351563</v>
      </c>
      <c r="K181" s="3">
        <v>392.5</v>
      </c>
      <c r="L181" s="3">
        <v>392.5</v>
      </c>
      <c r="M181" s="3">
        <v>393.60000610351563</v>
      </c>
      <c r="N181" s="3">
        <v>393.60000610351563</v>
      </c>
      <c r="O181" s="3">
        <v>390.39999389648438</v>
      </c>
      <c r="P181" s="3">
        <v>390.39999389648438</v>
      </c>
      <c r="Q181" s="3"/>
      <c r="R181" s="3">
        <v>390.29998779296875</v>
      </c>
      <c r="S181" s="3">
        <v>390.29998779296875</v>
      </c>
      <c r="T181" s="3">
        <v>399.39999389648438</v>
      </c>
      <c r="U181" s="3">
        <v>399.39999389648438</v>
      </c>
      <c r="V181" s="3">
        <v>399.10000610351563</v>
      </c>
      <c r="W181" s="3">
        <v>399.10000610351563</v>
      </c>
      <c r="X181" s="3">
        <v>398.70001220703125</v>
      </c>
      <c r="Y181" s="3">
        <v>398.70001220703125</v>
      </c>
      <c r="Z181" s="3">
        <v>395.70001220703125</v>
      </c>
      <c r="AA181" s="3">
        <v>395.70001220703125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</row>
    <row r="182" spans="1:110" ht="14.25" customHeight="1" x14ac:dyDescent="0.3">
      <c r="A182" s="1">
        <f t="shared" si="7"/>
        <v>173</v>
      </c>
      <c r="B182" s="1" t="s">
        <v>179</v>
      </c>
      <c r="C182" s="4">
        <v>0.37049768518518705</v>
      </c>
      <c r="D182" s="4">
        <v>0.37064814814815</v>
      </c>
      <c r="E182" s="2">
        <v>13.299999999999999</v>
      </c>
      <c r="F182" s="2">
        <v>13.45</v>
      </c>
      <c r="G182" s="1" t="s">
        <v>26</v>
      </c>
      <c r="H182" s="4">
        <f t="shared" si="8"/>
        <v>1.5046296296294948E-4</v>
      </c>
      <c r="J182">
        <v>390.60000610351563</v>
      </c>
      <c r="K182" s="3">
        <v>392.79998779296875</v>
      </c>
      <c r="L182" s="3">
        <v>392.79998779296875</v>
      </c>
      <c r="M182" s="3">
        <v>397.10000610351563</v>
      </c>
      <c r="N182" s="3">
        <v>397.10000610351563</v>
      </c>
      <c r="O182" s="3">
        <v>395.20001220703125</v>
      </c>
      <c r="P182" s="3">
        <v>395.20001220703125</v>
      </c>
      <c r="Q182" s="3">
        <v>395.20001220703125</v>
      </c>
      <c r="R182" s="3">
        <v>395.20001220703125</v>
      </c>
      <c r="S182" s="3"/>
      <c r="T182" s="3">
        <v>395.10000610351563</v>
      </c>
      <c r="U182" s="3">
        <v>392</v>
      </c>
      <c r="V182" s="3">
        <v>392</v>
      </c>
      <c r="W182" s="3"/>
      <c r="X182" s="3">
        <v>391.89999389648438</v>
      </c>
      <c r="Y182" s="3">
        <v>399.89999389648438</v>
      </c>
      <c r="Z182" s="3">
        <v>399.89999389648438</v>
      </c>
      <c r="AA182" s="3">
        <v>398.20001220703125</v>
      </c>
      <c r="AB182" s="3">
        <v>398.20001220703125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</row>
    <row r="183" spans="1:110" ht="14.25" customHeight="1" x14ac:dyDescent="0.3">
      <c r="A183" s="1">
        <f t="shared" si="7"/>
        <v>174</v>
      </c>
      <c r="B183" s="1" t="s">
        <v>180</v>
      </c>
      <c r="C183" s="4">
        <v>0.37092592592592777</v>
      </c>
      <c r="D183" s="4">
        <v>0.37107638888889072</v>
      </c>
      <c r="E183" s="2">
        <v>13.299999999999999</v>
      </c>
      <c r="F183" s="2">
        <v>13.44</v>
      </c>
      <c r="G183" s="1" t="s">
        <v>26</v>
      </c>
      <c r="H183" s="4">
        <f t="shared" si="8"/>
        <v>1.5046296296294948E-4</v>
      </c>
      <c r="J183">
        <v>390.29998779296875</v>
      </c>
      <c r="K183" s="3">
        <v>392.20001220703125</v>
      </c>
      <c r="L183" s="3">
        <v>392.20001220703125</v>
      </c>
      <c r="M183" s="3">
        <v>391.29998779296875</v>
      </c>
      <c r="N183" s="3">
        <v>391.29998779296875</v>
      </c>
      <c r="O183" s="3">
        <v>399.89999389648438</v>
      </c>
      <c r="P183" s="3">
        <v>399.89999389648438</v>
      </c>
      <c r="Q183" s="3">
        <v>399.89999389648438</v>
      </c>
      <c r="R183" s="3">
        <v>399.89999389648438</v>
      </c>
      <c r="S183" s="3">
        <v>399.89999389648438</v>
      </c>
      <c r="T183" s="3">
        <v>399.89999389648438</v>
      </c>
      <c r="U183" s="3">
        <v>397</v>
      </c>
      <c r="V183" s="3">
        <v>397</v>
      </c>
      <c r="W183" s="3">
        <v>396.70001220703125</v>
      </c>
      <c r="X183" s="3">
        <v>396.70001220703125</v>
      </c>
      <c r="Y183" s="3">
        <v>393.70001220703125</v>
      </c>
      <c r="Z183" s="3">
        <v>393.70001220703125</v>
      </c>
      <c r="AA183" s="3">
        <v>393.5</v>
      </c>
      <c r="AB183" s="3">
        <v>393.5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</row>
    <row r="184" spans="1:110" ht="14.25" customHeight="1" x14ac:dyDescent="0.3">
      <c r="A184" s="1">
        <f t="shared" si="7"/>
        <v>175</v>
      </c>
      <c r="B184" s="1" t="s">
        <v>181</v>
      </c>
      <c r="C184" s="4">
        <v>0.37130787037037222</v>
      </c>
      <c r="D184" s="4">
        <v>0.37148148148148336</v>
      </c>
      <c r="E184" s="2">
        <v>13.299999999999999</v>
      </c>
      <c r="F184" s="2">
        <v>13.389999999999999</v>
      </c>
      <c r="G184" s="1" t="s">
        <v>26</v>
      </c>
      <c r="H184" s="4">
        <f t="shared" si="8"/>
        <v>1.7361111111113825E-4</v>
      </c>
      <c r="J184">
        <v>390.10000610351563</v>
      </c>
      <c r="K184" s="3">
        <v>390.29998779296875</v>
      </c>
      <c r="L184" s="3">
        <v>390.29998779296875</v>
      </c>
      <c r="M184" s="3">
        <v>398.5</v>
      </c>
      <c r="N184" s="3">
        <v>398.5</v>
      </c>
      <c r="O184" s="3">
        <v>399.60000610351563</v>
      </c>
      <c r="P184" s="3">
        <v>399.60000610351563</v>
      </c>
      <c r="Q184" s="3">
        <v>396.39999389648438</v>
      </c>
      <c r="R184" s="3">
        <v>396.39999389648438</v>
      </c>
      <c r="S184" s="3"/>
      <c r="T184" s="3">
        <v>396.29998779296875</v>
      </c>
      <c r="U184" s="3">
        <v>393.10000610351563</v>
      </c>
      <c r="V184" s="3">
        <v>393.10000610351563</v>
      </c>
      <c r="W184" s="3"/>
      <c r="X184" s="3">
        <v>392.89999389648438</v>
      </c>
      <c r="Y184" s="3">
        <v>392.79998779296875</v>
      </c>
      <c r="Z184" s="3">
        <v>392.79998779296875</v>
      </c>
      <c r="AA184" s="3">
        <v>390.20001220703125</v>
      </c>
      <c r="AB184" s="3">
        <v>390.20001220703125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</row>
    <row r="185" spans="1:110" ht="14.25" customHeight="1" x14ac:dyDescent="0.3">
      <c r="A185" s="1">
        <f t="shared" si="7"/>
        <v>176</v>
      </c>
      <c r="B185" s="1" t="s">
        <v>182</v>
      </c>
      <c r="C185" s="4">
        <v>0.37171296296296485</v>
      </c>
      <c r="D185" s="4">
        <v>0.37188657407407599</v>
      </c>
      <c r="E185" s="2">
        <v>13.299999999999999</v>
      </c>
      <c r="F185" s="2">
        <v>13.339999999999998</v>
      </c>
      <c r="G185" s="1" t="s">
        <v>26</v>
      </c>
      <c r="H185" s="4">
        <f t="shared" si="8"/>
        <v>1.7361111111113825E-4</v>
      </c>
      <c r="J185">
        <v>390.5</v>
      </c>
      <c r="K185" s="3">
        <v>391.10000610351563</v>
      </c>
      <c r="L185" s="3">
        <v>391.10000610351563</v>
      </c>
      <c r="M185" s="3"/>
      <c r="N185" s="3">
        <v>391.39999389648438</v>
      </c>
      <c r="O185" s="3">
        <v>391.39999389648438</v>
      </c>
      <c r="P185" s="3">
        <v>391.20001220703125</v>
      </c>
      <c r="Q185" s="3">
        <v>391.20001220703125</v>
      </c>
      <c r="R185" s="3">
        <v>399.89999389648438</v>
      </c>
      <c r="S185" s="3">
        <v>399.89999389648438</v>
      </c>
      <c r="T185" s="3">
        <v>399.89999389648438</v>
      </c>
      <c r="U185" s="3">
        <v>399.89999389648438</v>
      </c>
      <c r="V185" s="3"/>
      <c r="W185" s="3">
        <v>399.89999389648438</v>
      </c>
      <c r="X185" s="3">
        <v>396.79998779296875</v>
      </c>
      <c r="Y185" s="3">
        <v>396.79998779296875</v>
      </c>
      <c r="Z185" s="3"/>
      <c r="AA185" s="3">
        <v>396.29998779296875</v>
      </c>
      <c r="AB185" s="3">
        <v>396.29998779296875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</row>
    <row r="186" spans="1:110" ht="14.25" customHeight="1" x14ac:dyDescent="0.3">
      <c r="A186" s="1">
        <f t="shared" si="7"/>
        <v>177</v>
      </c>
      <c r="B186" s="1" t="s">
        <v>183</v>
      </c>
      <c r="C186" s="4">
        <v>0.37214120370370563</v>
      </c>
      <c r="D186" s="4">
        <v>0.37231481481481676</v>
      </c>
      <c r="E186" s="2">
        <v>13.299999999999999</v>
      </c>
      <c r="F186" s="2">
        <v>13.44</v>
      </c>
      <c r="G186" s="1" t="s">
        <v>26</v>
      </c>
      <c r="H186" s="4">
        <f t="shared" si="8"/>
        <v>1.7361111111113825E-4</v>
      </c>
      <c r="J186">
        <v>390.10000610351563</v>
      </c>
      <c r="K186" s="3">
        <v>395.10000610351563</v>
      </c>
      <c r="L186" s="3">
        <v>395.10000610351563</v>
      </c>
      <c r="M186" s="3">
        <v>399.29998779296875</v>
      </c>
      <c r="N186" s="3">
        <v>399.29998779296875</v>
      </c>
      <c r="O186" s="3"/>
      <c r="P186" s="3"/>
      <c r="Q186" s="3"/>
      <c r="R186" s="3"/>
      <c r="S186" s="3">
        <v>393.29998779296875</v>
      </c>
      <c r="T186" s="3">
        <v>390.29998779296875</v>
      </c>
      <c r="U186" s="3">
        <v>390.10000610351563</v>
      </c>
      <c r="V186" s="3">
        <v>390.10000610351563</v>
      </c>
      <c r="W186" s="3">
        <v>399</v>
      </c>
      <c r="X186" s="3">
        <v>399</v>
      </c>
      <c r="Y186" s="3"/>
      <c r="Z186" s="3">
        <v>398.70001220703125</v>
      </c>
      <c r="AA186" s="3">
        <v>398.70001220703125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</row>
    <row r="187" spans="1:110" ht="14.25" customHeight="1" x14ac:dyDescent="0.3">
      <c r="A187" s="1">
        <f t="shared" si="7"/>
        <v>178</v>
      </c>
      <c r="B187" s="1" t="s">
        <v>184</v>
      </c>
      <c r="C187" s="4">
        <v>0.3725578703703723</v>
      </c>
      <c r="D187" s="4">
        <v>0.37269675925926121</v>
      </c>
      <c r="E187" s="2">
        <v>13.299999999999999</v>
      </c>
      <c r="F187" s="2">
        <v>13.419999999999998</v>
      </c>
      <c r="G187" s="1" t="s">
        <v>26</v>
      </c>
      <c r="H187" s="4">
        <f t="shared" si="8"/>
        <v>1.388888888889106E-4</v>
      </c>
      <c r="J187">
        <v>391.60000610351563</v>
      </c>
      <c r="K187" s="3">
        <v>391.60000610351563</v>
      </c>
      <c r="L187" s="3">
        <v>397.10000610351563</v>
      </c>
      <c r="M187" s="3">
        <v>397.10000610351563</v>
      </c>
      <c r="N187" s="3">
        <v>395.60000610351563</v>
      </c>
      <c r="O187" s="3">
        <v>395.60000610351563</v>
      </c>
      <c r="P187" s="3"/>
      <c r="Q187" s="3">
        <v>395.5</v>
      </c>
      <c r="R187" s="3">
        <v>395.5</v>
      </c>
      <c r="S187" s="3">
        <v>395.39999389648438</v>
      </c>
      <c r="T187" s="3">
        <v>395.39999389648438</v>
      </c>
      <c r="U187" s="3">
        <v>392</v>
      </c>
      <c r="V187" s="3">
        <v>392</v>
      </c>
      <c r="W187" s="3">
        <v>391.89999389648438</v>
      </c>
      <c r="X187" s="3">
        <v>391.89999389648438</v>
      </c>
      <c r="Y187" s="3">
        <v>399.89999389648438</v>
      </c>
      <c r="Z187" s="3">
        <v>399.89999389648438</v>
      </c>
      <c r="AA187" s="3">
        <v>399.5</v>
      </c>
      <c r="AB187" s="3">
        <v>399.5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</row>
    <row r="188" spans="1:110" ht="14.25" customHeight="1" x14ac:dyDescent="0.3">
      <c r="A188" s="1">
        <f t="shared" si="7"/>
        <v>179</v>
      </c>
      <c r="B188" s="1" t="s">
        <v>185</v>
      </c>
      <c r="C188" s="4">
        <v>0.37296296296296494</v>
      </c>
      <c r="D188" s="4">
        <v>0.37311342592592789</v>
      </c>
      <c r="E188" s="2">
        <v>13.299999999999999</v>
      </c>
      <c r="F188" s="2">
        <v>13.36</v>
      </c>
      <c r="G188" s="1" t="s">
        <v>26</v>
      </c>
      <c r="H188" s="4">
        <f t="shared" si="8"/>
        <v>1.5046296296294948E-4</v>
      </c>
      <c r="J188">
        <v>390.70001220703125</v>
      </c>
      <c r="K188" s="3">
        <v>394.10000610351563</v>
      </c>
      <c r="L188" s="3">
        <v>394.10000610351563</v>
      </c>
      <c r="M188" s="3">
        <v>397.5</v>
      </c>
      <c r="N188" s="3">
        <v>397.5</v>
      </c>
      <c r="O188" s="3"/>
      <c r="P188" s="3">
        <v>397.79998779296875</v>
      </c>
      <c r="Q188" s="3">
        <v>397.79998779296875</v>
      </c>
      <c r="R188" s="3">
        <v>397.5</v>
      </c>
      <c r="S188" s="3">
        <v>394.29998779296875</v>
      </c>
      <c r="T188" s="3">
        <v>394.29998779296875</v>
      </c>
      <c r="U188" s="3">
        <v>394.29998779296875</v>
      </c>
      <c r="V188" s="3">
        <v>394.20001220703125</v>
      </c>
      <c r="W188" s="3">
        <v>391.20001220703125</v>
      </c>
      <c r="X188" s="3">
        <v>391</v>
      </c>
      <c r="Y188" s="3">
        <v>391</v>
      </c>
      <c r="Z188" s="3"/>
      <c r="AA188" s="3">
        <v>390.29998779296875</v>
      </c>
      <c r="AB188" s="3">
        <v>390.29998779296875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</row>
    <row r="189" spans="1:110" ht="14.25" customHeight="1" x14ac:dyDescent="0.3">
      <c r="A189" s="1">
        <f t="shared" si="7"/>
        <v>180</v>
      </c>
      <c r="B189" s="1" t="s">
        <v>186</v>
      </c>
      <c r="C189" s="4">
        <v>0.37337962962963162</v>
      </c>
      <c r="D189" s="4">
        <v>0.37354166666666866</v>
      </c>
      <c r="E189" s="2">
        <v>13.299999999999999</v>
      </c>
      <c r="F189" s="2">
        <v>13.43</v>
      </c>
      <c r="G189" s="1" t="s">
        <v>26</v>
      </c>
      <c r="H189" s="4">
        <f t="shared" si="8"/>
        <v>1.6203703703704386E-4</v>
      </c>
      <c r="J189">
        <v>391</v>
      </c>
      <c r="K189" s="3">
        <v>391.5</v>
      </c>
      <c r="L189" s="3">
        <v>391.5</v>
      </c>
      <c r="M189" s="3">
        <v>392.70001220703125</v>
      </c>
      <c r="N189" s="3">
        <v>392.70001220703125</v>
      </c>
      <c r="O189" s="3">
        <v>399.89999389648438</v>
      </c>
      <c r="P189" s="3">
        <v>399.89999389648438</v>
      </c>
      <c r="Q189" s="3">
        <v>399.89999389648438</v>
      </c>
      <c r="R189" s="3">
        <v>399.89999389648438</v>
      </c>
      <c r="S189" s="3"/>
      <c r="T189" s="3">
        <v>399.89999389648438</v>
      </c>
      <c r="U189" s="3">
        <v>399.89999389648438</v>
      </c>
      <c r="V189" s="3">
        <v>399.5</v>
      </c>
      <c r="W189" s="3">
        <v>399.5</v>
      </c>
      <c r="X189" s="3">
        <v>398.79998779296875</v>
      </c>
      <c r="Y189" s="3">
        <v>398.79998779296875</v>
      </c>
      <c r="Z189" s="3">
        <v>395.70001220703125</v>
      </c>
      <c r="AA189" s="3">
        <v>392.29998779296875</v>
      </c>
      <c r="AB189" s="3">
        <v>392.29998779296875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</row>
    <row r="190" spans="1:110" ht="14.25" customHeight="1" x14ac:dyDescent="0.3">
      <c r="A190" s="1">
        <f t="shared" si="7"/>
        <v>181</v>
      </c>
      <c r="B190" s="1" t="s">
        <v>187</v>
      </c>
      <c r="C190" s="4">
        <v>0.37380787037037239</v>
      </c>
      <c r="D190" s="4">
        <v>0.37396990740740943</v>
      </c>
      <c r="E190" s="2">
        <v>13.299999999999999</v>
      </c>
      <c r="F190" s="2">
        <v>13.339999999999998</v>
      </c>
      <c r="G190" s="1" t="s">
        <v>26</v>
      </c>
      <c r="H190" s="4">
        <f t="shared" si="8"/>
        <v>1.6203703703704386E-4</v>
      </c>
      <c r="J190">
        <v>390.10000610351563</v>
      </c>
      <c r="K190" s="3">
        <v>393.39999389648438</v>
      </c>
      <c r="L190" s="3">
        <v>393.39999389648438</v>
      </c>
      <c r="M190" s="3">
        <v>397.60000610351563</v>
      </c>
      <c r="N190" s="3">
        <v>397.60000610351563</v>
      </c>
      <c r="O190" s="3">
        <v>395.29998779296875</v>
      </c>
      <c r="P190" s="3">
        <v>395.29998779296875</v>
      </c>
      <c r="Q190" s="3"/>
      <c r="R190" s="3">
        <v>395.10000610351563</v>
      </c>
      <c r="S190" s="3">
        <v>391.89999389648438</v>
      </c>
      <c r="T190" s="3">
        <v>391.89999389648438</v>
      </c>
      <c r="U190" s="3"/>
      <c r="V190" s="3">
        <v>391.79998779296875</v>
      </c>
      <c r="W190" s="3">
        <v>391.79998779296875</v>
      </c>
      <c r="X190" s="3">
        <v>391.70001220703125</v>
      </c>
      <c r="Y190" s="3">
        <v>391.70001220703125</v>
      </c>
      <c r="Z190" s="3">
        <v>399.89999389648438</v>
      </c>
      <c r="AA190" s="3">
        <v>396</v>
      </c>
      <c r="AB190" s="3">
        <v>396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</row>
    <row r="191" spans="1:110" ht="14.25" customHeight="1" x14ac:dyDescent="0.3">
      <c r="A191" s="1">
        <f t="shared" si="7"/>
        <v>182</v>
      </c>
      <c r="B191" s="1" t="s">
        <v>208</v>
      </c>
      <c r="C191" s="4">
        <v>0.37425925925926129</v>
      </c>
      <c r="D191" s="4">
        <v>0.3743981481481502</v>
      </c>
      <c r="E191" s="2">
        <v>13.299999999999999</v>
      </c>
      <c r="F191" s="2">
        <v>13.44</v>
      </c>
      <c r="G191" s="1" t="s">
        <v>26</v>
      </c>
      <c r="H191" s="4">
        <f t="shared" si="8"/>
        <v>1.388888888889106E-4</v>
      </c>
      <c r="J191">
        <v>390.89999389648438</v>
      </c>
      <c r="K191" s="3">
        <v>390.70001220703125</v>
      </c>
      <c r="L191" s="3">
        <v>390.70001220703125</v>
      </c>
      <c r="M191" s="3"/>
      <c r="N191" s="3">
        <v>390.89999389648438</v>
      </c>
      <c r="O191" s="3">
        <v>390.89999389648438</v>
      </c>
      <c r="P191" s="3">
        <v>390.79998779296875</v>
      </c>
      <c r="Q191" s="3">
        <v>390.79998779296875</v>
      </c>
      <c r="R191" s="3"/>
      <c r="S191" s="3"/>
      <c r="T191" s="3"/>
      <c r="U191" s="3"/>
      <c r="V191" s="3">
        <v>396.79998779296875</v>
      </c>
      <c r="W191" s="3">
        <v>396.79998779296875</v>
      </c>
      <c r="X191" s="3"/>
      <c r="Y191" s="3">
        <v>396.5</v>
      </c>
      <c r="Z191" s="3">
        <v>396.5</v>
      </c>
      <c r="AA191" s="3">
        <v>395.89999389648438</v>
      </c>
      <c r="AB191" s="3">
        <v>395.89999389648438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</row>
    <row r="192" spans="1:110" ht="14.25" customHeight="1" x14ac:dyDescent="0.3">
      <c r="A192" s="1">
        <f t="shared" si="7"/>
        <v>183</v>
      </c>
      <c r="B192" s="1" t="s">
        <v>188</v>
      </c>
      <c r="C192" s="4">
        <v>0.37467592592592797</v>
      </c>
      <c r="D192" s="4">
        <v>0.37482638888889092</v>
      </c>
      <c r="E192" s="2">
        <v>13.299999999999999</v>
      </c>
      <c r="F192" s="2">
        <v>13.389999999999999</v>
      </c>
      <c r="G192" s="1" t="s">
        <v>26</v>
      </c>
      <c r="H192" s="4">
        <f t="shared" si="8"/>
        <v>1.5046296296294948E-4</v>
      </c>
      <c r="J192">
        <v>390.89999389648438</v>
      </c>
      <c r="K192" s="3">
        <v>391.29998779296875</v>
      </c>
      <c r="L192" s="3">
        <v>398.89999389648438</v>
      </c>
      <c r="M192" s="3">
        <v>398.89999389648438</v>
      </c>
      <c r="N192" s="3"/>
      <c r="O192" s="3">
        <v>399.89999389648438</v>
      </c>
      <c r="P192" s="3">
        <v>399.89999389648438</v>
      </c>
      <c r="Q192" s="3">
        <v>399.89999389648438</v>
      </c>
      <c r="R192" s="3">
        <v>399.89999389648438</v>
      </c>
      <c r="S192" s="3">
        <v>399.20001220703125</v>
      </c>
      <c r="T192" s="3">
        <v>399.20001220703125</v>
      </c>
      <c r="U192" s="3"/>
      <c r="V192" s="3">
        <v>399.10000610351563</v>
      </c>
      <c r="W192" s="3">
        <v>399.10000610351563</v>
      </c>
      <c r="X192" s="3">
        <v>395.79998779296875</v>
      </c>
      <c r="Y192" s="3">
        <v>395.79998779296875</v>
      </c>
      <c r="Z192" s="3">
        <v>395.5</v>
      </c>
      <c r="AA192" s="3">
        <v>390.29998779296875</v>
      </c>
      <c r="AB192" s="3">
        <v>390.29998779296875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</row>
    <row r="193" spans="1:110" ht="14.25" customHeight="1" x14ac:dyDescent="0.3">
      <c r="A193" s="1">
        <f t="shared" si="7"/>
        <v>184</v>
      </c>
      <c r="B193" s="1" t="s">
        <v>189</v>
      </c>
      <c r="C193" s="4">
        <v>0.37508101851852055</v>
      </c>
      <c r="D193" s="4">
        <v>0.37521990740740946</v>
      </c>
      <c r="E193" s="2">
        <v>13.299999999999999</v>
      </c>
      <c r="F193" s="2">
        <v>13.329999999999998</v>
      </c>
      <c r="G193" s="1" t="s">
        <v>26</v>
      </c>
      <c r="H193" s="4">
        <f t="shared" si="8"/>
        <v>1.388888888889106E-4</v>
      </c>
      <c r="J193">
        <v>390.39999389648438</v>
      </c>
      <c r="K193" s="3">
        <v>390.89999389648438</v>
      </c>
      <c r="L193" s="3">
        <v>390.89999389648438</v>
      </c>
      <c r="M193" s="3">
        <v>391.89999389648438</v>
      </c>
      <c r="N193" s="3">
        <v>391.89999389648438</v>
      </c>
      <c r="O193" s="3"/>
      <c r="P193" s="3">
        <v>391.89999389648438</v>
      </c>
      <c r="Q193" s="3">
        <v>391.89999389648438</v>
      </c>
      <c r="R193" s="3">
        <v>399.89999389648438</v>
      </c>
      <c r="S193" s="3">
        <v>399.89999389648438</v>
      </c>
      <c r="T193" s="3">
        <v>399.89999389648438</v>
      </c>
      <c r="U193" s="3">
        <v>399.89999389648438</v>
      </c>
      <c r="V193" s="3">
        <v>398</v>
      </c>
      <c r="W193" s="3">
        <v>398</v>
      </c>
      <c r="X193" s="3">
        <v>397.60000610351563</v>
      </c>
      <c r="Y193" s="3">
        <v>397.60000610351563</v>
      </c>
      <c r="Z193" s="3"/>
      <c r="AA193" s="3">
        <v>397.10000610351563</v>
      </c>
      <c r="AB193" s="3">
        <v>397.10000610351563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</row>
    <row r="194" spans="1:110" ht="14.25" customHeight="1" x14ac:dyDescent="0.3">
      <c r="A194" s="1">
        <f t="shared" si="7"/>
        <v>185</v>
      </c>
      <c r="B194" s="1" t="s">
        <v>263</v>
      </c>
      <c r="C194" s="4">
        <v>0.37545138888889096</v>
      </c>
      <c r="D194" s="4">
        <v>0.37559027777777987</v>
      </c>
      <c r="E194" s="2">
        <v>13.299999999999999</v>
      </c>
      <c r="F194" s="2">
        <v>13.35</v>
      </c>
      <c r="G194" s="1" t="s">
        <v>26</v>
      </c>
      <c r="H194" s="4">
        <f t="shared" si="8"/>
        <v>1.388888888889106E-4</v>
      </c>
      <c r="J194">
        <v>390.70001220703125</v>
      </c>
      <c r="K194" s="3">
        <v>395.5</v>
      </c>
      <c r="L194" s="3">
        <v>395.5</v>
      </c>
      <c r="M194" s="3">
        <v>397.20001220703125</v>
      </c>
      <c r="N194" s="3">
        <v>397.20001220703125</v>
      </c>
      <c r="O194" s="3">
        <v>397.20001220703125</v>
      </c>
      <c r="P194" s="3">
        <v>397.20001220703125</v>
      </c>
      <c r="Q194" s="3"/>
      <c r="R194" s="3">
        <v>397.10000610351563</v>
      </c>
      <c r="S194" s="3">
        <v>397.10000610351563</v>
      </c>
      <c r="T194" s="3">
        <v>394</v>
      </c>
      <c r="U194" s="3">
        <v>394</v>
      </c>
      <c r="V194" s="3">
        <v>393.70001220703125</v>
      </c>
      <c r="W194" s="3">
        <v>393.70001220703125</v>
      </c>
      <c r="X194" s="3">
        <v>390.70001220703125</v>
      </c>
      <c r="Y194" s="3">
        <v>390.70001220703125</v>
      </c>
      <c r="Z194" s="3">
        <v>390.5</v>
      </c>
      <c r="AA194" s="3">
        <v>395.20001220703125</v>
      </c>
      <c r="AB194" s="3">
        <v>395.20001220703125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</row>
    <row r="195" spans="1:110" ht="14.25" customHeight="1" x14ac:dyDescent="0.3">
      <c r="A195" s="1">
        <f t="shared" si="7"/>
        <v>186</v>
      </c>
      <c r="B195" s="1" t="s">
        <v>264</v>
      </c>
      <c r="C195" s="4">
        <v>0.3758449074074095</v>
      </c>
      <c r="D195" s="4">
        <v>0.37601851851852064</v>
      </c>
      <c r="E195" s="2">
        <v>13.299999999999999</v>
      </c>
      <c r="F195" s="2">
        <v>13.409999999999998</v>
      </c>
      <c r="G195" s="1" t="s">
        <v>26</v>
      </c>
      <c r="H195" s="4">
        <f t="shared" si="8"/>
        <v>1.7361111111113825E-4</v>
      </c>
      <c r="J195">
        <v>390.29998779296875</v>
      </c>
      <c r="K195" s="3">
        <v>393.5</v>
      </c>
      <c r="L195" s="3">
        <v>393.5</v>
      </c>
      <c r="M195" s="3">
        <v>398.39999389648438</v>
      </c>
      <c r="N195" s="3">
        <v>398.39999389648438</v>
      </c>
      <c r="O195" s="3"/>
      <c r="P195" s="3">
        <v>399.39999389648438</v>
      </c>
      <c r="Q195" s="3">
        <v>396</v>
      </c>
      <c r="R195" s="3">
        <v>396</v>
      </c>
      <c r="S195" s="3">
        <v>392.70001220703125</v>
      </c>
      <c r="T195" s="3">
        <v>392.70001220703125</v>
      </c>
      <c r="U195" s="3"/>
      <c r="V195" s="3">
        <v>392.70001220703125</v>
      </c>
      <c r="W195" s="3">
        <v>392.70001220703125</v>
      </c>
      <c r="X195" s="3">
        <v>392.5</v>
      </c>
      <c r="Y195" s="3">
        <v>392.5</v>
      </c>
      <c r="Z195" s="3">
        <v>399.89999389648438</v>
      </c>
      <c r="AA195" s="3">
        <v>394.70001220703125</v>
      </c>
      <c r="AB195" s="3">
        <v>394.70001220703125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</row>
    <row r="196" spans="1:110" ht="14.25" customHeight="1" x14ac:dyDescent="0.3">
      <c r="A196" s="1">
        <f t="shared" si="7"/>
        <v>187</v>
      </c>
      <c r="B196" s="1" t="s">
        <v>287</v>
      </c>
      <c r="C196" s="4">
        <v>0.37625000000000214</v>
      </c>
      <c r="D196" s="4">
        <v>0.37640046296296509</v>
      </c>
      <c r="E196" s="2">
        <v>13.299999999999999</v>
      </c>
      <c r="F196" s="2">
        <v>13.379999999999999</v>
      </c>
      <c r="G196" s="1" t="s">
        <v>26</v>
      </c>
      <c r="H196" s="4">
        <f t="shared" si="8"/>
        <v>1.5046296296294948E-4</v>
      </c>
      <c r="J196">
        <v>391</v>
      </c>
      <c r="K196" s="3">
        <v>391</v>
      </c>
      <c r="L196" s="3"/>
      <c r="M196" s="3">
        <v>391.79998779296875</v>
      </c>
      <c r="N196" s="3">
        <v>391.79998779296875</v>
      </c>
      <c r="O196" s="3"/>
      <c r="P196" s="3">
        <v>391.79998779296875</v>
      </c>
      <c r="Q196" s="3">
        <v>391.79998779296875</v>
      </c>
      <c r="R196" s="3">
        <v>391.70001220703125</v>
      </c>
      <c r="S196" s="3">
        <v>391.70001220703125</v>
      </c>
      <c r="T196" s="3"/>
      <c r="U196" s="3">
        <v>391.60000610351563</v>
      </c>
      <c r="V196" s="3">
        <v>391.60000610351563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</row>
    <row r="197" spans="1:110" ht="14.25" customHeight="1" x14ac:dyDescent="0.3">
      <c r="A197" s="1">
        <f t="shared" si="7"/>
        <v>188</v>
      </c>
      <c r="B197" s="1" t="s">
        <v>190</v>
      </c>
      <c r="C197" s="4">
        <v>0.37666666666666881</v>
      </c>
      <c r="D197" s="4">
        <v>0.37681712962963176</v>
      </c>
      <c r="E197" s="2">
        <v>13.299999999999999</v>
      </c>
      <c r="F197" s="2">
        <v>13.43</v>
      </c>
      <c r="G197" s="1" t="s">
        <v>26</v>
      </c>
      <c r="H197" s="4">
        <f t="shared" si="8"/>
        <v>1.5046296296294948E-4</v>
      </c>
      <c r="J197">
        <v>391.20001220703125</v>
      </c>
      <c r="K197" s="3">
        <v>391.79998779296875</v>
      </c>
      <c r="L197" s="3">
        <v>391.79998779296875</v>
      </c>
      <c r="M197" s="3">
        <v>396.79998779296875</v>
      </c>
      <c r="N197" s="3">
        <v>396.79998779296875</v>
      </c>
      <c r="O197" s="3">
        <v>397.20001220703125</v>
      </c>
      <c r="P197" s="3">
        <v>397.20001220703125</v>
      </c>
      <c r="Q197" s="3">
        <v>393.79998779296875</v>
      </c>
      <c r="R197" s="3">
        <v>393.79998779296875</v>
      </c>
      <c r="S197" s="3"/>
      <c r="T197" s="3">
        <v>393.79998779296875</v>
      </c>
      <c r="U197" s="3">
        <v>393.79998779296875</v>
      </c>
      <c r="V197" s="3">
        <v>393.79998779296875</v>
      </c>
      <c r="W197" s="3"/>
      <c r="X197" s="3">
        <v>390.60000610351563</v>
      </c>
      <c r="Y197" s="3">
        <v>390.60000610351563</v>
      </c>
      <c r="Z197" s="3">
        <v>390.60000610351563</v>
      </c>
      <c r="AA197" s="3">
        <v>396.39999389648438</v>
      </c>
      <c r="AB197" s="3">
        <v>396.39999389648438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</row>
    <row r="198" spans="1:110" ht="14.25" customHeight="1" x14ac:dyDescent="0.3">
      <c r="A198" s="1">
        <f t="shared" si="7"/>
        <v>189</v>
      </c>
      <c r="B198" s="1" t="s">
        <v>191</v>
      </c>
      <c r="C198" s="4">
        <v>0.3770717592592614</v>
      </c>
      <c r="D198" s="4">
        <v>0.37722222222222435</v>
      </c>
      <c r="E198" s="2">
        <v>13.299999999999999</v>
      </c>
      <c r="F198" s="2">
        <v>13.35</v>
      </c>
      <c r="G198" s="1" t="s">
        <v>26</v>
      </c>
      <c r="H198" s="4">
        <f t="shared" si="8"/>
        <v>1.5046296296294948E-4</v>
      </c>
      <c r="J198">
        <v>391</v>
      </c>
      <c r="K198" s="3">
        <v>391.10000610351563</v>
      </c>
      <c r="L198" s="3">
        <v>396.39999389648438</v>
      </c>
      <c r="M198" s="3">
        <v>396.39999389648438</v>
      </c>
      <c r="N198" s="3">
        <v>399.29998779296875</v>
      </c>
      <c r="O198" s="3">
        <v>399.29998779296875</v>
      </c>
      <c r="P198" s="3"/>
      <c r="Q198" s="3">
        <v>399.10000610351563</v>
      </c>
      <c r="R198" s="3">
        <v>399.10000610351563</v>
      </c>
      <c r="S198" s="3">
        <v>396</v>
      </c>
      <c r="T198" s="3">
        <v>396</v>
      </c>
      <c r="U198" s="3">
        <v>395.79998779296875</v>
      </c>
      <c r="V198" s="3">
        <v>395.79998779296875</v>
      </c>
      <c r="W198" s="3"/>
      <c r="X198" s="3">
        <v>395.5</v>
      </c>
      <c r="Y198" s="3">
        <v>395.5</v>
      </c>
      <c r="Z198" s="3">
        <v>395.39999389648438</v>
      </c>
      <c r="AA198" s="3">
        <v>391.5</v>
      </c>
      <c r="AB198" s="3">
        <v>391.5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</row>
    <row r="199" spans="1:110" ht="14.25" customHeight="1" x14ac:dyDescent="0.3">
      <c r="A199" s="1">
        <f t="shared" si="7"/>
        <v>190</v>
      </c>
      <c r="B199" s="1" t="s">
        <v>192</v>
      </c>
      <c r="C199" s="4">
        <v>0.37750000000000211</v>
      </c>
      <c r="D199" s="4">
        <v>0.37763888888889102</v>
      </c>
      <c r="E199" s="2">
        <v>13.299999999999999</v>
      </c>
      <c r="F199" s="2">
        <v>13.36</v>
      </c>
      <c r="G199" s="1" t="s">
        <v>26</v>
      </c>
      <c r="H199" s="4">
        <f t="shared" si="8"/>
        <v>1.388888888889106E-4</v>
      </c>
      <c r="J199">
        <v>390.79998779296875</v>
      </c>
      <c r="K199" s="3">
        <v>396.60000610351563</v>
      </c>
      <c r="L199" s="3">
        <v>396.60000610351563</v>
      </c>
      <c r="M199" s="3"/>
      <c r="N199" s="3">
        <v>399.89999389648438</v>
      </c>
      <c r="O199" s="3">
        <v>399.89999389648438</v>
      </c>
      <c r="P199" s="3">
        <v>399.89999389648438</v>
      </c>
      <c r="Q199" s="3">
        <v>399.89999389648438</v>
      </c>
      <c r="R199" s="3">
        <v>397.89999389648438</v>
      </c>
      <c r="S199" s="3">
        <v>397.89999389648438</v>
      </c>
      <c r="T199" s="3"/>
      <c r="U199" s="3">
        <v>397.79998779296875</v>
      </c>
      <c r="V199" s="3">
        <v>397.79998779296875</v>
      </c>
      <c r="W199" s="3">
        <v>394.70001220703125</v>
      </c>
      <c r="X199" s="3">
        <v>394.70001220703125</v>
      </c>
      <c r="Y199" s="3">
        <v>394.29998779296875</v>
      </c>
      <c r="Z199" s="3">
        <v>394.29998779296875</v>
      </c>
      <c r="AA199" s="3">
        <v>391.29998779296875</v>
      </c>
      <c r="AB199" s="3">
        <v>391.29998779296875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</row>
    <row r="200" spans="1:110" ht="14.25" customHeight="1" x14ac:dyDescent="0.3">
      <c r="A200" s="1">
        <f t="shared" si="7"/>
        <v>191</v>
      </c>
      <c r="B200" s="1" t="s">
        <v>286</v>
      </c>
      <c r="C200" s="4">
        <v>0.37792824074074288</v>
      </c>
      <c r="D200" s="4">
        <v>0.37807870370370583</v>
      </c>
      <c r="E200" s="2">
        <v>13.299999999999999</v>
      </c>
      <c r="F200" s="2">
        <v>13.45</v>
      </c>
      <c r="G200" s="1" t="s">
        <v>26</v>
      </c>
      <c r="H200" s="4">
        <f t="shared" si="8"/>
        <v>1.5046296296294948E-4</v>
      </c>
      <c r="J200">
        <v>390.10000610351563</v>
      </c>
      <c r="K200" s="3">
        <v>390.70001220703125</v>
      </c>
      <c r="L200" s="3">
        <v>393.70001220703125</v>
      </c>
      <c r="M200" s="3">
        <v>390.60000610351563</v>
      </c>
      <c r="N200" s="3"/>
      <c r="O200" s="3">
        <v>390.70001220703125</v>
      </c>
      <c r="P200" s="3">
        <v>390.70001220703125</v>
      </c>
      <c r="Q200" s="3">
        <v>390.60000610351563</v>
      </c>
      <c r="R200" s="3">
        <v>390.60000610351563</v>
      </c>
      <c r="S200" s="3"/>
      <c r="T200" s="3">
        <v>390.60000610351563</v>
      </c>
      <c r="U200" s="3">
        <v>390.60000610351563</v>
      </c>
      <c r="V200" s="3">
        <v>390.5</v>
      </c>
      <c r="W200" s="3">
        <v>390.5</v>
      </c>
      <c r="X200" s="3">
        <v>390.5</v>
      </c>
      <c r="Y200" s="3">
        <v>390.5</v>
      </c>
      <c r="Z200" s="3"/>
      <c r="AA200" s="3">
        <v>390.39999389648438</v>
      </c>
      <c r="AB200" s="3">
        <v>390.39999389648438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</row>
    <row r="201" spans="1:110" ht="14.25" customHeight="1" x14ac:dyDescent="0.3">
      <c r="A201" s="1">
        <f t="shared" si="7"/>
        <v>192</v>
      </c>
      <c r="B201" s="1" t="s">
        <v>193</v>
      </c>
      <c r="C201" s="4">
        <v>0.3783564814814836</v>
      </c>
      <c r="D201" s="4">
        <v>0.37853009259259474</v>
      </c>
      <c r="E201" s="2">
        <v>13.299999999999999</v>
      </c>
      <c r="F201" s="2">
        <v>13.389999999999999</v>
      </c>
      <c r="G201" s="1" t="s">
        <v>26</v>
      </c>
      <c r="H201" s="4">
        <f t="shared" si="8"/>
        <v>1.7361111111113825E-4</v>
      </c>
      <c r="J201">
        <v>390.60000610351563</v>
      </c>
      <c r="K201" s="3">
        <v>390.60000610351563</v>
      </c>
      <c r="L201" s="3"/>
      <c r="M201" s="3"/>
      <c r="N201" s="3"/>
      <c r="O201" s="3"/>
      <c r="P201" s="3">
        <v>399.89999389648438</v>
      </c>
      <c r="Q201" s="3">
        <v>399.89999389648438</v>
      </c>
      <c r="R201" s="3">
        <v>398.89999389648438</v>
      </c>
      <c r="S201" s="3">
        <v>398.89999389648438</v>
      </c>
      <c r="T201" s="3">
        <v>398.79998779296875</v>
      </c>
      <c r="U201" s="3">
        <v>398.79998779296875</v>
      </c>
      <c r="V201" s="3">
        <v>395.5</v>
      </c>
      <c r="W201" s="3">
        <v>395.5</v>
      </c>
      <c r="X201" s="3"/>
      <c r="Y201" s="3">
        <v>395.20001220703125</v>
      </c>
      <c r="Z201" s="3">
        <v>392.20001220703125</v>
      </c>
      <c r="AA201" s="3">
        <v>392.20001220703125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</row>
    <row r="202" spans="1:110" ht="14.25" customHeight="1" x14ac:dyDescent="0.3">
      <c r="A202" s="1">
        <f t="shared" si="7"/>
        <v>193</v>
      </c>
      <c r="B202" s="1" t="s">
        <v>194</v>
      </c>
      <c r="C202" s="4">
        <v>0.37877314814815027</v>
      </c>
      <c r="D202" s="4">
        <v>0.37893518518518732</v>
      </c>
      <c r="E202" s="2">
        <v>13.299999999999999</v>
      </c>
      <c r="F202" s="2">
        <v>13.399999999999999</v>
      </c>
      <c r="G202" s="1" t="s">
        <v>26</v>
      </c>
      <c r="H202" s="4">
        <f t="shared" si="8"/>
        <v>1.6203703703704386E-4</v>
      </c>
      <c r="J202">
        <v>390.10000610351563</v>
      </c>
      <c r="K202" s="3">
        <v>390.89999389648438</v>
      </c>
      <c r="L202" s="3">
        <v>394.5</v>
      </c>
      <c r="M202" s="3">
        <v>394.5</v>
      </c>
      <c r="N202" s="3">
        <v>398</v>
      </c>
      <c r="O202" s="3">
        <v>398</v>
      </c>
      <c r="P202" s="3">
        <v>394.79998779296875</v>
      </c>
      <c r="Q202" s="3">
        <v>394.79998779296875</v>
      </c>
      <c r="R202" s="3">
        <v>394.70001220703125</v>
      </c>
      <c r="S202" s="3">
        <v>394.70001220703125</v>
      </c>
      <c r="T202" s="3">
        <v>391.5</v>
      </c>
      <c r="U202" s="3">
        <v>391.5</v>
      </c>
      <c r="V202" s="3"/>
      <c r="W202" s="3">
        <v>391.39999389648438</v>
      </c>
      <c r="X202" s="3">
        <v>391.39999389648438</v>
      </c>
      <c r="Y202" s="3">
        <v>391.20001220703125</v>
      </c>
      <c r="Z202" s="3">
        <v>391.20001220703125</v>
      </c>
      <c r="AA202" s="3">
        <v>399.70001220703125</v>
      </c>
      <c r="AB202" s="3">
        <v>399.70001220703125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</row>
    <row r="203" spans="1:110" ht="14.25" customHeight="1" x14ac:dyDescent="0.3">
      <c r="A203" s="1">
        <f t="shared" si="7"/>
        <v>194</v>
      </c>
      <c r="B203" s="1" t="s">
        <v>195</v>
      </c>
      <c r="C203" s="4">
        <v>0.37916666666666882</v>
      </c>
      <c r="D203" s="4">
        <v>0.37934027777777996</v>
      </c>
      <c r="E203" s="2">
        <v>13.299999999999999</v>
      </c>
      <c r="F203" s="2">
        <v>13.43</v>
      </c>
      <c r="G203" s="1" t="s">
        <v>26</v>
      </c>
      <c r="H203" s="4">
        <f t="shared" si="8"/>
        <v>1.7361111111113825E-4</v>
      </c>
      <c r="J203">
        <v>391.10000610351563</v>
      </c>
      <c r="K203" s="3">
        <v>393.60000610351563</v>
      </c>
      <c r="L203" s="3">
        <v>393.60000610351563</v>
      </c>
      <c r="M203" s="3"/>
      <c r="N203" s="3">
        <v>397</v>
      </c>
      <c r="O203" s="3">
        <v>397</v>
      </c>
      <c r="P203" s="3">
        <v>396.79998779296875</v>
      </c>
      <c r="Q203" s="3">
        <v>393.60000610351563</v>
      </c>
      <c r="R203" s="3">
        <v>393.60000610351563</v>
      </c>
      <c r="S203" s="3">
        <v>393.60000610351563</v>
      </c>
      <c r="T203" s="3"/>
      <c r="U203" s="3">
        <v>393.5</v>
      </c>
      <c r="V203" s="3">
        <v>390.39999389648438</v>
      </c>
      <c r="W203" s="3">
        <v>390.39999389648438</v>
      </c>
      <c r="X203" s="3"/>
      <c r="Y203" s="3">
        <v>390.29998779296875</v>
      </c>
      <c r="Z203" s="3">
        <v>398.70001220703125</v>
      </c>
      <c r="AA203" s="3">
        <v>391.79998779296875</v>
      </c>
      <c r="AB203" s="3">
        <v>391.79998779296875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</row>
    <row r="204" spans="1:110" ht="14.25" customHeight="1" x14ac:dyDescent="0.3">
      <c r="A204" s="1">
        <f t="shared" ref="A204:A267" si="9">A203+1</f>
        <v>195</v>
      </c>
      <c r="B204" s="1" t="s">
        <v>285</v>
      </c>
      <c r="C204" s="4">
        <v>0.37962962962963182</v>
      </c>
      <c r="D204" s="4">
        <v>0.37979166666666886</v>
      </c>
      <c r="E204" s="2">
        <v>13.299999999999999</v>
      </c>
      <c r="F204" s="2">
        <v>13.329999999999998</v>
      </c>
      <c r="G204" s="1" t="s">
        <v>26</v>
      </c>
      <c r="H204" s="4">
        <f t="shared" ref="H204:H267" si="10">D204-C204</f>
        <v>1.6203703703704386E-4</v>
      </c>
      <c r="J204">
        <v>392</v>
      </c>
      <c r="K204" s="3">
        <v>391</v>
      </c>
      <c r="L204" s="3">
        <v>396.79998779296875</v>
      </c>
      <c r="M204" s="3">
        <v>396.79998779296875</v>
      </c>
      <c r="N204" s="3">
        <v>399.89999389648438</v>
      </c>
      <c r="O204" s="3">
        <v>399.89999389648438</v>
      </c>
      <c r="P204" s="3">
        <v>399.10000610351563</v>
      </c>
      <c r="Q204" s="3">
        <v>399.10000610351563</v>
      </c>
      <c r="R204" s="3"/>
      <c r="S204" s="3">
        <v>398.60000610351563</v>
      </c>
      <c r="T204" s="3">
        <v>398.60000610351563</v>
      </c>
      <c r="U204" s="3">
        <v>398.5</v>
      </c>
      <c r="V204" s="3">
        <v>398.5</v>
      </c>
      <c r="W204" s="3">
        <v>395.10000610351563</v>
      </c>
      <c r="X204" s="3">
        <v>395.10000610351563</v>
      </c>
      <c r="Y204" s="3">
        <v>394.79998779296875</v>
      </c>
      <c r="Z204" s="3">
        <v>394.79998779296875</v>
      </c>
      <c r="AA204" s="3">
        <v>394.29998779296875</v>
      </c>
      <c r="AB204" s="3">
        <v>394.29998779296875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</row>
    <row r="205" spans="1:110" ht="14.25" customHeight="1" x14ac:dyDescent="0.3">
      <c r="A205" s="1">
        <f t="shared" si="9"/>
        <v>196</v>
      </c>
      <c r="B205" s="1" t="s">
        <v>196</v>
      </c>
      <c r="C205" s="4">
        <v>0.38002314814815036</v>
      </c>
      <c r="D205" s="4">
        <v>0.3801851851851874</v>
      </c>
      <c r="E205" s="2">
        <v>13.299999999999999</v>
      </c>
      <c r="F205" s="2">
        <v>13.379999999999999</v>
      </c>
      <c r="G205" s="1" t="s">
        <v>26</v>
      </c>
      <c r="H205" s="4">
        <f t="shared" si="10"/>
        <v>1.6203703703704386E-4</v>
      </c>
      <c r="J205">
        <v>392.89999389648438</v>
      </c>
      <c r="K205" s="3">
        <v>392.89999389648438</v>
      </c>
      <c r="L205" s="3"/>
      <c r="M205" s="3">
        <v>397.20001220703125</v>
      </c>
      <c r="N205" s="3">
        <v>397.20001220703125</v>
      </c>
      <c r="O205" s="3">
        <v>394.70001220703125</v>
      </c>
      <c r="P205" s="3">
        <v>394.70001220703125</v>
      </c>
      <c r="Q205" s="3">
        <v>394.5</v>
      </c>
      <c r="R205" s="3">
        <v>394.5</v>
      </c>
      <c r="S205" s="3"/>
      <c r="T205" s="3">
        <v>394.5</v>
      </c>
      <c r="U205" s="3">
        <v>394.5</v>
      </c>
      <c r="V205" s="3">
        <v>391.20001220703125</v>
      </c>
      <c r="W205" s="3">
        <v>391.20001220703125</v>
      </c>
      <c r="X205" s="3">
        <v>391.20001220703125</v>
      </c>
      <c r="Y205" s="3">
        <v>391.20001220703125</v>
      </c>
      <c r="Z205" s="3">
        <v>399.89999389648438</v>
      </c>
      <c r="AA205" s="3">
        <v>395.10000610351563</v>
      </c>
      <c r="AB205" s="3">
        <v>395.10000610351563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</row>
    <row r="206" spans="1:110" ht="14.25" customHeight="1" x14ac:dyDescent="0.3">
      <c r="A206" s="1">
        <f t="shared" si="9"/>
        <v>197</v>
      </c>
      <c r="B206" s="1" t="s">
        <v>197</v>
      </c>
      <c r="C206" s="4">
        <v>0.3804166666666689</v>
      </c>
      <c r="D206" s="4">
        <v>0.38059027777778004</v>
      </c>
      <c r="E206" s="2">
        <v>13.299999999999999</v>
      </c>
      <c r="F206" s="2">
        <v>13.419999999999998</v>
      </c>
      <c r="G206" s="1" t="s">
        <v>26</v>
      </c>
      <c r="H206" s="4">
        <f t="shared" si="10"/>
        <v>1.7361111111113825E-4</v>
      </c>
      <c r="J206">
        <v>391.10000610351563</v>
      </c>
      <c r="K206" s="3">
        <v>391.60000610351563</v>
      </c>
      <c r="L206" s="3">
        <v>391.60000610351563</v>
      </c>
      <c r="M206" s="3">
        <v>396</v>
      </c>
      <c r="N206" s="3">
        <v>396</v>
      </c>
      <c r="O206" s="3"/>
      <c r="P206" s="3">
        <v>396.5</v>
      </c>
      <c r="Q206" s="3">
        <v>393.10000610351563</v>
      </c>
      <c r="R206" s="3">
        <v>393.10000610351563</v>
      </c>
      <c r="S206" s="3"/>
      <c r="T206" s="3">
        <v>393.10000610351563</v>
      </c>
      <c r="U206" s="3">
        <v>393.10000610351563</v>
      </c>
      <c r="V206" s="3">
        <v>399.89999389648438</v>
      </c>
      <c r="W206" s="3">
        <v>399.89999389648438</v>
      </c>
      <c r="X206" s="3">
        <v>399.89999389648438</v>
      </c>
      <c r="Y206" s="3">
        <v>399.89999389648438</v>
      </c>
      <c r="Z206" s="3">
        <v>398.39999389648438</v>
      </c>
      <c r="AA206" s="3">
        <v>393.79998779296875</v>
      </c>
      <c r="AB206" s="3">
        <v>393.79998779296875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</row>
    <row r="207" spans="1:110" ht="14.25" customHeight="1" x14ac:dyDescent="0.3">
      <c r="A207" s="1">
        <f t="shared" si="9"/>
        <v>198</v>
      </c>
      <c r="B207" s="1" t="s">
        <v>198</v>
      </c>
      <c r="C207" s="4">
        <v>0.38085648148148377</v>
      </c>
      <c r="D207" s="4">
        <v>0.38101851851852081</v>
      </c>
      <c r="E207" s="2">
        <v>13.299999999999999</v>
      </c>
      <c r="F207" s="2">
        <v>13.409999999999998</v>
      </c>
      <c r="G207" s="1" t="s">
        <v>26</v>
      </c>
      <c r="H207" s="4">
        <f t="shared" si="10"/>
        <v>1.6203703703704386E-4</v>
      </c>
      <c r="J207">
        <v>394.79998779296875</v>
      </c>
      <c r="K207" s="3">
        <v>390.79998779296875</v>
      </c>
      <c r="L207" s="3">
        <v>397</v>
      </c>
      <c r="M207" s="3">
        <v>397</v>
      </c>
      <c r="N207" s="3">
        <v>399.89999389648438</v>
      </c>
      <c r="O207" s="3">
        <v>399.89999389648438</v>
      </c>
      <c r="P207" s="3"/>
      <c r="Q207" s="3">
        <v>399.89999389648438</v>
      </c>
      <c r="R207" s="3">
        <v>399.89999389648438</v>
      </c>
      <c r="S207" s="3"/>
      <c r="T207" s="3"/>
      <c r="U207" s="3"/>
      <c r="V207" s="3"/>
      <c r="W207" s="3">
        <v>397.39999389648438</v>
      </c>
      <c r="X207" s="3">
        <v>397.39999389648438</v>
      </c>
      <c r="Y207" s="3"/>
      <c r="Z207" s="3">
        <v>397.10000610351563</v>
      </c>
      <c r="AA207" s="3">
        <v>393.70001220703125</v>
      </c>
      <c r="AB207" s="3">
        <v>393.70001220703125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</row>
    <row r="208" spans="1:110" ht="14.25" customHeight="1" x14ac:dyDescent="0.3">
      <c r="A208" s="1">
        <f t="shared" si="9"/>
        <v>199</v>
      </c>
      <c r="B208" s="1" t="s">
        <v>199</v>
      </c>
      <c r="C208" s="4">
        <v>0.38128472222222454</v>
      </c>
      <c r="D208" s="4">
        <v>0.38143518518518749</v>
      </c>
      <c r="E208" s="2">
        <v>13.299999999999999</v>
      </c>
      <c r="F208" s="2">
        <v>13.45</v>
      </c>
      <c r="G208" s="1" t="s">
        <v>26</v>
      </c>
      <c r="H208" s="4">
        <f t="shared" si="10"/>
        <v>1.5046296296294948E-4</v>
      </c>
      <c r="J208">
        <v>390.5</v>
      </c>
      <c r="K208" s="3">
        <v>390.5</v>
      </c>
      <c r="L208" s="3">
        <v>396.29998779296875</v>
      </c>
      <c r="M208" s="3">
        <v>396.29998779296875</v>
      </c>
      <c r="N208" s="3"/>
      <c r="O208" s="3"/>
      <c r="P208" s="3"/>
      <c r="Q208" s="3">
        <v>390.70001220703125</v>
      </c>
      <c r="R208" s="3">
        <v>390.70001220703125</v>
      </c>
      <c r="S208" s="3"/>
      <c r="T208" s="3">
        <v>393.70001220703125</v>
      </c>
      <c r="U208" s="3">
        <v>393.70001220703125</v>
      </c>
      <c r="V208" s="3"/>
      <c r="W208" s="3">
        <v>396.5</v>
      </c>
      <c r="X208" s="3">
        <v>393.39999389648438</v>
      </c>
      <c r="Y208" s="3">
        <v>393.39999389648438</v>
      </c>
      <c r="Z208" s="3">
        <v>393.20001220703125</v>
      </c>
      <c r="AA208" s="3">
        <v>393.20001220703125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</row>
    <row r="209" spans="1:110" ht="14.25" customHeight="1" x14ac:dyDescent="0.3">
      <c r="A209" s="1">
        <f t="shared" si="9"/>
        <v>200</v>
      </c>
      <c r="B209" s="1" t="s">
        <v>200</v>
      </c>
      <c r="C209" s="4">
        <v>0.38166666666666899</v>
      </c>
      <c r="D209" s="4">
        <v>0.38181712962963194</v>
      </c>
      <c r="E209" s="2">
        <v>13.299999999999999</v>
      </c>
      <c r="F209" s="2">
        <v>13.329999999999998</v>
      </c>
      <c r="G209" s="1" t="s">
        <v>26</v>
      </c>
      <c r="H209" s="4">
        <f t="shared" si="10"/>
        <v>1.5046296296294948E-4</v>
      </c>
      <c r="J209">
        <v>390.10000610351563</v>
      </c>
      <c r="K209" s="3">
        <v>395.10000610351563</v>
      </c>
      <c r="L209" s="3">
        <v>395.10000610351563</v>
      </c>
      <c r="M209" s="3">
        <v>398.10000610351563</v>
      </c>
      <c r="N209" s="3">
        <v>398.10000610351563</v>
      </c>
      <c r="O209" s="3">
        <v>399.39999389648438</v>
      </c>
      <c r="P209" s="3">
        <v>399.39999389648438</v>
      </c>
      <c r="Q209" s="3"/>
      <c r="R209" s="3">
        <v>399.20001220703125</v>
      </c>
      <c r="S209" s="3">
        <v>399.20001220703125</v>
      </c>
      <c r="T209" s="3"/>
      <c r="U209" s="3">
        <v>392.70001220703125</v>
      </c>
      <c r="V209" s="3">
        <v>392.70001220703125</v>
      </c>
      <c r="W209" s="3"/>
      <c r="X209" s="3">
        <v>392.5</v>
      </c>
      <c r="Y209" s="3">
        <v>392.5</v>
      </c>
      <c r="Z209" s="3">
        <v>392.39999389648438</v>
      </c>
      <c r="AA209" s="3">
        <v>398.10000610351563</v>
      </c>
      <c r="AB209" s="3">
        <v>398.10000610351563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</row>
    <row r="210" spans="1:110" ht="14.25" customHeight="1" x14ac:dyDescent="0.3">
      <c r="A210" s="1">
        <f t="shared" si="9"/>
        <v>201</v>
      </c>
      <c r="B210" s="1" t="s">
        <v>209</v>
      </c>
      <c r="C210" s="4">
        <v>0.38207175925926157</v>
      </c>
      <c r="D210" s="4">
        <v>0.38221064814815048</v>
      </c>
      <c r="E210" s="2">
        <v>13.299999999999999</v>
      </c>
      <c r="F210" s="2">
        <v>13.399999999999999</v>
      </c>
      <c r="G210" s="1" t="s">
        <v>26</v>
      </c>
      <c r="H210" s="4">
        <f t="shared" si="10"/>
        <v>1.388888888889106E-4</v>
      </c>
      <c r="J210">
        <v>390.20001220703125</v>
      </c>
      <c r="K210" s="3">
        <v>390.20001220703125</v>
      </c>
      <c r="L210" s="3">
        <v>393.89999389648438</v>
      </c>
      <c r="M210" s="3">
        <v>393.89999389648438</v>
      </c>
      <c r="N210" s="3">
        <v>395</v>
      </c>
      <c r="O210" s="3">
        <v>395</v>
      </c>
      <c r="P210" s="3"/>
      <c r="Q210" s="3"/>
      <c r="R210" s="3">
        <v>398</v>
      </c>
      <c r="S210" s="3">
        <v>398</v>
      </c>
      <c r="T210" s="3"/>
      <c r="U210" s="3">
        <v>399.89999389648438</v>
      </c>
      <c r="V210" s="3">
        <v>399.89999389648438</v>
      </c>
      <c r="W210" s="3"/>
      <c r="X210" s="3">
        <v>391.5</v>
      </c>
      <c r="Y210" s="3">
        <v>391.39999389648438</v>
      </c>
      <c r="Z210" s="3">
        <v>399.79998779296875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</row>
    <row r="211" spans="1:110" ht="14.25" customHeight="1" x14ac:dyDescent="0.3">
      <c r="A211" s="1">
        <f t="shared" si="9"/>
        <v>202</v>
      </c>
      <c r="B211" s="1" t="s">
        <v>210</v>
      </c>
      <c r="C211" s="4">
        <v>0.38244212962963198</v>
      </c>
      <c r="D211" s="4">
        <v>0.38258101851852089</v>
      </c>
      <c r="E211" s="2">
        <v>13.299999999999999</v>
      </c>
      <c r="F211" s="2">
        <v>13.36</v>
      </c>
      <c r="G211" s="1" t="s">
        <v>26</v>
      </c>
      <c r="H211" s="4">
        <f t="shared" si="10"/>
        <v>1.388888888889106E-4</v>
      </c>
      <c r="J211">
        <v>391.20001220703125</v>
      </c>
      <c r="K211" s="3">
        <v>390.60000610351563</v>
      </c>
      <c r="L211" s="3">
        <v>390.60000610351563</v>
      </c>
      <c r="M211" s="3"/>
      <c r="N211" s="3">
        <v>390.79998779296875</v>
      </c>
      <c r="O211" s="3">
        <v>390.79998779296875</v>
      </c>
      <c r="P211" s="3"/>
      <c r="Q211" s="3">
        <v>393.79998779296875</v>
      </c>
      <c r="R211" s="3">
        <v>393.79998779296875</v>
      </c>
      <c r="S211" s="3">
        <v>390.70001220703125</v>
      </c>
      <c r="T211" s="3">
        <v>390.70001220703125</v>
      </c>
      <c r="U211" s="3">
        <v>390.60000610351563</v>
      </c>
      <c r="V211" s="3">
        <v>390.60000610351563</v>
      </c>
      <c r="W211" s="3">
        <v>390.60000610351563</v>
      </c>
      <c r="X211" s="3">
        <v>399.29998779296875</v>
      </c>
      <c r="Y211" s="3">
        <v>398.70001220703125</v>
      </c>
      <c r="Z211" s="3">
        <v>398.70001220703125</v>
      </c>
      <c r="AA211" s="3">
        <v>398.10000610351563</v>
      </c>
      <c r="AB211" s="3">
        <v>398.10000610351563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</row>
    <row r="212" spans="1:110" ht="14.25" customHeight="1" x14ac:dyDescent="0.3">
      <c r="A212" s="1">
        <f t="shared" si="9"/>
        <v>203</v>
      </c>
      <c r="B212" s="1" t="s">
        <v>284</v>
      </c>
      <c r="C212" s="4">
        <v>0.38283564814815052</v>
      </c>
      <c r="D212" s="4">
        <v>0.38298611111111347</v>
      </c>
      <c r="E212" s="2">
        <v>13.299999999999999</v>
      </c>
      <c r="F212" s="2">
        <v>13.44</v>
      </c>
      <c r="G212" s="1" t="s">
        <v>26</v>
      </c>
      <c r="H212" s="4">
        <f t="shared" si="10"/>
        <v>1.5046296296294948E-4</v>
      </c>
      <c r="J212">
        <v>390.29998779296875</v>
      </c>
      <c r="K212" s="1">
        <v>394.39999389648438</v>
      </c>
      <c r="L212">
        <v>394.39999389648438</v>
      </c>
      <c r="M212">
        <v>398.79998779296875</v>
      </c>
      <c r="N212">
        <v>398.79998779296875</v>
      </c>
      <c r="P212">
        <v>399.20001220703125</v>
      </c>
      <c r="Q212">
        <v>399.20001220703125</v>
      </c>
      <c r="R212">
        <v>395.79998779296875</v>
      </c>
      <c r="S212" s="3">
        <v>395.79998779296875</v>
      </c>
      <c r="T212" s="3"/>
      <c r="U212" s="3">
        <v>399.89999389648438</v>
      </c>
      <c r="V212" s="3">
        <v>399.89999389648438</v>
      </c>
      <c r="W212" s="3">
        <v>399.89999389648438</v>
      </c>
      <c r="X212" s="3">
        <v>398.60000610351563</v>
      </c>
      <c r="Y212" s="3">
        <v>398.10000610351563</v>
      </c>
      <c r="Z212" s="3">
        <v>398.10000610351563</v>
      </c>
      <c r="AA212" s="3">
        <v>395.39999389648438</v>
      </c>
      <c r="AB212" s="3">
        <v>395.39999389648438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</row>
    <row r="213" spans="1:110" ht="14.25" customHeight="1" x14ac:dyDescent="0.3">
      <c r="A213" s="1">
        <f t="shared" si="9"/>
        <v>204</v>
      </c>
      <c r="B213" s="1" t="s">
        <v>211</v>
      </c>
      <c r="C213" s="4">
        <v>0.38327546296296533</v>
      </c>
      <c r="D213" s="4">
        <v>0.38341435185185424</v>
      </c>
      <c r="E213" s="2">
        <v>13.299999999999999</v>
      </c>
      <c r="F213" s="2">
        <v>13.44</v>
      </c>
      <c r="G213" s="1" t="s">
        <v>26</v>
      </c>
      <c r="H213" s="4">
        <f t="shared" si="10"/>
        <v>1.388888888889106E-4</v>
      </c>
      <c r="J213">
        <v>390.70001220703125</v>
      </c>
      <c r="K213" s="3">
        <v>391.39999389648438</v>
      </c>
      <c r="L213" s="3">
        <v>391.39999389648438</v>
      </c>
      <c r="M213" s="3">
        <v>399.89999389648438</v>
      </c>
      <c r="N213" s="3">
        <v>399.89999389648438</v>
      </c>
      <c r="O213" s="3"/>
      <c r="P213" s="3">
        <v>399.89999389648438</v>
      </c>
      <c r="Q213" s="3">
        <v>399.89999389648438</v>
      </c>
      <c r="R213" s="3">
        <v>399.89999389648438</v>
      </c>
      <c r="S213" s="3">
        <v>399.89999389648438</v>
      </c>
      <c r="T213" s="3"/>
      <c r="U213" s="3">
        <v>399.89999389648438</v>
      </c>
      <c r="V213" s="3">
        <v>399.89999389648438</v>
      </c>
      <c r="W213" s="3">
        <v>399.89999389648438</v>
      </c>
      <c r="X213" s="3">
        <v>399.89999389648438</v>
      </c>
      <c r="Y213" s="3"/>
      <c r="Z213" s="3">
        <v>399.89999389648438</v>
      </c>
      <c r="AA213" s="3">
        <v>397</v>
      </c>
      <c r="AB213" s="3">
        <v>397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</row>
    <row r="214" spans="1:110" ht="14.25" customHeight="1" x14ac:dyDescent="0.3">
      <c r="A214" s="1">
        <f t="shared" si="9"/>
        <v>205</v>
      </c>
      <c r="B214" s="1" t="s">
        <v>212</v>
      </c>
      <c r="C214" s="4">
        <v>0.38369212962963201</v>
      </c>
      <c r="D214" s="4">
        <v>0.38383101851852092</v>
      </c>
      <c r="E214" s="2">
        <v>13.299999999999999</v>
      </c>
      <c r="F214" s="2">
        <v>13.37</v>
      </c>
      <c r="G214" s="1" t="s">
        <v>26</v>
      </c>
      <c r="H214" s="4">
        <f t="shared" si="10"/>
        <v>1.388888888889106E-4</v>
      </c>
      <c r="J214">
        <v>390.20001220703125</v>
      </c>
      <c r="K214" s="3">
        <v>390.20001220703125</v>
      </c>
      <c r="L214" s="3">
        <v>396.29998779296875</v>
      </c>
      <c r="M214" s="3">
        <v>396.29998779296875</v>
      </c>
      <c r="N214" s="3"/>
      <c r="O214" s="3"/>
      <c r="P214" s="3"/>
      <c r="Q214" s="3"/>
      <c r="R214" s="3">
        <v>390.60000610351563</v>
      </c>
      <c r="S214" s="3">
        <v>390.60000610351563</v>
      </c>
      <c r="T214" s="3"/>
      <c r="U214" s="3">
        <v>390.5</v>
      </c>
      <c r="V214" s="3">
        <v>390.5</v>
      </c>
      <c r="W214" s="3">
        <v>390.5</v>
      </c>
      <c r="X214" s="3">
        <v>390.5</v>
      </c>
      <c r="Y214" s="3">
        <v>398.89999389648438</v>
      </c>
      <c r="Z214" s="3">
        <v>398.89999389648438</v>
      </c>
      <c r="AA214" s="3">
        <v>398.20001220703125</v>
      </c>
      <c r="AB214" s="3">
        <v>398.20001220703125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</row>
    <row r="215" spans="1:110" ht="14.25" customHeight="1" x14ac:dyDescent="0.3">
      <c r="A215" s="1">
        <f t="shared" si="9"/>
        <v>206</v>
      </c>
      <c r="B215" s="1" t="s">
        <v>213</v>
      </c>
      <c r="C215" s="4">
        <v>0.38406250000000242</v>
      </c>
      <c r="D215" s="4">
        <v>0.38420138888889133</v>
      </c>
      <c r="E215" s="2">
        <v>13.299999999999999</v>
      </c>
      <c r="F215" s="2">
        <v>13.35</v>
      </c>
      <c r="G215" s="1" t="s">
        <v>26</v>
      </c>
      <c r="H215" s="4">
        <f t="shared" si="10"/>
        <v>1.388888888889106E-4</v>
      </c>
      <c r="J215">
        <v>390.89999389648438</v>
      </c>
      <c r="K215" s="3">
        <v>390.89999389648438</v>
      </c>
      <c r="L215" s="3">
        <v>392.39999389648438</v>
      </c>
      <c r="M215" s="3">
        <v>392.39999389648438</v>
      </c>
      <c r="N215" s="3"/>
      <c r="O215" s="3">
        <v>392.60000610351563</v>
      </c>
      <c r="P215" s="3">
        <v>392.60000610351563</v>
      </c>
      <c r="Q215" s="3">
        <v>392.39999389648438</v>
      </c>
      <c r="R215" s="3">
        <v>392.39999389648438</v>
      </c>
      <c r="S215" s="3">
        <v>399.89999389648438</v>
      </c>
      <c r="T215" s="3">
        <v>390.39999389648438</v>
      </c>
      <c r="U215" s="3">
        <v>394.60000610351563</v>
      </c>
      <c r="V215" s="3">
        <v>394.60000610351563</v>
      </c>
      <c r="W215" s="3">
        <v>392.29998779296875</v>
      </c>
      <c r="X215" s="3">
        <v>392.29998779296875</v>
      </c>
      <c r="Y215" s="3">
        <v>392.5</v>
      </c>
      <c r="Z215" s="3">
        <v>399.89999389648438</v>
      </c>
      <c r="AA215" s="3">
        <v>392.79998779296875</v>
      </c>
      <c r="AB215" s="3">
        <v>392.79998779296875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</row>
    <row r="216" spans="1:110" ht="14.25" customHeight="1" x14ac:dyDescent="0.3">
      <c r="A216" s="1">
        <f t="shared" si="9"/>
        <v>207</v>
      </c>
      <c r="B216" s="1" t="s">
        <v>265</v>
      </c>
      <c r="C216" s="4">
        <v>0.38446759259259505</v>
      </c>
      <c r="D216" s="4">
        <v>0.38464120370370619</v>
      </c>
      <c r="E216" s="2">
        <v>13.299999999999999</v>
      </c>
      <c r="F216" s="2">
        <v>13.329999999999998</v>
      </c>
      <c r="G216" s="1" t="s">
        <v>26</v>
      </c>
      <c r="H216" s="4">
        <f t="shared" si="10"/>
        <v>1.7361111111113825E-4</v>
      </c>
      <c r="J216">
        <v>390.29998779296875</v>
      </c>
      <c r="K216" s="3">
        <v>394.79998779296875</v>
      </c>
      <c r="L216" s="3">
        <v>394.79998779296875</v>
      </c>
      <c r="M216" s="3"/>
      <c r="N216" s="3">
        <v>399.89999389648438</v>
      </c>
      <c r="O216" s="3">
        <v>399.89999389648438</v>
      </c>
      <c r="P216" s="3">
        <v>398.20001220703125</v>
      </c>
      <c r="Q216" s="3">
        <v>398.20001220703125</v>
      </c>
      <c r="R216" s="3">
        <v>398.10000610351563</v>
      </c>
      <c r="S216" s="3">
        <v>398.10000610351563</v>
      </c>
      <c r="T216" s="3">
        <v>398</v>
      </c>
      <c r="U216" s="3">
        <v>398</v>
      </c>
      <c r="V216" s="3">
        <v>394.70001220703125</v>
      </c>
      <c r="W216" s="3">
        <v>394.70001220703125</v>
      </c>
      <c r="X216" s="3"/>
      <c r="Y216" s="3">
        <v>394.29998779296875</v>
      </c>
      <c r="Z216" s="3">
        <v>394.29998779296875</v>
      </c>
      <c r="AA216" s="3">
        <v>393.89999389648438</v>
      </c>
      <c r="AB216" s="3">
        <v>393.89999389648438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</row>
    <row r="217" spans="1:110" ht="14.25" customHeight="1" x14ac:dyDescent="0.3">
      <c r="A217" s="1">
        <f t="shared" si="9"/>
        <v>208</v>
      </c>
      <c r="B217" s="1" t="s">
        <v>266</v>
      </c>
      <c r="C217" s="4">
        <v>0.38493055555555805</v>
      </c>
      <c r="D217" s="4">
        <v>0.38506944444444696</v>
      </c>
      <c r="E217" s="2">
        <v>13.299999999999999</v>
      </c>
      <c r="F217" s="2">
        <v>13.45</v>
      </c>
      <c r="G217" s="1" t="s">
        <v>26</v>
      </c>
      <c r="H217" s="4">
        <f t="shared" si="10"/>
        <v>1.388888888889106E-4</v>
      </c>
      <c r="J217">
        <v>390.5</v>
      </c>
      <c r="K217" s="3">
        <v>390.5</v>
      </c>
      <c r="L217" s="3">
        <v>390.79998779296875</v>
      </c>
      <c r="M217" s="3">
        <v>390.79998779296875</v>
      </c>
      <c r="N217" s="3">
        <v>399.89999389648438</v>
      </c>
      <c r="O217" s="3">
        <v>399.89999389648438</v>
      </c>
      <c r="P217" s="3">
        <v>399.89999389648438</v>
      </c>
      <c r="Q217" s="3">
        <v>399.89999389648438</v>
      </c>
      <c r="R217" s="3">
        <v>397.10000610351563</v>
      </c>
      <c r="S217" s="3">
        <v>397.10000610351563</v>
      </c>
      <c r="T217" s="3"/>
      <c r="U217" s="3">
        <v>396.89999389648438</v>
      </c>
      <c r="V217" s="3">
        <v>396.89999389648438</v>
      </c>
      <c r="W217" s="3">
        <v>396.60000610351563</v>
      </c>
      <c r="X217" s="3">
        <v>396.60000610351563</v>
      </c>
      <c r="Y217" s="3">
        <v>393.79998779296875</v>
      </c>
      <c r="Z217" s="3">
        <v>393.79998779296875</v>
      </c>
      <c r="AA217" s="3">
        <v>393.10000610351563</v>
      </c>
      <c r="AB217" s="3">
        <v>393.10000610351563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</row>
    <row r="218" spans="1:110" ht="14.25" customHeight="1" x14ac:dyDescent="0.3">
      <c r="A218" s="1">
        <f t="shared" si="9"/>
        <v>209</v>
      </c>
      <c r="B218" s="1" t="s">
        <v>283</v>
      </c>
      <c r="C218" s="4">
        <v>0.38534722222222473</v>
      </c>
      <c r="D218" s="4">
        <v>0.38550925925926177</v>
      </c>
      <c r="E218" s="2">
        <v>13.299999999999999</v>
      </c>
      <c r="F218" s="2">
        <v>13.45</v>
      </c>
      <c r="G218" s="1" t="s">
        <v>26</v>
      </c>
      <c r="H218" s="4">
        <f t="shared" si="10"/>
        <v>1.6203703703704386E-4</v>
      </c>
      <c r="J218">
        <v>390.29998779296875</v>
      </c>
      <c r="K218" s="3">
        <v>393</v>
      </c>
      <c r="L218" s="3">
        <v>393</v>
      </c>
      <c r="M218" s="3">
        <v>396.39999389648438</v>
      </c>
      <c r="N218" s="3">
        <v>396.39999389648438</v>
      </c>
      <c r="O218" s="3">
        <v>393.20001220703125</v>
      </c>
      <c r="P218" s="3">
        <v>393.20001220703125</v>
      </c>
      <c r="Q218" s="3"/>
      <c r="R218" s="3">
        <v>393</v>
      </c>
      <c r="S218" s="3">
        <v>393</v>
      </c>
      <c r="T218" s="3">
        <v>390.10000610351563</v>
      </c>
      <c r="U218" s="3">
        <v>390.10000610351563</v>
      </c>
      <c r="V218" s="3">
        <v>399.89999389648438</v>
      </c>
      <c r="W218" s="3">
        <v>399.89999389648438</v>
      </c>
      <c r="X218" s="3">
        <v>399.89999389648438</v>
      </c>
      <c r="Y218" s="3">
        <v>399.89999389648438</v>
      </c>
      <c r="Z218" s="3">
        <v>398.29998779296875</v>
      </c>
      <c r="AA218" s="3">
        <v>393.89999389648438</v>
      </c>
      <c r="AB218" s="3">
        <v>393.89999389648438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</row>
    <row r="219" spans="1:110" ht="14.25" customHeight="1" x14ac:dyDescent="0.3">
      <c r="A219" s="1">
        <f t="shared" si="9"/>
        <v>210</v>
      </c>
      <c r="B219" s="1" t="s">
        <v>214</v>
      </c>
      <c r="C219" s="4">
        <v>0.3857638888888914</v>
      </c>
      <c r="D219" s="4">
        <v>0.38591435185185435</v>
      </c>
      <c r="E219" s="2">
        <v>13.299999999999999</v>
      </c>
      <c r="F219" s="2">
        <v>13.36</v>
      </c>
      <c r="G219" s="1" t="s">
        <v>26</v>
      </c>
      <c r="H219" s="4">
        <f t="shared" si="10"/>
        <v>1.5046296296294948E-4</v>
      </c>
      <c r="J219">
        <v>390.29998779296875</v>
      </c>
      <c r="K219" s="3">
        <v>391.29998779296875</v>
      </c>
      <c r="L219" s="3">
        <v>394.10000610351563</v>
      </c>
      <c r="M219" s="3">
        <v>394.10000610351563</v>
      </c>
      <c r="N219" s="3"/>
      <c r="O219" s="3">
        <v>395</v>
      </c>
      <c r="P219" s="3">
        <v>395</v>
      </c>
      <c r="Q219" s="3">
        <v>394.89999389648438</v>
      </c>
      <c r="R219" s="3">
        <v>394.89999389648438</v>
      </c>
      <c r="S219" s="3">
        <v>391.79998779296875</v>
      </c>
      <c r="T219" s="3">
        <v>391.79998779296875</v>
      </c>
      <c r="U219" s="3">
        <v>391.70001220703125</v>
      </c>
      <c r="V219" s="3">
        <v>391.70001220703125</v>
      </c>
      <c r="W219" s="3"/>
      <c r="X219" s="3">
        <v>391.70001220703125</v>
      </c>
      <c r="Y219" s="3">
        <v>391.70001220703125</v>
      </c>
      <c r="Z219" s="3">
        <v>391.5</v>
      </c>
      <c r="AA219" s="3">
        <v>391.5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</row>
    <row r="220" spans="1:110" ht="14.25" customHeight="1" x14ac:dyDescent="0.3">
      <c r="A220" s="1">
        <f t="shared" si="9"/>
        <v>211</v>
      </c>
      <c r="B220" s="1" t="s">
        <v>215</v>
      </c>
      <c r="C220" s="4">
        <v>0.38614583333333585</v>
      </c>
      <c r="D220" s="4">
        <v>0.3862962962962988</v>
      </c>
      <c r="E220" s="2">
        <v>13.299999999999999</v>
      </c>
      <c r="F220" s="2">
        <v>13.419999999999998</v>
      </c>
      <c r="G220" s="1" t="s">
        <v>26</v>
      </c>
      <c r="H220" s="4">
        <f t="shared" si="10"/>
        <v>1.5046296296294948E-4</v>
      </c>
      <c r="J220">
        <v>391.20001220703125</v>
      </c>
      <c r="K220" s="3">
        <v>391.20001220703125</v>
      </c>
      <c r="L220" s="3"/>
      <c r="M220" s="3">
        <v>394.10000610351563</v>
      </c>
      <c r="N220" s="3">
        <v>394.10000610351563</v>
      </c>
      <c r="O220" s="3">
        <v>391</v>
      </c>
      <c r="P220" s="3">
        <v>391</v>
      </c>
      <c r="Q220" s="3"/>
      <c r="R220" s="3"/>
      <c r="S220" s="3"/>
      <c r="T220" s="3"/>
      <c r="U220" s="3">
        <v>397</v>
      </c>
      <c r="V220" s="3">
        <v>397</v>
      </c>
      <c r="W220" s="3">
        <v>393.70001220703125</v>
      </c>
      <c r="X220" s="3">
        <v>393.70001220703125</v>
      </c>
      <c r="Y220" s="3">
        <v>393.60000610351563</v>
      </c>
      <c r="Z220" s="3">
        <v>393.60000610351563</v>
      </c>
      <c r="AA220" s="3">
        <v>393.20001220703125</v>
      </c>
      <c r="AB220" s="3">
        <v>393.20001220703125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</row>
    <row r="221" spans="1:110" ht="14.25" customHeight="1" x14ac:dyDescent="0.3">
      <c r="A221" s="1">
        <f t="shared" si="9"/>
        <v>212</v>
      </c>
      <c r="B221" s="1" t="s">
        <v>216</v>
      </c>
      <c r="C221" s="4">
        <v>0.38655092592592843</v>
      </c>
      <c r="D221" s="4">
        <v>0.38668981481481735</v>
      </c>
      <c r="E221" s="2">
        <v>13.299999999999999</v>
      </c>
      <c r="F221" s="2">
        <v>13.36</v>
      </c>
      <c r="G221" s="1" t="s">
        <v>26</v>
      </c>
      <c r="H221" s="4">
        <f t="shared" si="10"/>
        <v>1.388888888889106E-4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</row>
    <row r="222" spans="1:110" ht="14.25" customHeight="1" x14ac:dyDescent="0.3">
      <c r="A222" s="1">
        <f t="shared" si="9"/>
        <v>213</v>
      </c>
      <c r="B222" s="1" t="s">
        <v>217</v>
      </c>
      <c r="C222" s="4">
        <v>0.38692129629629884</v>
      </c>
      <c r="D222" s="4">
        <v>0.38706018518518776</v>
      </c>
      <c r="E222" s="2">
        <v>13.299999999999999</v>
      </c>
      <c r="F222" s="2">
        <v>13.329999999999998</v>
      </c>
      <c r="G222" s="1" t="s">
        <v>26</v>
      </c>
      <c r="H222" s="4">
        <f t="shared" si="10"/>
        <v>1.388888888889106E-4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</row>
    <row r="223" spans="1:110" ht="14.25" customHeight="1" x14ac:dyDescent="0.3">
      <c r="A223" s="1">
        <f t="shared" si="9"/>
        <v>214</v>
      </c>
      <c r="B223" s="1" t="s">
        <v>218</v>
      </c>
      <c r="C223" s="4">
        <v>0.38729166666666925</v>
      </c>
      <c r="D223" s="4">
        <v>0.3874421296296322</v>
      </c>
      <c r="E223" s="2">
        <v>13.299999999999999</v>
      </c>
      <c r="F223" s="2">
        <v>13.35</v>
      </c>
      <c r="G223" s="1" t="s">
        <v>26</v>
      </c>
      <c r="H223" s="4">
        <f t="shared" si="10"/>
        <v>1.5046296296294948E-4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</row>
    <row r="224" spans="1:110" ht="14.25" customHeight="1" x14ac:dyDescent="0.3">
      <c r="A224" s="1">
        <f t="shared" si="9"/>
        <v>215</v>
      </c>
      <c r="B224" s="1" t="s">
        <v>219</v>
      </c>
      <c r="C224" s="4">
        <v>0.38773148148148406</v>
      </c>
      <c r="D224" s="4">
        <v>0.3879050925925952</v>
      </c>
      <c r="E224" s="2">
        <v>13.299999999999999</v>
      </c>
      <c r="F224" s="2">
        <v>13.44</v>
      </c>
      <c r="G224" s="1" t="s">
        <v>26</v>
      </c>
      <c r="H224" s="4">
        <f t="shared" si="10"/>
        <v>1.7361111111113825E-4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</row>
    <row r="225" spans="1:110" ht="14.25" customHeight="1" x14ac:dyDescent="0.3">
      <c r="A225" s="1">
        <f t="shared" si="9"/>
        <v>216</v>
      </c>
      <c r="B225" s="1" t="s">
        <v>220</v>
      </c>
      <c r="C225" s="4">
        <v>0.38818287037037297</v>
      </c>
      <c r="D225" s="4">
        <v>0.38832175925926188</v>
      </c>
      <c r="E225" s="2">
        <v>13.299999999999999</v>
      </c>
      <c r="F225" s="2">
        <v>13.36</v>
      </c>
      <c r="G225" s="1" t="s">
        <v>26</v>
      </c>
      <c r="H225" s="4">
        <f t="shared" si="10"/>
        <v>1.388888888889106E-4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</row>
    <row r="226" spans="1:110" ht="14.25" customHeight="1" x14ac:dyDescent="0.3">
      <c r="A226" s="1">
        <f t="shared" si="9"/>
        <v>217</v>
      </c>
      <c r="B226" s="1" t="s">
        <v>221</v>
      </c>
      <c r="C226" s="4">
        <v>0.38859953703703964</v>
      </c>
      <c r="D226" s="4">
        <v>0.38877314814815078</v>
      </c>
      <c r="E226" s="2">
        <v>13.299999999999999</v>
      </c>
      <c r="F226" s="2">
        <v>13.36</v>
      </c>
      <c r="G226" s="1" t="s">
        <v>26</v>
      </c>
      <c r="H226" s="4">
        <f t="shared" si="10"/>
        <v>1.7361111111113825E-4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</row>
    <row r="227" spans="1:110" ht="14.25" customHeight="1" x14ac:dyDescent="0.3">
      <c r="A227" s="1">
        <f t="shared" si="9"/>
        <v>218</v>
      </c>
      <c r="B227" s="1" t="s">
        <v>222</v>
      </c>
      <c r="C227" s="4">
        <v>0.38902777777778041</v>
      </c>
      <c r="D227" s="4">
        <v>0.38918981481481746</v>
      </c>
      <c r="E227" s="2">
        <v>13.299999999999999</v>
      </c>
      <c r="F227" s="2">
        <v>13.45</v>
      </c>
      <c r="G227" s="1" t="s">
        <v>26</v>
      </c>
      <c r="H227" s="4">
        <f t="shared" si="10"/>
        <v>1.6203703703704386E-4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</row>
    <row r="228" spans="1:110" ht="14.25" customHeight="1" x14ac:dyDescent="0.3">
      <c r="A228" s="1">
        <f t="shared" si="9"/>
        <v>219</v>
      </c>
      <c r="B228" s="1" t="s">
        <v>223</v>
      </c>
      <c r="C228" s="4">
        <v>0.38945601851852119</v>
      </c>
      <c r="D228" s="4">
        <v>0.38962962962963232</v>
      </c>
      <c r="E228" s="2">
        <v>13.299999999999999</v>
      </c>
      <c r="F228" s="2">
        <v>13.36</v>
      </c>
      <c r="G228" s="1" t="s">
        <v>26</v>
      </c>
      <c r="H228" s="4">
        <f t="shared" si="10"/>
        <v>1.7361111111113825E-4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</row>
    <row r="229" spans="1:110" ht="14.25" customHeight="1" x14ac:dyDescent="0.3">
      <c r="A229" s="1">
        <f t="shared" si="9"/>
        <v>220</v>
      </c>
      <c r="B229" s="1" t="s">
        <v>224</v>
      </c>
      <c r="C229" s="4">
        <v>0.38987268518518786</v>
      </c>
      <c r="D229" s="4">
        <v>0.390046296296299</v>
      </c>
      <c r="E229" s="2">
        <v>13.299999999999999</v>
      </c>
      <c r="F229" s="2">
        <v>13.409999999999998</v>
      </c>
      <c r="G229" s="1" t="s">
        <v>26</v>
      </c>
      <c r="H229" s="4">
        <f t="shared" si="10"/>
        <v>1.7361111111113825E-4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</row>
    <row r="230" spans="1:110" ht="14.25" customHeight="1" x14ac:dyDescent="0.3">
      <c r="A230" s="1">
        <f t="shared" si="9"/>
        <v>221</v>
      </c>
      <c r="B230" s="1" t="s">
        <v>225</v>
      </c>
      <c r="C230" s="4">
        <v>0.39032407407407677</v>
      </c>
      <c r="D230" s="4">
        <v>0.39047453703703972</v>
      </c>
      <c r="E230" s="2">
        <v>13.299999999999999</v>
      </c>
      <c r="F230" s="2">
        <v>13.379999999999999</v>
      </c>
      <c r="G230" s="1" t="s">
        <v>26</v>
      </c>
      <c r="H230" s="4">
        <f t="shared" si="10"/>
        <v>1.5046296296294948E-4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</row>
    <row r="231" spans="1:110" ht="14.25" customHeight="1" x14ac:dyDescent="0.3">
      <c r="A231" s="1">
        <f t="shared" si="9"/>
        <v>222</v>
      </c>
      <c r="B231" s="1" t="s">
        <v>226</v>
      </c>
      <c r="C231" s="4">
        <v>0.39074074074074344</v>
      </c>
      <c r="D231" s="4">
        <v>0.39087962962963235</v>
      </c>
      <c r="E231" s="2">
        <v>13.299999999999999</v>
      </c>
      <c r="F231" s="2">
        <v>13.389999999999999</v>
      </c>
      <c r="G231" s="1" t="s">
        <v>26</v>
      </c>
      <c r="H231" s="4">
        <f t="shared" si="10"/>
        <v>1.388888888889106E-4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</row>
    <row r="232" spans="1:110" ht="14.25" customHeight="1" x14ac:dyDescent="0.3">
      <c r="A232" s="1">
        <f t="shared" si="9"/>
        <v>223</v>
      </c>
      <c r="B232" s="1" t="s">
        <v>227</v>
      </c>
      <c r="C232" s="4">
        <v>0.39116898148148421</v>
      </c>
      <c r="D232" s="4">
        <v>0.39133101851852126</v>
      </c>
      <c r="E232" s="2">
        <v>13.299999999999999</v>
      </c>
      <c r="F232" s="2">
        <v>13.319999999999999</v>
      </c>
      <c r="G232" s="1" t="s">
        <v>26</v>
      </c>
      <c r="H232" s="4">
        <f t="shared" si="10"/>
        <v>1.6203703703704386E-4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</row>
    <row r="233" spans="1:110" ht="14.25" customHeight="1" x14ac:dyDescent="0.3">
      <c r="A233" s="1">
        <f t="shared" si="9"/>
        <v>224</v>
      </c>
      <c r="B233" s="1" t="s">
        <v>228</v>
      </c>
      <c r="C233" s="4">
        <v>0.39157407407407679</v>
      </c>
      <c r="D233" s="4">
        <v>0.39174768518518793</v>
      </c>
      <c r="E233" s="2">
        <v>13.299999999999999</v>
      </c>
      <c r="F233" s="2">
        <v>13.409999999999998</v>
      </c>
      <c r="G233" s="1" t="s">
        <v>26</v>
      </c>
      <c r="H233" s="4">
        <f t="shared" si="10"/>
        <v>1.7361111111113825E-4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</row>
    <row r="234" spans="1:110" ht="14.25" customHeight="1" x14ac:dyDescent="0.3">
      <c r="A234" s="1">
        <f t="shared" si="9"/>
        <v>225</v>
      </c>
      <c r="B234" s="1" t="s">
        <v>229</v>
      </c>
      <c r="C234" s="4">
        <v>0.3920254629629657</v>
      </c>
      <c r="D234" s="4">
        <v>0.39218750000000274</v>
      </c>
      <c r="E234" s="2">
        <v>13.299999999999999</v>
      </c>
      <c r="F234" s="2">
        <v>13.45</v>
      </c>
      <c r="G234" s="1" t="s">
        <v>26</v>
      </c>
      <c r="H234" s="4">
        <f t="shared" si="10"/>
        <v>1.6203703703704386E-4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</row>
    <row r="235" spans="1:110" ht="14.25" customHeight="1" x14ac:dyDescent="0.3">
      <c r="A235" s="1">
        <f t="shared" si="9"/>
        <v>226</v>
      </c>
      <c r="B235" s="1" t="s">
        <v>230</v>
      </c>
      <c r="C235" s="4">
        <v>0.39246527777778051</v>
      </c>
      <c r="D235" s="4">
        <v>0.39263888888889165</v>
      </c>
      <c r="E235" s="2">
        <v>13.299999999999999</v>
      </c>
      <c r="F235" s="2">
        <v>13.319999999999999</v>
      </c>
      <c r="G235" s="1" t="s">
        <v>26</v>
      </c>
      <c r="H235" s="4">
        <f t="shared" si="10"/>
        <v>1.7361111111113825E-4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</row>
    <row r="236" spans="1:110" ht="14.25" customHeight="1" x14ac:dyDescent="0.3">
      <c r="A236" s="1">
        <f t="shared" si="9"/>
        <v>227</v>
      </c>
      <c r="B236" s="1" t="s">
        <v>231</v>
      </c>
      <c r="C236" s="4">
        <v>0.39291666666666941</v>
      </c>
      <c r="D236" s="4">
        <v>0.39309027777778055</v>
      </c>
      <c r="E236" s="2">
        <v>13.299999999999999</v>
      </c>
      <c r="F236" s="2">
        <v>13.409999999999998</v>
      </c>
      <c r="G236" s="1" t="s">
        <v>26</v>
      </c>
      <c r="H236" s="4">
        <f t="shared" si="10"/>
        <v>1.7361111111113825E-4</v>
      </c>
      <c r="J236">
        <v>392.89999389648438</v>
      </c>
      <c r="K236" s="3">
        <v>393.79998779296875</v>
      </c>
      <c r="L236" s="3">
        <v>393.79998779296875</v>
      </c>
      <c r="M236" s="3"/>
      <c r="N236" s="3">
        <v>399.20001220703125</v>
      </c>
      <c r="O236" s="3">
        <v>396.20001220703125</v>
      </c>
      <c r="P236" s="3">
        <v>396.20001220703125</v>
      </c>
      <c r="Q236" s="3"/>
      <c r="R236" s="3">
        <v>395.89999389648438</v>
      </c>
      <c r="S236" s="3">
        <v>395.89999389648438</v>
      </c>
      <c r="T236" s="3">
        <v>392.89999389648438</v>
      </c>
      <c r="U236" s="3">
        <v>392.89999389648438</v>
      </c>
      <c r="V236" s="3">
        <v>392.70001220703125</v>
      </c>
      <c r="W236" s="3">
        <v>392.70001220703125</v>
      </c>
      <c r="X236" s="3"/>
      <c r="Y236" s="3">
        <v>392.5</v>
      </c>
      <c r="Z236" s="3">
        <v>392.5</v>
      </c>
      <c r="AA236" s="3">
        <v>394.79998779296875</v>
      </c>
      <c r="AB236" s="3">
        <v>394.79998779296875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</row>
    <row r="237" spans="1:110" ht="14.25" customHeight="1" x14ac:dyDescent="0.3">
      <c r="A237" s="1">
        <f t="shared" si="9"/>
        <v>228</v>
      </c>
      <c r="B237" s="1" t="s">
        <v>232</v>
      </c>
      <c r="C237" s="4">
        <v>0.39334490740741018</v>
      </c>
      <c r="D237" s="4">
        <v>0.39348379629629909</v>
      </c>
      <c r="E237" s="2">
        <v>13.299999999999999</v>
      </c>
      <c r="F237" s="2">
        <v>13.389999999999999</v>
      </c>
      <c r="G237" s="1" t="s">
        <v>26</v>
      </c>
      <c r="H237" s="4">
        <f t="shared" si="10"/>
        <v>1.388888888889106E-4</v>
      </c>
      <c r="J237">
        <v>390.60000610351563</v>
      </c>
      <c r="K237" s="3">
        <v>392</v>
      </c>
      <c r="L237" s="3">
        <v>392</v>
      </c>
      <c r="M237" s="3">
        <v>395</v>
      </c>
      <c r="N237" s="3">
        <v>395</v>
      </c>
      <c r="O237" s="3">
        <v>391.89999389648438</v>
      </c>
      <c r="P237" s="3">
        <v>391.89999389648438</v>
      </c>
      <c r="Q237" s="3">
        <v>391.89999389648438</v>
      </c>
      <c r="R237" s="3">
        <v>391.89999389648438</v>
      </c>
      <c r="S237" s="3"/>
      <c r="T237" s="3">
        <v>391.70001220703125</v>
      </c>
      <c r="U237" s="3">
        <v>391.70001220703125</v>
      </c>
      <c r="V237" s="3">
        <v>399.89999389648438</v>
      </c>
      <c r="W237" s="3">
        <v>399.89999389648438</v>
      </c>
      <c r="X237" s="3">
        <v>399.89999389648438</v>
      </c>
      <c r="Y237" s="3">
        <v>399.89999389648438</v>
      </c>
      <c r="Z237" s="3">
        <v>397.20001220703125</v>
      </c>
      <c r="AA237" s="3">
        <v>397.20001220703125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</row>
    <row r="238" spans="1:110" ht="14.25" customHeight="1" x14ac:dyDescent="0.3">
      <c r="A238" s="1">
        <f t="shared" si="9"/>
        <v>229</v>
      </c>
      <c r="B238" s="1" t="s">
        <v>267</v>
      </c>
      <c r="C238" s="4">
        <v>0.39377314814815095</v>
      </c>
      <c r="D238" s="4">
        <v>0.39391203703703986</v>
      </c>
      <c r="E238" s="2">
        <v>13.299999999999999</v>
      </c>
      <c r="F238" s="2">
        <v>13.309999999999999</v>
      </c>
      <c r="G238" s="1" t="s">
        <v>26</v>
      </c>
      <c r="H238" s="4">
        <f t="shared" si="10"/>
        <v>1.388888888889106E-4</v>
      </c>
      <c r="J238">
        <v>390.79998779296875</v>
      </c>
      <c r="K238" s="3">
        <v>390.70001220703125</v>
      </c>
      <c r="L238" s="3">
        <v>390.70001220703125</v>
      </c>
      <c r="M238" s="3"/>
      <c r="N238" s="3">
        <v>390.79998779296875</v>
      </c>
      <c r="O238" s="3">
        <v>390.79998779296875</v>
      </c>
      <c r="P238" s="3">
        <v>390.70001220703125</v>
      </c>
      <c r="Q238" s="3">
        <v>390.70001220703125</v>
      </c>
      <c r="R238" s="3">
        <v>399.89999389648438</v>
      </c>
      <c r="S238" s="3">
        <v>399.89999389648438</v>
      </c>
      <c r="T238" s="3"/>
      <c r="U238" s="3">
        <v>399.89999389648438</v>
      </c>
      <c r="V238" s="3">
        <v>399.89999389648438</v>
      </c>
      <c r="W238" s="3">
        <v>396.70001220703125</v>
      </c>
      <c r="X238" s="3">
        <v>396.70001220703125</v>
      </c>
      <c r="Y238" s="3">
        <v>396.39999389648438</v>
      </c>
      <c r="Z238" s="3">
        <v>396.39999389648438</v>
      </c>
      <c r="AA238" s="3">
        <v>395.60000610351563</v>
      </c>
      <c r="AB238" s="3">
        <v>395.60000610351563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</row>
    <row r="239" spans="1:110" ht="14.25" customHeight="1" x14ac:dyDescent="0.3">
      <c r="A239" s="1">
        <f t="shared" si="9"/>
        <v>230</v>
      </c>
      <c r="B239" s="1" t="s">
        <v>268</v>
      </c>
      <c r="C239" s="4">
        <v>0.39420138888889172</v>
      </c>
      <c r="D239" s="4">
        <v>0.39437500000000286</v>
      </c>
      <c r="E239" s="2">
        <v>13.299999999999999</v>
      </c>
      <c r="F239" s="2">
        <v>13.409999999999998</v>
      </c>
      <c r="G239" s="1" t="s">
        <v>26</v>
      </c>
      <c r="H239" s="4">
        <f t="shared" si="10"/>
        <v>1.7361111111113825E-4</v>
      </c>
      <c r="J239">
        <v>390.5</v>
      </c>
      <c r="K239" s="3">
        <v>390.5</v>
      </c>
      <c r="L239" s="3"/>
      <c r="M239" s="3">
        <v>399.89999389648438</v>
      </c>
      <c r="N239" s="3">
        <v>399.89999389648438</v>
      </c>
      <c r="O239" s="3">
        <v>399.5</v>
      </c>
      <c r="P239" s="3">
        <v>399.5</v>
      </c>
      <c r="Q239" s="3"/>
      <c r="R239" s="3">
        <v>399.29998779296875</v>
      </c>
      <c r="S239" s="3">
        <v>399.29998779296875</v>
      </c>
      <c r="T239" s="3">
        <v>399.29998779296875</v>
      </c>
      <c r="U239" s="3">
        <v>396</v>
      </c>
      <c r="V239" s="3">
        <v>395.89999389648438</v>
      </c>
      <c r="W239" s="3">
        <v>395.89999389648438</v>
      </c>
      <c r="X239" s="3">
        <v>395.60000610351563</v>
      </c>
      <c r="Y239" s="3">
        <v>395.60000610351563</v>
      </c>
      <c r="Z239" s="3">
        <v>392.39999389648438</v>
      </c>
      <c r="AA239" s="3">
        <v>392.39999389648438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</row>
    <row r="240" spans="1:110" ht="14.25" customHeight="1" x14ac:dyDescent="0.3">
      <c r="A240" s="1">
        <f t="shared" si="9"/>
        <v>231</v>
      </c>
      <c r="B240" s="1" t="s">
        <v>233</v>
      </c>
      <c r="C240" s="4">
        <v>0.39464120370370659</v>
      </c>
      <c r="D240" s="4">
        <v>0.39481481481481773</v>
      </c>
      <c r="E240" s="2">
        <v>13.299999999999999</v>
      </c>
      <c r="F240" s="2">
        <v>13.44</v>
      </c>
      <c r="G240" s="1" t="s">
        <v>26</v>
      </c>
      <c r="H240" s="4">
        <f t="shared" si="10"/>
        <v>1.7361111111113825E-4</v>
      </c>
      <c r="J240">
        <v>393.10000610351563</v>
      </c>
      <c r="K240" s="3">
        <v>391.79998779296875</v>
      </c>
      <c r="L240" s="3">
        <v>391.79998779296875</v>
      </c>
      <c r="M240" s="3">
        <v>391.79998779296875</v>
      </c>
      <c r="N240" s="3">
        <v>391.79998779296875</v>
      </c>
      <c r="O240" s="3">
        <v>391.79998779296875</v>
      </c>
      <c r="P240" s="3">
        <v>391.79998779296875</v>
      </c>
      <c r="Q240" s="3">
        <v>399.89999389648438</v>
      </c>
      <c r="R240" s="3">
        <v>399.89999389648438</v>
      </c>
      <c r="S240" s="3"/>
      <c r="T240" s="3">
        <v>399.89999389648438</v>
      </c>
      <c r="U240" s="3">
        <v>399.89999389648438</v>
      </c>
      <c r="V240" s="3">
        <v>399.89999389648438</v>
      </c>
      <c r="W240" s="3">
        <v>399.89999389648438</v>
      </c>
      <c r="X240" s="3">
        <v>397.29998779296875</v>
      </c>
      <c r="Y240" s="3">
        <v>397.29998779296875</v>
      </c>
      <c r="Z240" s="3">
        <v>397</v>
      </c>
      <c r="AA240" s="3">
        <v>391.89999389648438</v>
      </c>
      <c r="AB240" s="3">
        <v>391.89999389648438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</row>
    <row r="241" spans="1:110" ht="14.25" customHeight="1" x14ac:dyDescent="0.3">
      <c r="A241" s="1">
        <f t="shared" si="9"/>
        <v>232</v>
      </c>
      <c r="B241" s="1" t="s">
        <v>234</v>
      </c>
      <c r="C241" s="4">
        <v>0.39508101851852145</v>
      </c>
      <c r="D241" s="4">
        <v>0.39525462962963259</v>
      </c>
      <c r="E241" s="2">
        <v>13.299999999999999</v>
      </c>
      <c r="F241" s="2">
        <v>13.36</v>
      </c>
      <c r="G241" s="1" t="s">
        <v>26</v>
      </c>
      <c r="H241" s="4">
        <f t="shared" si="10"/>
        <v>1.7361111111113825E-4</v>
      </c>
      <c r="J241">
        <v>390.70001220703125</v>
      </c>
      <c r="K241" s="3">
        <v>392.20001220703125</v>
      </c>
      <c r="L241" s="3">
        <v>392.20001220703125</v>
      </c>
      <c r="M241" s="3">
        <v>394.39999389648438</v>
      </c>
      <c r="N241" s="3">
        <v>394.39999389648438</v>
      </c>
      <c r="O241" s="3"/>
      <c r="P241" s="3">
        <v>393.89999389648438</v>
      </c>
      <c r="Q241" s="3">
        <v>393.89999389648438</v>
      </c>
      <c r="R241" s="3">
        <v>390.79998779296875</v>
      </c>
      <c r="S241" s="3">
        <v>390.79998779296875</v>
      </c>
      <c r="T241" s="3">
        <v>390.70001220703125</v>
      </c>
      <c r="U241" s="3">
        <v>390.70001220703125</v>
      </c>
      <c r="V241" s="3"/>
      <c r="W241" s="3">
        <v>390.70001220703125</v>
      </c>
      <c r="X241" s="3">
        <v>399.29998779296875</v>
      </c>
      <c r="Y241" s="3">
        <v>399.29998779296875</v>
      </c>
      <c r="Z241" s="3">
        <v>399</v>
      </c>
      <c r="AA241" s="3">
        <v>391.70001220703125</v>
      </c>
      <c r="AB241" s="3">
        <v>391.70001220703125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</row>
    <row r="242" spans="1:110" ht="14.25" customHeight="1" x14ac:dyDescent="0.3">
      <c r="A242" s="1">
        <f t="shared" si="9"/>
        <v>233</v>
      </c>
      <c r="B242" s="1" t="s">
        <v>235</v>
      </c>
      <c r="C242" s="4">
        <v>0.39552083333333632</v>
      </c>
      <c r="D242" s="4">
        <v>0.39568287037037336</v>
      </c>
      <c r="E242" s="2">
        <v>13.299999999999999</v>
      </c>
      <c r="F242" s="2">
        <v>13.399999999999999</v>
      </c>
      <c r="G242" s="1" t="s">
        <v>26</v>
      </c>
      <c r="H242" s="4">
        <f t="shared" si="10"/>
        <v>1.6203703703704386E-4</v>
      </c>
      <c r="J242">
        <v>391.29998779296875</v>
      </c>
      <c r="K242" s="3">
        <v>395.89999389648438</v>
      </c>
      <c r="L242" s="3">
        <v>395.89999389648438</v>
      </c>
      <c r="M242" s="3">
        <v>399.89999389648438</v>
      </c>
      <c r="N242" s="3">
        <v>399.89999389648438</v>
      </c>
      <c r="O242" s="3"/>
      <c r="P242" s="3">
        <v>399.89999389648438</v>
      </c>
      <c r="Q242" s="3">
        <v>399.89999389648438</v>
      </c>
      <c r="R242" s="3">
        <v>399</v>
      </c>
      <c r="S242" s="3">
        <v>399</v>
      </c>
      <c r="T242" s="3"/>
      <c r="U242" s="3"/>
      <c r="V242" s="3"/>
      <c r="W242" s="3"/>
      <c r="X242" s="3">
        <v>392.39999389648438</v>
      </c>
      <c r="Y242" s="3">
        <v>392.29998779296875</v>
      </c>
      <c r="Z242" s="3">
        <v>392.29998779296875</v>
      </c>
      <c r="AA242" s="3">
        <v>399.39999389648438</v>
      </c>
      <c r="AB242" s="3">
        <v>399.39999389648438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</row>
    <row r="243" spans="1:110" ht="14.25" customHeight="1" x14ac:dyDescent="0.3">
      <c r="A243" s="1">
        <f t="shared" si="9"/>
        <v>234</v>
      </c>
      <c r="B243" s="1" t="s">
        <v>236</v>
      </c>
      <c r="C243" s="4">
        <v>0.39597222222222522</v>
      </c>
      <c r="D243" s="4">
        <v>0.39614583333333636</v>
      </c>
      <c r="E243" s="2">
        <v>13.299999999999999</v>
      </c>
      <c r="F243" s="2">
        <v>13.329999999999998</v>
      </c>
      <c r="G243" s="1" t="s">
        <v>26</v>
      </c>
      <c r="H243" s="4">
        <f t="shared" si="10"/>
        <v>1.7361111111113825E-4</v>
      </c>
      <c r="J243">
        <v>390.39999389648438</v>
      </c>
      <c r="K243" s="3">
        <v>394.5</v>
      </c>
      <c r="L243" s="3">
        <v>394.5</v>
      </c>
      <c r="M243" s="3"/>
      <c r="N243" s="3">
        <v>397.60000610351563</v>
      </c>
      <c r="O243" s="3">
        <v>397.60000610351563</v>
      </c>
      <c r="P243" s="3">
        <v>398.10000610351563</v>
      </c>
      <c r="Q243" s="3">
        <v>398.10000610351563</v>
      </c>
      <c r="R243" s="3">
        <v>394.70001220703125</v>
      </c>
      <c r="S243" s="3">
        <v>394.70001220703125</v>
      </c>
      <c r="T243" s="3">
        <v>394.79998779296875</v>
      </c>
      <c r="U243" s="3">
        <v>394.79998779296875</v>
      </c>
      <c r="V243" s="3"/>
      <c r="W243" s="3">
        <v>397.5</v>
      </c>
      <c r="X243" s="3">
        <v>397.5</v>
      </c>
      <c r="Y243" s="3"/>
      <c r="Z243" s="3">
        <v>397.20001220703125</v>
      </c>
      <c r="AA243" s="3">
        <v>397.20001220703125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</row>
    <row r="244" spans="1:110" ht="14.25" customHeight="1" x14ac:dyDescent="0.3">
      <c r="A244" s="1">
        <f t="shared" si="9"/>
        <v>235</v>
      </c>
      <c r="B244" s="1" t="s">
        <v>237</v>
      </c>
      <c r="C244" s="4">
        <v>0.39641203703704009</v>
      </c>
      <c r="D244" s="4">
        <v>0.396550925925929</v>
      </c>
      <c r="E244" s="2">
        <v>13.299999999999999</v>
      </c>
      <c r="F244" s="2">
        <v>13.35</v>
      </c>
      <c r="G244" s="1" t="s">
        <v>26</v>
      </c>
      <c r="H244" s="4">
        <f t="shared" si="10"/>
        <v>1.388888888889106E-4</v>
      </c>
      <c r="J244">
        <v>392</v>
      </c>
      <c r="K244" s="3">
        <v>393.89999389648438</v>
      </c>
      <c r="L244" s="3">
        <v>393.89999389648438</v>
      </c>
      <c r="M244" s="3">
        <v>399.5</v>
      </c>
      <c r="N244" s="3">
        <v>399.5</v>
      </c>
      <c r="O244" s="3">
        <v>397.20001220703125</v>
      </c>
      <c r="P244" s="3">
        <v>397.20001220703125</v>
      </c>
      <c r="Q244" s="3"/>
      <c r="R244" s="3">
        <v>396.89999389648438</v>
      </c>
      <c r="S244" s="3">
        <v>396.89999389648438</v>
      </c>
      <c r="T244" s="3">
        <v>396.89999389648438</v>
      </c>
      <c r="U244" s="3">
        <v>396.89999389648438</v>
      </c>
      <c r="V244" s="3">
        <v>393.60000610351563</v>
      </c>
      <c r="W244" s="3">
        <v>393.60000610351563</v>
      </c>
      <c r="X244" s="3">
        <v>393.39999389648438</v>
      </c>
      <c r="Y244" s="3">
        <v>393.39999389648438</v>
      </c>
      <c r="Z244" s="3">
        <v>393</v>
      </c>
      <c r="AA244" s="3">
        <v>390.5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</row>
    <row r="245" spans="1:110" ht="14.25" customHeight="1" x14ac:dyDescent="0.3">
      <c r="A245" s="1">
        <f t="shared" si="9"/>
        <v>236</v>
      </c>
      <c r="B245" s="1" t="s">
        <v>238</v>
      </c>
      <c r="C245" s="4">
        <v>0.39684027777778086</v>
      </c>
      <c r="D245" s="4">
        <v>0.39697916666666977</v>
      </c>
      <c r="E245" s="2">
        <v>13.299999999999999</v>
      </c>
      <c r="F245" s="2">
        <v>13.36</v>
      </c>
      <c r="G245" s="1" t="s">
        <v>26</v>
      </c>
      <c r="H245" s="4">
        <f t="shared" si="10"/>
        <v>1.388888888889106E-4</v>
      </c>
      <c r="J245">
        <v>390.29998779296875</v>
      </c>
      <c r="K245" s="3">
        <v>394.39999389648438</v>
      </c>
      <c r="L245" s="3">
        <v>397.29998779296875</v>
      </c>
      <c r="M245" s="3">
        <v>397.29998779296875</v>
      </c>
      <c r="N245" s="3"/>
      <c r="O245" s="3">
        <v>399.5</v>
      </c>
      <c r="P245" s="3">
        <v>399.5</v>
      </c>
      <c r="Q245" s="3">
        <v>399</v>
      </c>
      <c r="R245" s="3">
        <v>399</v>
      </c>
      <c r="S245" s="3">
        <v>395.79998779296875</v>
      </c>
      <c r="T245" s="3">
        <v>395.79998779296875</v>
      </c>
      <c r="U245" s="3"/>
      <c r="V245" s="3">
        <v>395.70001220703125</v>
      </c>
      <c r="W245" s="3">
        <v>392.39999389648438</v>
      </c>
      <c r="X245" s="3">
        <v>392.39999389648438</v>
      </c>
      <c r="Y245" s="3"/>
      <c r="Z245" s="3">
        <v>392.39999389648438</v>
      </c>
      <c r="AA245" s="3">
        <v>390.5</v>
      </c>
      <c r="AB245" s="3">
        <v>390.5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</row>
    <row r="246" spans="1:110" ht="14.25" customHeight="1" x14ac:dyDescent="0.3">
      <c r="A246" s="1">
        <f t="shared" si="9"/>
        <v>237</v>
      </c>
      <c r="B246" s="1" t="s">
        <v>239</v>
      </c>
      <c r="C246" s="4">
        <v>0.39721064814815127</v>
      </c>
      <c r="D246" s="4">
        <v>0.39734953703704018</v>
      </c>
      <c r="E246" s="2">
        <v>13.299999999999999</v>
      </c>
      <c r="F246" s="2">
        <v>13.339999999999998</v>
      </c>
      <c r="G246" s="1" t="s">
        <v>26</v>
      </c>
      <c r="H246" s="4">
        <f t="shared" si="10"/>
        <v>1.388888888889106E-4</v>
      </c>
      <c r="J246">
        <v>390.29998779296875</v>
      </c>
      <c r="K246" s="3">
        <v>390.5</v>
      </c>
      <c r="L246" s="3">
        <v>392.79998779296875</v>
      </c>
      <c r="M246" s="3">
        <v>392.79998779296875</v>
      </c>
      <c r="N246" s="3">
        <v>395.20001220703125</v>
      </c>
      <c r="O246" s="3">
        <v>395.20001220703125</v>
      </c>
      <c r="P246" s="3">
        <v>391.79998779296875</v>
      </c>
      <c r="Q246" s="3">
        <v>391.79998779296875</v>
      </c>
      <c r="R246" s="3">
        <v>391.79998779296875</v>
      </c>
      <c r="S246" s="3">
        <v>391.79998779296875</v>
      </c>
      <c r="T246" s="3">
        <v>399.89999389648438</v>
      </c>
      <c r="U246" s="3">
        <v>399.89999389648438</v>
      </c>
      <c r="V246" s="3"/>
      <c r="W246" s="3">
        <v>399.89999389648438</v>
      </c>
      <c r="X246" s="3">
        <v>399.89999389648438</v>
      </c>
      <c r="Y246" s="3">
        <v>399.89999389648438</v>
      </c>
      <c r="Z246" s="3">
        <v>396.60000610351563</v>
      </c>
      <c r="AA246" s="3">
        <v>391.29998779296875</v>
      </c>
      <c r="AB246" s="3">
        <v>391.29998779296875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</row>
    <row r="247" spans="1:110" ht="14.25" customHeight="1" x14ac:dyDescent="0.3">
      <c r="A247" s="1">
        <f t="shared" si="9"/>
        <v>238</v>
      </c>
      <c r="B247" s="1" t="s">
        <v>240</v>
      </c>
      <c r="C247" s="4">
        <v>0.39759259259259572</v>
      </c>
      <c r="D247" s="4">
        <v>0.39774305555555867</v>
      </c>
      <c r="E247" s="2">
        <v>13.299999999999999</v>
      </c>
      <c r="F247" s="2">
        <v>13.389999999999999</v>
      </c>
      <c r="G247" s="1" t="s">
        <v>26</v>
      </c>
      <c r="H247" s="4">
        <f t="shared" si="10"/>
        <v>1.5046296296294948E-4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</row>
    <row r="248" spans="1:110" ht="14.25" customHeight="1" x14ac:dyDescent="0.3">
      <c r="A248" s="1">
        <f t="shared" si="9"/>
        <v>239</v>
      </c>
      <c r="B248" s="1" t="s">
        <v>241</v>
      </c>
      <c r="C248" s="4">
        <v>0.3979861111111142</v>
      </c>
      <c r="D248" s="4">
        <v>0.39812500000000312</v>
      </c>
      <c r="E248" s="2">
        <v>13.299999999999999</v>
      </c>
      <c r="F248" s="2">
        <v>13.35</v>
      </c>
      <c r="G248" s="1" t="s">
        <v>26</v>
      </c>
      <c r="H248" s="4">
        <f t="shared" si="10"/>
        <v>1.388888888889106E-4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</row>
    <row r="249" spans="1:110" ht="14.25" customHeight="1" x14ac:dyDescent="0.3">
      <c r="A249" s="1">
        <f t="shared" si="9"/>
        <v>240</v>
      </c>
      <c r="B249" s="1" t="s">
        <v>269</v>
      </c>
      <c r="C249" s="4">
        <v>0.39835648148148461</v>
      </c>
      <c r="D249" s="4">
        <v>0.39850694444444756</v>
      </c>
      <c r="E249" s="2">
        <v>13.299999999999999</v>
      </c>
      <c r="F249" s="2">
        <v>13.419999999999998</v>
      </c>
      <c r="G249" s="1" t="s">
        <v>26</v>
      </c>
      <c r="H249" s="4">
        <f t="shared" si="10"/>
        <v>1.5046296296294948E-4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</row>
    <row r="250" spans="1:110" ht="14.25" customHeight="1" x14ac:dyDescent="0.3">
      <c r="A250" s="1">
        <f t="shared" si="9"/>
        <v>241</v>
      </c>
      <c r="B250" s="1" t="s">
        <v>270</v>
      </c>
      <c r="C250" s="4">
        <v>0.39873842592592906</v>
      </c>
      <c r="D250" s="4">
        <v>0.39887731481481797</v>
      </c>
      <c r="E250" s="2">
        <v>13.299999999999999</v>
      </c>
      <c r="F250" s="2">
        <v>13.37</v>
      </c>
      <c r="G250" s="1" t="s">
        <v>26</v>
      </c>
      <c r="H250" s="4">
        <f t="shared" si="10"/>
        <v>1.388888888889106E-4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</row>
    <row r="251" spans="1:110" ht="14.25" customHeight="1" x14ac:dyDescent="0.3">
      <c r="A251" s="1">
        <f t="shared" si="9"/>
        <v>242</v>
      </c>
      <c r="B251" s="1" t="s">
        <v>271</v>
      </c>
      <c r="C251" s="4">
        <v>0.3991435185185217</v>
      </c>
      <c r="D251" s="4">
        <v>0.39929398148148465</v>
      </c>
      <c r="E251" s="2">
        <v>13.299999999999999</v>
      </c>
      <c r="F251" s="2">
        <v>13.419999999999998</v>
      </c>
      <c r="G251" s="1" t="s">
        <v>26</v>
      </c>
      <c r="H251" s="4">
        <f t="shared" si="10"/>
        <v>1.5046296296294948E-4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</row>
    <row r="252" spans="1:110" ht="14.25" customHeight="1" x14ac:dyDescent="0.3">
      <c r="A252" s="1">
        <f t="shared" si="9"/>
        <v>243</v>
      </c>
      <c r="B252" s="1" t="s">
        <v>272</v>
      </c>
      <c r="C252" s="4">
        <v>0.39958333333333651</v>
      </c>
      <c r="D252" s="4">
        <v>0.39974537037037355</v>
      </c>
      <c r="E252" s="2">
        <v>13.299999999999999</v>
      </c>
      <c r="F252" s="2">
        <v>13.419999999999998</v>
      </c>
      <c r="G252" s="1" t="s">
        <v>26</v>
      </c>
      <c r="H252" s="4">
        <f t="shared" si="10"/>
        <v>1.6203703703704386E-4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</row>
    <row r="253" spans="1:110" ht="14.25" customHeight="1" x14ac:dyDescent="0.3">
      <c r="A253" s="1">
        <f t="shared" si="9"/>
        <v>244</v>
      </c>
      <c r="B253" s="1" t="s">
        <v>273</v>
      </c>
      <c r="C253" s="4">
        <v>0.39997685185185505</v>
      </c>
      <c r="D253" s="4">
        <v>0.40015046296296619</v>
      </c>
      <c r="E253" s="2">
        <v>13.299999999999999</v>
      </c>
      <c r="F253" s="2">
        <v>13.36</v>
      </c>
      <c r="G253" s="1" t="s">
        <v>26</v>
      </c>
      <c r="H253" s="4">
        <f t="shared" si="10"/>
        <v>1.7361111111113825E-4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</row>
    <row r="254" spans="1:110" ht="14.25" customHeight="1" x14ac:dyDescent="0.3">
      <c r="A254" s="1">
        <f t="shared" si="9"/>
        <v>245</v>
      </c>
      <c r="B254" s="1" t="s">
        <v>274</v>
      </c>
      <c r="C254" s="4">
        <v>0.40043981481481805</v>
      </c>
      <c r="D254" s="4">
        <v>0.40061342592592919</v>
      </c>
      <c r="E254" s="2">
        <v>13.299999999999999</v>
      </c>
      <c r="F254" s="2">
        <v>13.43</v>
      </c>
      <c r="G254" s="1" t="s">
        <v>26</v>
      </c>
      <c r="H254" s="4">
        <f t="shared" si="10"/>
        <v>1.7361111111113825E-4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</row>
    <row r="255" spans="1:110" ht="14.25" customHeight="1" x14ac:dyDescent="0.3">
      <c r="A255" s="1">
        <f t="shared" si="9"/>
        <v>246</v>
      </c>
      <c r="B255" s="1" t="s">
        <v>275</v>
      </c>
      <c r="C255" s="4">
        <v>0.40089120370370696</v>
      </c>
      <c r="D255" s="4">
        <v>0.401053240740744</v>
      </c>
      <c r="E255" s="2">
        <v>13.299999999999999</v>
      </c>
      <c r="F255" s="2">
        <v>13.379999999999999</v>
      </c>
      <c r="G255" s="1" t="s">
        <v>26</v>
      </c>
      <c r="H255" s="4">
        <f t="shared" si="10"/>
        <v>1.6203703703704386E-4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</row>
    <row r="256" spans="1:110" ht="14.25" customHeight="1" x14ac:dyDescent="0.3">
      <c r="A256" s="1">
        <f t="shared" si="9"/>
        <v>247</v>
      </c>
      <c r="B256" s="1" t="s">
        <v>276</v>
      </c>
      <c r="C256" s="4">
        <v>0.40134259259259586</v>
      </c>
      <c r="D256" s="4">
        <v>0.4015046296296329</v>
      </c>
      <c r="E256" s="2">
        <v>13.299999999999999</v>
      </c>
      <c r="F256" s="2">
        <v>13.45</v>
      </c>
      <c r="G256" s="1" t="s">
        <v>26</v>
      </c>
      <c r="H256" s="4">
        <f t="shared" si="10"/>
        <v>1.6203703703704386E-4</v>
      </c>
      <c r="J256">
        <v>390.89999389648438</v>
      </c>
      <c r="K256" s="3">
        <v>390.70001220703125</v>
      </c>
      <c r="L256" s="3">
        <v>393</v>
      </c>
      <c r="M256" s="3">
        <v>393</v>
      </c>
      <c r="N256" s="3">
        <v>394</v>
      </c>
      <c r="O256" s="3">
        <v>394</v>
      </c>
      <c r="P256" s="3">
        <v>390.79998779296875</v>
      </c>
      <c r="Q256" s="3">
        <v>390.79998779296875</v>
      </c>
      <c r="R256" s="3"/>
      <c r="S256" s="3">
        <v>390.60000610351563</v>
      </c>
      <c r="T256" s="3">
        <v>390.60000610351563</v>
      </c>
      <c r="U256" s="3">
        <v>399.89999389648438</v>
      </c>
      <c r="V256" s="3">
        <v>399.89999389648438</v>
      </c>
      <c r="W256" s="3">
        <v>399.60000610351563</v>
      </c>
      <c r="X256" s="3">
        <v>399.60000610351563</v>
      </c>
      <c r="Y256" s="3">
        <v>398.89999389648438</v>
      </c>
      <c r="Z256" s="3">
        <v>398.89999389648438</v>
      </c>
      <c r="AA256" s="3">
        <v>395.70001220703125</v>
      </c>
      <c r="AB256" s="3">
        <v>395.70001220703125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</row>
    <row r="257" spans="1:110" ht="14.25" customHeight="1" x14ac:dyDescent="0.3">
      <c r="A257" s="1">
        <f t="shared" si="9"/>
        <v>248</v>
      </c>
      <c r="B257" s="1" t="s">
        <v>277</v>
      </c>
      <c r="C257" s="4">
        <v>0.40175925925926254</v>
      </c>
      <c r="D257" s="4">
        <v>0.40190972222222549</v>
      </c>
      <c r="E257" s="2">
        <v>13.299999999999999</v>
      </c>
      <c r="F257" s="2">
        <v>13.419999999999998</v>
      </c>
      <c r="G257" s="1" t="s">
        <v>26</v>
      </c>
      <c r="H257" s="4">
        <f t="shared" si="10"/>
        <v>1.5046296296294948E-4</v>
      </c>
      <c r="J257">
        <v>390.60000610351563</v>
      </c>
      <c r="K257" s="3">
        <v>390.60000610351563</v>
      </c>
      <c r="L257" s="3">
        <v>395.29998779296875</v>
      </c>
      <c r="M257" s="3">
        <v>395.29998779296875</v>
      </c>
      <c r="N257" s="3"/>
      <c r="O257" s="3"/>
      <c r="P257" s="3"/>
      <c r="Q257" s="3"/>
      <c r="R257" s="3">
        <v>392.60000610351563</v>
      </c>
      <c r="S257" s="3">
        <v>392.60000610351563</v>
      </c>
      <c r="T257" s="3">
        <v>399.89999389648438</v>
      </c>
      <c r="U257" s="3">
        <v>399.89999389648438</v>
      </c>
      <c r="V257" s="3">
        <v>399.89999389648438</v>
      </c>
      <c r="W257" s="3">
        <v>399.89999389648438</v>
      </c>
      <c r="X257" s="3">
        <v>398.29998779296875</v>
      </c>
      <c r="Y257" s="3">
        <v>398.29998779296875</v>
      </c>
      <c r="Z257" s="3">
        <v>398.10000610351563</v>
      </c>
      <c r="AA257" s="3">
        <v>392.10000610351563</v>
      </c>
      <c r="AB257" s="3">
        <v>392.10000610351563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</row>
    <row r="258" spans="1:110" ht="14.25" customHeight="1" x14ac:dyDescent="0.3">
      <c r="A258" s="1">
        <f t="shared" si="9"/>
        <v>249</v>
      </c>
      <c r="B258" s="1" t="s">
        <v>278</v>
      </c>
      <c r="C258" s="4">
        <v>0.40219907407407735</v>
      </c>
      <c r="D258" s="4">
        <v>0.40233796296296626</v>
      </c>
      <c r="E258" s="2">
        <v>13.299999999999999</v>
      </c>
      <c r="F258" s="2">
        <v>13.45</v>
      </c>
      <c r="G258" s="1" t="s">
        <v>26</v>
      </c>
      <c r="H258" s="4">
        <f t="shared" si="10"/>
        <v>1.388888888889106E-4</v>
      </c>
      <c r="J258">
        <v>390.60000610351563</v>
      </c>
      <c r="K258" s="3">
        <v>392.39999389648438</v>
      </c>
      <c r="L258" s="3">
        <v>392.39999389648438</v>
      </c>
      <c r="M258" s="3">
        <v>394.70001220703125</v>
      </c>
      <c r="N258" s="3">
        <v>394.70001220703125</v>
      </c>
      <c r="O258" s="3">
        <v>391.60000610351563</v>
      </c>
      <c r="P258" s="3">
        <v>391.60000610351563</v>
      </c>
      <c r="Q258" s="3"/>
      <c r="R258" s="3">
        <v>391.60000610351563</v>
      </c>
      <c r="S258" s="3">
        <v>391.60000610351563</v>
      </c>
      <c r="T258" s="3">
        <v>391.60000610351563</v>
      </c>
      <c r="U258" s="3">
        <v>391.60000610351563</v>
      </c>
      <c r="V258" s="3">
        <v>399.89999389648438</v>
      </c>
      <c r="W258" s="3">
        <v>399.89999389648438</v>
      </c>
      <c r="X258" s="3">
        <v>399.89999389648438</v>
      </c>
      <c r="Y258" s="3">
        <v>399.89999389648438</v>
      </c>
      <c r="Z258" s="3">
        <v>399.70001220703125</v>
      </c>
      <c r="AA258" s="3">
        <v>393.29998779296875</v>
      </c>
      <c r="AB258" s="3">
        <v>393.29998779296875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</row>
    <row r="259" spans="1:110" ht="14.25" customHeight="1" x14ac:dyDescent="0.3">
      <c r="A259" s="1">
        <f t="shared" si="9"/>
        <v>250</v>
      </c>
      <c r="B259" s="1" t="s">
        <v>279</v>
      </c>
      <c r="C259" s="4">
        <v>0.40259259259259589</v>
      </c>
      <c r="D259" s="4">
        <v>0.40274305555555884</v>
      </c>
      <c r="E259" s="2">
        <v>13.299999999999999</v>
      </c>
      <c r="F259" s="2">
        <v>13.419999999999998</v>
      </c>
      <c r="G259" s="1" t="s">
        <v>26</v>
      </c>
      <c r="H259" s="4">
        <f t="shared" si="10"/>
        <v>1.5046296296294948E-4</v>
      </c>
      <c r="J259">
        <v>390.39999389648438</v>
      </c>
      <c r="K259" s="3">
        <v>393.39999389648438</v>
      </c>
      <c r="L259" s="3">
        <v>393.39999389648438</v>
      </c>
      <c r="M259" s="3">
        <v>399.89999389648438</v>
      </c>
      <c r="N259" s="3">
        <v>399.89999389648438</v>
      </c>
      <c r="O259" s="3"/>
      <c r="P259" s="3">
        <v>397</v>
      </c>
      <c r="Q259" s="3">
        <v>397</v>
      </c>
      <c r="R259" s="3"/>
      <c r="S259" s="3">
        <v>399.89999389648438</v>
      </c>
      <c r="T259" s="3">
        <v>399.89999389648438</v>
      </c>
      <c r="U259" s="3"/>
      <c r="V259" s="3">
        <v>390.70001220703125</v>
      </c>
      <c r="W259" s="3">
        <v>390.70001220703125</v>
      </c>
      <c r="X259" s="3"/>
      <c r="Y259" s="3"/>
      <c r="Z259" s="3"/>
      <c r="AA259" s="3">
        <v>394.79998779296875</v>
      </c>
      <c r="AB259" s="3">
        <v>394.79998779296875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</row>
    <row r="260" spans="1:110" ht="14.25" customHeight="1" x14ac:dyDescent="0.3">
      <c r="A260" s="1">
        <f t="shared" si="9"/>
        <v>251</v>
      </c>
      <c r="B260" s="1" t="s">
        <v>280</v>
      </c>
      <c r="C260" s="4">
        <v>0.40299768518518847</v>
      </c>
      <c r="D260" s="4">
        <v>0.40317129629629961</v>
      </c>
      <c r="E260" s="2">
        <v>13.299999999999999</v>
      </c>
      <c r="F260" s="2">
        <v>13.309999999999999</v>
      </c>
      <c r="G260" s="1" t="s">
        <v>26</v>
      </c>
      <c r="H260" s="4">
        <f t="shared" si="10"/>
        <v>1.7361111111113825E-4</v>
      </c>
      <c r="J260">
        <v>390.70001220703125</v>
      </c>
      <c r="K260" s="3">
        <v>393</v>
      </c>
      <c r="L260" s="3">
        <v>397</v>
      </c>
      <c r="M260" s="3">
        <v>397</v>
      </c>
      <c r="N260" s="3"/>
      <c r="O260" s="3">
        <v>399.89999389648438</v>
      </c>
      <c r="P260" s="3">
        <v>398.70001220703125</v>
      </c>
      <c r="Q260" s="3">
        <v>398.70001220703125</v>
      </c>
      <c r="R260" s="3"/>
      <c r="S260" s="3">
        <v>398.5</v>
      </c>
      <c r="T260" s="3">
        <v>398.5</v>
      </c>
      <c r="U260" s="3">
        <v>398.39999389648438</v>
      </c>
      <c r="V260" s="3">
        <v>398.39999389648438</v>
      </c>
      <c r="W260" s="3">
        <v>395.29998779296875</v>
      </c>
      <c r="X260" s="3">
        <v>395.29998779296875</v>
      </c>
      <c r="Y260" s="3">
        <v>394.79998779296875</v>
      </c>
      <c r="Z260" s="3">
        <v>394.79998779296875</v>
      </c>
      <c r="AA260" s="3">
        <v>393.5</v>
      </c>
      <c r="AB260" s="3">
        <v>393.5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</row>
    <row r="261" spans="1:110" ht="14.25" customHeight="1" x14ac:dyDescent="0.3">
      <c r="A261" s="1">
        <f t="shared" si="9"/>
        <v>252</v>
      </c>
      <c r="B261" s="1" t="str">
        <f>"(11,"&amp;I261&amp;")"</f>
        <v>(11,24)</v>
      </c>
      <c r="C261" s="4">
        <v>0.40344907407407737</v>
      </c>
      <c r="D261" s="4">
        <v>0.40358796296296628</v>
      </c>
      <c r="E261" s="2">
        <v>13.299999999999999</v>
      </c>
      <c r="F261" s="2">
        <v>13.37</v>
      </c>
      <c r="G261" s="1" t="s">
        <v>26</v>
      </c>
      <c r="H261" s="4">
        <f t="shared" si="10"/>
        <v>1.388888888889106E-4</v>
      </c>
      <c r="I261">
        <v>24</v>
      </c>
      <c r="J261">
        <v>390.60000610351563</v>
      </c>
      <c r="K261" s="3">
        <v>392.60000610351563</v>
      </c>
      <c r="L261" s="3">
        <v>392.60000610351563</v>
      </c>
      <c r="M261" s="3">
        <v>399.89999389648438</v>
      </c>
      <c r="N261" s="3">
        <v>399.89999389648438</v>
      </c>
      <c r="O261" s="3"/>
      <c r="P261" s="3">
        <v>399.89999389648438</v>
      </c>
      <c r="Q261" s="3">
        <v>399.89999389648438</v>
      </c>
      <c r="R261" s="3">
        <v>399.89999389648438</v>
      </c>
      <c r="S261" s="3">
        <v>399.89999389648438</v>
      </c>
      <c r="T261" s="3"/>
      <c r="U261" s="3">
        <v>399.89999389648438</v>
      </c>
      <c r="V261" s="3">
        <v>399.89999389648438</v>
      </c>
      <c r="W261" s="3"/>
      <c r="X261" s="3"/>
      <c r="Y261" s="3"/>
      <c r="Z261" s="3"/>
      <c r="AA261" s="3">
        <v>397.10000610351563</v>
      </c>
      <c r="AB261" s="3">
        <v>397.10000610351563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</row>
    <row r="262" spans="1:110" ht="14.25" customHeight="1" x14ac:dyDescent="0.3">
      <c r="A262" s="1">
        <f t="shared" si="9"/>
        <v>253</v>
      </c>
      <c r="B262" s="1" t="str">
        <f>"(10,"&amp;I262&amp;")"</f>
        <v>(10,24)</v>
      </c>
      <c r="C262" s="4">
        <v>0.40383101851852182</v>
      </c>
      <c r="D262" s="4">
        <v>0.40399305555555887</v>
      </c>
      <c r="E262" s="2">
        <v>13.299999999999999</v>
      </c>
      <c r="F262" s="2">
        <v>13.36</v>
      </c>
      <c r="G262" s="1" t="s">
        <v>26</v>
      </c>
      <c r="H262" s="4">
        <f t="shared" si="10"/>
        <v>1.6203703703704386E-4</v>
      </c>
      <c r="I262">
        <f>I261</f>
        <v>24</v>
      </c>
      <c r="J262">
        <v>390.70001220703125</v>
      </c>
      <c r="K262" s="3">
        <v>391.60000610351563</v>
      </c>
      <c r="L262" s="3">
        <v>395.79998779296875</v>
      </c>
      <c r="M262" s="3">
        <v>395.79998779296875</v>
      </c>
      <c r="N262" s="3">
        <v>393.5</v>
      </c>
      <c r="O262" s="3">
        <v>393.5</v>
      </c>
      <c r="P262" s="3"/>
      <c r="Q262" s="3">
        <v>393.5</v>
      </c>
      <c r="R262" s="3">
        <v>393.5</v>
      </c>
      <c r="S262" s="3">
        <v>390.20001220703125</v>
      </c>
      <c r="T262" s="3">
        <v>390.20001220703125</v>
      </c>
      <c r="U262" s="3">
        <v>390.20001220703125</v>
      </c>
      <c r="V262" s="3">
        <v>390.20001220703125</v>
      </c>
      <c r="W262" s="3"/>
      <c r="X262" s="3">
        <v>390.20001220703125</v>
      </c>
      <c r="Y262" s="3">
        <v>398.79998779296875</v>
      </c>
      <c r="Z262" s="3">
        <v>398.79998779296875</v>
      </c>
      <c r="AA262" s="3">
        <v>396.5</v>
      </c>
      <c r="AB262" s="3">
        <v>396.5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</row>
    <row r="263" spans="1:110" ht="14.25" customHeight="1" x14ac:dyDescent="0.3">
      <c r="A263" s="1">
        <f t="shared" si="9"/>
        <v>254</v>
      </c>
      <c r="B263" s="1" t="str">
        <f>"(9,"&amp;I263&amp;")"</f>
        <v>(9,24)</v>
      </c>
      <c r="C263" s="4">
        <v>0.40427083333333663</v>
      </c>
      <c r="D263" s="4">
        <v>0.40444444444444777</v>
      </c>
      <c r="E263" s="2">
        <v>13.299999999999999</v>
      </c>
      <c r="F263" s="2">
        <v>13.319999999999999</v>
      </c>
      <c r="G263" s="1" t="s">
        <v>26</v>
      </c>
      <c r="H263" s="4">
        <f t="shared" si="10"/>
        <v>1.7361111111113825E-4</v>
      </c>
      <c r="I263">
        <f t="shared" ref="I263:I271" si="11">I262</f>
        <v>24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</row>
    <row r="264" spans="1:110" ht="14.25" customHeight="1" x14ac:dyDescent="0.3">
      <c r="A264" s="1">
        <f t="shared" si="9"/>
        <v>255</v>
      </c>
      <c r="B264" s="1" t="str">
        <f>"(8,"&amp;I264&amp;")"</f>
        <v>(8,24)</v>
      </c>
      <c r="C264" s="4">
        <v>0.4046990740740774</v>
      </c>
      <c r="D264" s="4">
        <v>0.40483796296296631</v>
      </c>
      <c r="E264" s="2">
        <v>13.299999999999999</v>
      </c>
      <c r="F264" s="2">
        <v>13.329999999999998</v>
      </c>
      <c r="G264" s="1" t="s">
        <v>26</v>
      </c>
      <c r="H264" s="4">
        <f t="shared" si="10"/>
        <v>1.388888888889106E-4</v>
      </c>
      <c r="I264">
        <f t="shared" si="11"/>
        <v>24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</row>
    <row r="265" spans="1:110" ht="14.25" customHeight="1" x14ac:dyDescent="0.3">
      <c r="A265" s="1">
        <f t="shared" si="9"/>
        <v>256</v>
      </c>
      <c r="B265" s="1" t="str">
        <f>"(7,"&amp;I265&amp;")"</f>
        <v>(7,24)</v>
      </c>
      <c r="C265" s="4">
        <v>0.40508101851852185</v>
      </c>
      <c r="D265" s="4">
        <v>0.4052430555555589</v>
      </c>
      <c r="E265" s="2">
        <v>13.299999999999999</v>
      </c>
      <c r="F265" s="2">
        <v>13.36</v>
      </c>
      <c r="G265" s="1" t="s">
        <v>26</v>
      </c>
      <c r="H265" s="4">
        <f t="shared" si="10"/>
        <v>1.6203703703704386E-4</v>
      </c>
      <c r="I265">
        <f t="shared" si="11"/>
        <v>24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</row>
    <row r="266" spans="1:110" ht="14.25" customHeight="1" x14ac:dyDescent="0.3">
      <c r="A266" s="1">
        <f t="shared" si="9"/>
        <v>257</v>
      </c>
      <c r="B266" s="1" t="str">
        <f>"(6,"&amp;I266&amp;")"</f>
        <v>(6,24)</v>
      </c>
      <c r="C266" s="4">
        <v>0.40553240740741076</v>
      </c>
      <c r="D266" s="4">
        <v>0.40570601851852189</v>
      </c>
      <c r="E266" s="2">
        <v>13.299999999999999</v>
      </c>
      <c r="F266" s="2">
        <v>13.419999999999998</v>
      </c>
      <c r="G266" s="1" t="s">
        <v>26</v>
      </c>
      <c r="H266" s="4">
        <f t="shared" si="10"/>
        <v>1.7361111111113825E-4</v>
      </c>
      <c r="I266">
        <f t="shared" si="11"/>
        <v>24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</row>
    <row r="267" spans="1:110" ht="14.25" customHeight="1" x14ac:dyDescent="0.3">
      <c r="A267" s="1">
        <f t="shared" si="9"/>
        <v>258</v>
      </c>
      <c r="B267" s="1" t="str">
        <f>"(5,"&amp;I267&amp;")"</f>
        <v>(5,24)</v>
      </c>
      <c r="C267" s="4">
        <v>0.40597222222222562</v>
      </c>
      <c r="D267" s="4">
        <v>0.40612268518518857</v>
      </c>
      <c r="E267" s="2">
        <v>13.299999999999999</v>
      </c>
      <c r="F267" s="2">
        <v>13.45</v>
      </c>
      <c r="G267" s="1" t="s">
        <v>26</v>
      </c>
      <c r="H267" s="4">
        <f t="shared" si="10"/>
        <v>1.5046296296294948E-4</v>
      </c>
      <c r="I267">
        <f t="shared" si="11"/>
        <v>24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</row>
    <row r="268" spans="1:110" ht="14.25" customHeight="1" x14ac:dyDescent="0.3">
      <c r="A268" s="1">
        <f t="shared" ref="A268:A331" si="12">A267+1</f>
        <v>259</v>
      </c>
      <c r="B268" s="1" t="str">
        <f>"(4,"&amp;I268&amp;")"</f>
        <v>(4,24)</v>
      </c>
      <c r="C268" s="4">
        <v>0.40641203703704043</v>
      </c>
      <c r="D268" s="4">
        <v>0.40657407407407747</v>
      </c>
      <c r="E268" s="2">
        <v>13.299999999999999</v>
      </c>
      <c r="F268" s="2">
        <v>13.44</v>
      </c>
      <c r="G268" s="1" t="s">
        <v>26</v>
      </c>
      <c r="H268" s="4">
        <f t="shared" ref="H268:H331" si="13">D268-C268</f>
        <v>1.6203703703704386E-4</v>
      </c>
      <c r="I268">
        <f t="shared" si="11"/>
        <v>24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</row>
    <row r="269" spans="1:110" ht="14.25" customHeight="1" x14ac:dyDescent="0.3">
      <c r="A269" s="1">
        <f t="shared" si="12"/>
        <v>260</v>
      </c>
      <c r="B269" s="1" t="str">
        <f>"(3,"&amp;I269&amp;")"</f>
        <v>(3,24)</v>
      </c>
      <c r="C269" s="4">
        <v>0.40685185185185524</v>
      </c>
      <c r="D269" s="4">
        <v>0.40702546296296638</v>
      </c>
      <c r="E269" s="2">
        <v>13.299999999999999</v>
      </c>
      <c r="F269" s="2">
        <v>13.339999999999998</v>
      </c>
      <c r="G269" s="1" t="s">
        <v>26</v>
      </c>
      <c r="H269" s="4">
        <f t="shared" si="13"/>
        <v>1.7361111111113825E-4</v>
      </c>
      <c r="I269">
        <f t="shared" si="11"/>
        <v>24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</row>
    <row r="270" spans="1:110" ht="14.25" customHeight="1" x14ac:dyDescent="0.3">
      <c r="A270" s="1">
        <f t="shared" si="12"/>
        <v>261</v>
      </c>
      <c r="B270" s="1" t="str">
        <f>"(2,"&amp;I270&amp;")"</f>
        <v>(2,24)</v>
      </c>
      <c r="C270" s="4">
        <v>0.40728009259259601</v>
      </c>
      <c r="D270" s="4">
        <v>0.40744212962963305</v>
      </c>
      <c r="E270" s="2">
        <v>13.299999999999999</v>
      </c>
      <c r="F270" s="2">
        <v>13.379999999999999</v>
      </c>
      <c r="G270" s="1" t="s">
        <v>26</v>
      </c>
      <c r="H270" s="4">
        <f t="shared" si="13"/>
        <v>1.6203703703704386E-4</v>
      </c>
      <c r="I270">
        <f t="shared" si="11"/>
        <v>24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</row>
    <row r="271" spans="1:110" ht="14.25" customHeight="1" x14ac:dyDescent="0.3">
      <c r="A271" s="1">
        <f t="shared" si="12"/>
        <v>262</v>
      </c>
      <c r="B271" s="1" t="str">
        <f>"(1,"&amp;I271&amp;")"</f>
        <v>(1,24)</v>
      </c>
      <c r="C271" s="4">
        <v>0.40767361111111455</v>
      </c>
      <c r="D271" s="4">
        <v>0.40784722222222569</v>
      </c>
      <c r="E271" s="2">
        <v>13.299999999999999</v>
      </c>
      <c r="F271" s="2">
        <v>13.44</v>
      </c>
      <c r="G271" s="1" t="s">
        <v>26</v>
      </c>
      <c r="H271" s="4">
        <f t="shared" si="13"/>
        <v>1.7361111111113825E-4</v>
      </c>
      <c r="I271">
        <f t="shared" si="11"/>
        <v>24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</row>
    <row r="272" spans="1:110" ht="14.25" customHeight="1" x14ac:dyDescent="0.3">
      <c r="A272" s="1">
        <f t="shared" si="12"/>
        <v>263</v>
      </c>
      <c r="B272" s="1" t="str">
        <f>"(1,"&amp;I272&amp;")"</f>
        <v>(1,25)</v>
      </c>
      <c r="C272" s="4">
        <v>0.40812500000000346</v>
      </c>
      <c r="D272" s="4">
        <v>0.4082870370370405</v>
      </c>
      <c r="E272" s="2">
        <v>13.299999999999999</v>
      </c>
      <c r="F272" s="2">
        <v>13.44</v>
      </c>
      <c r="G272" s="1" t="s">
        <v>26</v>
      </c>
      <c r="H272" s="4">
        <f t="shared" si="13"/>
        <v>1.6203703703704386E-4</v>
      </c>
      <c r="I272">
        <f>I271+1</f>
        <v>25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</row>
    <row r="273" spans="1:110" ht="14.25" customHeight="1" x14ac:dyDescent="0.3">
      <c r="A273" s="1">
        <f t="shared" si="12"/>
        <v>264</v>
      </c>
      <c r="B273" s="1" t="str">
        <f>"(2,"&amp;I273&amp;")"</f>
        <v>(2,25)</v>
      </c>
      <c r="C273" s="4">
        <v>0.40857638888889236</v>
      </c>
      <c r="D273" s="4">
        <v>0.4087500000000035</v>
      </c>
      <c r="E273" s="2">
        <v>13.299999999999999</v>
      </c>
      <c r="F273" s="2">
        <v>13.329999999999998</v>
      </c>
      <c r="G273" s="1" t="s">
        <v>26</v>
      </c>
      <c r="H273" s="4">
        <f t="shared" si="13"/>
        <v>1.7361111111113825E-4</v>
      </c>
      <c r="I273">
        <f>I272</f>
        <v>25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</row>
    <row r="274" spans="1:110" ht="14.25" customHeight="1" x14ac:dyDescent="0.3">
      <c r="A274" s="1">
        <f t="shared" si="12"/>
        <v>265</v>
      </c>
      <c r="B274" s="1" t="str">
        <f>"(3,"&amp;I274&amp;")"</f>
        <v>(3,25)</v>
      </c>
      <c r="C274" s="4">
        <v>0.40901620370370723</v>
      </c>
      <c r="D274" s="4">
        <v>0.40918981481481836</v>
      </c>
      <c r="E274" s="2">
        <v>13.299999999999999</v>
      </c>
      <c r="F274" s="2">
        <v>13.329999999999998</v>
      </c>
      <c r="G274" s="1" t="s">
        <v>26</v>
      </c>
      <c r="H274" s="4">
        <f t="shared" si="13"/>
        <v>1.7361111111113825E-4</v>
      </c>
      <c r="I274">
        <f t="shared" ref="I274:I282" si="14">I273</f>
        <v>25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</row>
    <row r="275" spans="1:110" ht="14.25" customHeight="1" x14ac:dyDescent="0.3">
      <c r="A275" s="1">
        <f t="shared" si="12"/>
        <v>266</v>
      </c>
      <c r="B275" s="1" t="str">
        <f>"(4,"&amp;I275&amp;")"</f>
        <v>(4,25)</v>
      </c>
      <c r="C275" s="4">
        <v>0.409444444444448</v>
      </c>
      <c r="D275" s="4">
        <v>0.40960648148148504</v>
      </c>
      <c r="E275" s="2">
        <v>13.299999999999999</v>
      </c>
      <c r="F275" s="2">
        <v>13.329999999999998</v>
      </c>
      <c r="G275" s="1" t="s">
        <v>26</v>
      </c>
      <c r="H275" s="4">
        <f t="shared" si="13"/>
        <v>1.6203703703704386E-4</v>
      </c>
      <c r="I275">
        <f t="shared" si="14"/>
        <v>25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</row>
    <row r="276" spans="1:110" ht="14.25" customHeight="1" x14ac:dyDescent="0.3">
      <c r="A276" s="1">
        <f t="shared" si="12"/>
        <v>267</v>
      </c>
      <c r="B276" s="1" t="str">
        <f>"(5,"&amp;I276&amp;")"</f>
        <v>(5,25)</v>
      </c>
      <c r="C276" s="4">
        <v>0.40984953703704058</v>
      </c>
      <c r="D276" s="4">
        <v>0.41000000000000353</v>
      </c>
      <c r="E276" s="2">
        <v>13.299999999999999</v>
      </c>
      <c r="F276" s="2">
        <v>13.329999999999998</v>
      </c>
      <c r="G276" s="1" t="s">
        <v>26</v>
      </c>
      <c r="H276" s="4">
        <f t="shared" si="13"/>
        <v>1.5046296296294948E-4</v>
      </c>
      <c r="I276">
        <f t="shared" si="14"/>
        <v>25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</row>
    <row r="277" spans="1:110" ht="14.25" customHeight="1" x14ac:dyDescent="0.3">
      <c r="A277" s="1">
        <f t="shared" si="12"/>
        <v>268</v>
      </c>
      <c r="B277" s="1" t="str">
        <f>"(6,"&amp;I277&amp;")"</f>
        <v>(6,25)</v>
      </c>
      <c r="C277" s="4">
        <v>0.41026620370370726</v>
      </c>
      <c r="D277" s="4">
        <v>0.4104282407407443</v>
      </c>
      <c r="E277" s="2">
        <v>13.299999999999999</v>
      </c>
      <c r="F277" s="2">
        <v>13.43</v>
      </c>
      <c r="G277" s="1" t="s">
        <v>26</v>
      </c>
      <c r="H277" s="4">
        <f t="shared" si="13"/>
        <v>1.6203703703704386E-4</v>
      </c>
      <c r="I277">
        <f t="shared" si="14"/>
        <v>25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</row>
    <row r="278" spans="1:110" ht="14.25" customHeight="1" x14ac:dyDescent="0.3">
      <c r="A278" s="1">
        <f t="shared" si="12"/>
        <v>269</v>
      </c>
      <c r="B278" s="1" t="str">
        <f>"(7,"&amp;I278&amp;")"</f>
        <v>(7,25)</v>
      </c>
      <c r="C278" s="4">
        <v>0.41068287037037393</v>
      </c>
      <c r="D278" s="4">
        <v>0.41084490740741098</v>
      </c>
      <c r="E278" s="2">
        <v>13.299999999999999</v>
      </c>
      <c r="F278" s="2">
        <v>13.339999999999998</v>
      </c>
      <c r="G278" s="1" t="s">
        <v>26</v>
      </c>
      <c r="H278" s="4">
        <f t="shared" si="13"/>
        <v>1.6203703703704386E-4</v>
      </c>
      <c r="I278">
        <f t="shared" si="14"/>
        <v>25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</row>
    <row r="279" spans="1:110" ht="14.25" customHeight="1" x14ac:dyDescent="0.3">
      <c r="A279" s="1">
        <f t="shared" si="12"/>
        <v>270</v>
      </c>
      <c r="B279" s="1" t="str">
        <f>"(8,"&amp;I279&amp;")"</f>
        <v>(8,25)</v>
      </c>
      <c r="C279" s="4">
        <v>0.41109953703704061</v>
      </c>
      <c r="D279" s="4">
        <v>0.41125000000000356</v>
      </c>
      <c r="E279" s="2">
        <v>13.299999999999999</v>
      </c>
      <c r="F279" s="2">
        <v>13.44</v>
      </c>
      <c r="G279" s="1" t="s">
        <v>26</v>
      </c>
      <c r="H279" s="4">
        <f t="shared" si="13"/>
        <v>1.5046296296294948E-4</v>
      </c>
      <c r="I279">
        <f t="shared" si="14"/>
        <v>25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</row>
    <row r="280" spans="1:110" ht="14.25" customHeight="1" x14ac:dyDescent="0.3">
      <c r="A280" s="1">
        <f t="shared" si="12"/>
        <v>271</v>
      </c>
      <c r="B280" s="1" t="str">
        <f>"(9,"&amp;I280&amp;")"</f>
        <v>(9,25)</v>
      </c>
      <c r="C280" s="4">
        <v>0.4114930555555591</v>
      </c>
      <c r="D280" s="4">
        <v>0.41163194444444801</v>
      </c>
      <c r="E280" s="2">
        <v>13.299999999999999</v>
      </c>
      <c r="F280" s="2">
        <v>13.379999999999999</v>
      </c>
      <c r="G280" s="1" t="s">
        <v>26</v>
      </c>
      <c r="H280" s="4">
        <f t="shared" si="13"/>
        <v>1.388888888889106E-4</v>
      </c>
      <c r="I280">
        <f t="shared" si="14"/>
        <v>25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</row>
    <row r="281" spans="1:110" ht="14.25" customHeight="1" x14ac:dyDescent="0.3">
      <c r="A281" s="1">
        <f t="shared" si="12"/>
        <v>272</v>
      </c>
      <c r="B281" s="1" t="str">
        <f>"(10,"&amp;I281&amp;")"</f>
        <v>(10,25)</v>
      </c>
      <c r="C281" s="4">
        <v>0.41187500000000354</v>
      </c>
      <c r="D281" s="4">
        <v>0.41201388888889245</v>
      </c>
      <c r="E281" s="2">
        <v>13.299999999999999</v>
      </c>
      <c r="F281" s="2">
        <v>13.36</v>
      </c>
      <c r="G281" s="1" t="s">
        <v>26</v>
      </c>
      <c r="H281" s="4">
        <f t="shared" si="13"/>
        <v>1.388888888889106E-4</v>
      </c>
      <c r="I281">
        <f t="shared" si="14"/>
        <v>25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</row>
    <row r="282" spans="1:110" ht="14.25" customHeight="1" x14ac:dyDescent="0.3">
      <c r="A282" s="1">
        <f t="shared" si="12"/>
        <v>273</v>
      </c>
      <c r="B282" s="1" t="str">
        <f>"(11,"&amp;I282&amp;")"</f>
        <v>(11,25)</v>
      </c>
      <c r="C282" s="4">
        <v>0.41228009259259618</v>
      </c>
      <c r="D282" s="4">
        <v>0.41243055555555913</v>
      </c>
      <c r="E282" s="2">
        <v>13.299999999999999</v>
      </c>
      <c r="F282" s="2">
        <v>13.35</v>
      </c>
      <c r="G282" s="1" t="s">
        <v>26</v>
      </c>
      <c r="H282" s="4">
        <f t="shared" si="13"/>
        <v>1.5046296296294948E-4</v>
      </c>
      <c r="I282">
        <f t="shared" si="14"/>
        <v>25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</row>
    <row r="283" spans="1:110" ht="14.25" customHeight="1" x14ac:dyDescent="0.3">
      <c r="A283" s="1">
        <f t="shared" si="12"/>
        <v>274</v>
      </c>
      <c r="B283" s="1" t="str">
        <f>"(11,"&amp;I283&amp;")"</f>
        <v>(11,26)</v>
      </c>
      <c r="C283" s="4">
        <v>0.41269675925926286</v>
      </c>
      <c r="D283" s="4">
        <v>0.4128587962962999</v>
      </c>
      <c r="E283" s="2">
        <v>13.299999999999999</v>
      </c>
      <c r="F283" s="2">
        <v>13.339999999999998</v>
      </c>
      <c r="G283" s="1" t="s">
        <v>26</v>
      </c>
      <c r="H283" s="4">
        <f t="shared" si="13"/>
        <v>1.6203703703704386E-4</v>
      </c>
      <c r="I283">
        <f>I282+1</f>
        <v>26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</row>
    <row r="284" spans="1:110" ht="14.25" customHeight="1" x14ac:dyDescent="0.3">
      <c r="A284" s="1">
        <f t="shared" si="12"/>
        <v>275</v>
      </c>
      <c r="B284" s="1" t="str">
        <f>"(10,"&amp;I284&amp;")"</f>
        <v>(10,26)</v>
      </c>
      <c r="C284" s="4">
        <v>0.41312500000000363</v>
      </c>
      <c r="D284" s="4">
        <v>0.41326388888889254</v>
      </c>
      <c r="E284" s="2">
        <v>13.299999999999999</v>
      </c>
      <c r="F284" s="2">
        <v>13.389999999999999</v>
      </c>
      <c r="G284" s="1" t="s">
        <v>26</v>
      </c>
      <c r="H284" s="4">
        <f t="shared" si="13"/>
        <v>1.388888888889106E-4</v>
      </c>
      <c r="I284">
        <f>I283</f>
        <v>26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</row>
    <row r="285" spans="1:110" ht="14.25" customHeight="1" x14ac:dyDescent="0.3">
      <c r="A285" s="1">
        <f t="shared" si="12"/>
        <v>276</v>
      </c>
      <c r="B285" s="1" t="str">
        <f>"(9,"&amp;I285&amp;")"</f>
        <v>(9,26)</v>
      </c>
      <c r="C285" s="4">
        <v>0.41349537037037404</v>
      </c>
      <c r="D285" s="4">
        <v>0.41363425925926295</v>
      </c>
      <c r="E285" s="2">
        <v>13.299999999999999</v>
      </c>
      <c r="F285" s="2">
        <v>13.409999999999998</v>
      </c>
      <c r="G285" s="1" t="s">
        <v>26</v>
      </c>
      <c r="H285" s="4">
        <f t="shared" si="13"/>
        <v>1.388888888889106E-4</v>
      </c>
      <c r="I285">
        <f t="shared" ref="I285:I293" si="15">I284</f>
        <v>26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</row>
    <row r="286" spans="1:110" ht="14.25" customHeight="1" x14ac:dyDescent="0.3">
      <c r="A286" s="1">
        <f t="shared" si="12"/>
        <v>277</v>
      </c>
      <c r="B286" s="1" t="str">
        <f>"(8,"&amp;I286&amp;")"</f>
        <v>(8,26)</v>
      </c>
      <c r="C286" s="4">
        <v>0.41391203703704071</v>
      </c>
      <c r="D286" s="4">
        <v>0.41405092592592962</v>
      </c>
      <c r="E286" s="2">
        <v>13.299999999999999</v>
      </c>
      <c r="F286" s="2">
        <v>13.37</v>
      </c>
      <c r="G286" s="1" t="s">
        <v>26</v>
      </c>
      <c r="H286" s="4">
        <f t="shared" si="13"/>
        <v>1.388888888889106E-4</v>
      </c>
      <c r="I286">
        <f t="shared" si="15"/>
        <v>26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</row>
    <row r="287" spans="1:110" ht="14.25" customHeight="1" x14ac:dyDescent="0.3">
      <c r="A287" s="1">
        <f t="shared" si="12"/>
        <v>278</v>
      </c>
      <c r="B287" s="1" t="str">
        <f>"(7,"&amp;I287&amp;")"</f>
        <v>(7,26)</v>
      </c>
      <c r="C287" s="4">
        <v>0.41428240740741112</v>
      </c>
      <c r="D287" s="4">
        <v>0.41445601851852226</v>
      </c>
      <c r="E287" s="2">
        <v>13.299999999999999</v>
      </c>
      <c r="F287" s="2">
        <v>13.329999999999998</v>
      </c>
      <c r="G287" s="1" t="s">
        <v>26</v>
      </c>
      <c r="H287" s="4">
        <f t="shared" si="13"/>
        <v>1.7361111111113825E-4</v>
      </c>
      <c r="I287">
        <f t="shared" si="15"/>
        <v>26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</row>
    <row r="288" spans="1:110" ht="14.25" customHeight="1" x14ac:dyDescent="0.3">
      <c r="A288" s="1">
        <f t="shared" si="12"/>
        <v>279</v>
      </c>
      <c r="B288" s="1" t="str">
        <f>"(6,"&amp;I288&amp;")"</f>
        <v>(6,26)</v>
      </c>
      <c r="C288" s="4">
        <v>0.41472222222222599</v>
      </c>
      <c r="D288" s="4">
        <v>0.4148611111111149</v>
      </c>
      <c r="E288" s="2">
        <v>13.299999999999999</v>
      </c>
      <c r="F288" s="2">
        <v>13.37</v>
      </c>
      <c r="G288" s="1" t="s">
        <v>26</v>
      </c>
      <c r="H288" s="4">
        <f t="shared" si="13"/>
        <v>1.388888888889106E-4</v>
      </c>
      <c r="I288">
        <f t="shared" si="15"/>
        <v>26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</row>
    <row r="289" spans="1:110" ht="14.25" customHeight="1" x14ac:dyDescent="0.3">
      <c r="A289" s="1">
        <f t="shared" si="12"/>
        <v>280</v>
      </c>
      <c r="B289" s="1" t="str">
        <f>"(5,"&amp;I289&amp;")"</f>
        <v>(5,26)</v>
      </c>
      <c r="C289" s="4">
        <v>0.41512731481481863</v>
      </c>
      <c r="D289" s="4">
        <v>0.41530092592592976</v>
      </c>
      <c r="E289" s="2">
        <v>13.299999999999999</v>
      </c>
      <c r="F289" s="2">
        <v>13.319999999999999</v>
      </c>
      <c r="G289" s="1" t="s">
        <v>26</v>
      </c>
      <c r="H289" s="4">
        <f t="shared" si="13"/>
        <v>1.7361111111113825E-4</v>
      </c>
      <c r="I289">
        <f t="shared" si="15"/>
        <v>26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</row>
    <row r="290" spans="1:110" ht="14.25" customHeight="1" x14ac:dyDescent="0.3">
      <c r="A290" s="1">
        <f t="shared" si="12"/>
        <v>281</v>
      </c>
      <c r="B290" s="1" t="str">
        <f>"(4,"&amp;I290&amp;")"</f>
        <v>(4,26)</v>
      </c>
      <c r="C290" s="4">
        <v>0.4155439814814853</v>
      </c>
      <c r="D290" s="4">
        <v>0.41571759259259644</v>
      </c>
      <c r="E290" s="2">
        <v>13.299999999999999</v>
      </c>
      <c r="F290" s="2">
        <v>13.399999999999999</v>
      </c>
      <c r="G290" s="1" t="s">
        <v>26</v>
      </c>
      <c r="H290" s="4">
        <f t="shared" si="13"/>
        <v>1.7361111111113825E-4</v>
      </c>
      <c r="I290">
        <f t="shared" si="15"/>
        <v>26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</row>
    <row r="291" spans="1:110" ht="14.25" customHeight="1" x14ac:dyDescent="0.3">
      <c r="A291" s="1">
        <f t="shared" si="12"/>
        <v>282</v>
      </c>
      <c r="B291" s="1" t="str">
        <f>"(3,"&amp;I291&amp;")"</f>
        <v>(3,26)</v>
      </c>
      <c r="C291" s="4">
        <v>0.41594907407407794</v>
      </c>
      <c r="D291" s="4">
        <v>0.41612268518518908</v>
      </c>
      <c r="E291" s="2">
        <v>13.299999999999999</v>
      </c>
      <c r="F291" s="2">
        <v>13.419999999999998</v>
      </c>
      <c r="G291" s="1" t="s">
        <v>26</v>
      </c>
      <c r="H291" s="4">
        <f t="shared" si="13"/>
        <v>1.7361111111113825E-4</v>
      </c>
      <c r="I291">
        <f t="shared" si="15"/>
        <v>26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</row>
    <row r="292" spans="1:110" ht="14.25" customHeight="1" x14ac:dyDescent="0.3">
      <c r="A292" s="1">
        <f t="shared" si="12"/>
        <v>283</v>
      </c>
      <c r="B292" s="1" t="str">
        <f>"(2,"&amp;I292&amp;")"</f>
        <v>(2,26)</v>
      </c>
      <c r="C292" s="4">
        <v>0.41636574074074462</v>
      </c>
      <c r="D292" s="4">
        <v>0.41650462962963353</v>
      </c>
      <c r="E292" s="2">
        <v>13.299999999999999</v>
      </c>
      <c r="F292" s="2">
        <v>13.37</v>
      </c>
      <c r="G292" s="1" t="s">
        <v>26</v>
      </c>
      <c r="H292" s="4">
        <f t="shared" si="13"/>
        <v>1.388888888889106E-4</v>
      </c>
      <c r="I292">
        <f t="shared" si="15"/>
        <v>26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</row>
    <row r="293" spans="1:110" ht="14.25" customHeight="1" x14ac:dyDescent="0.3">
      <c r="A293" s="1">
        <f t="shared" si="12"/>
        <v>284</v>
      </c>
      <c r="B293" s="1" t="str">
        <f>"(1,"&amp;I293&amp;")"</f>
        <v>(1,26)</v>
      </c>
      <c r="C293" s="4">
        <v>0.41674768518518907</v>
      </c>
      <c r="D293" s="4">
        <v>0.41690972222222611</v>
      </c>
      <c r="E293" s="2">
        <v>13.299999999999999</v>
      </c>
      <c r="F293" s="2">
        <v>13.409999999999998</v>
      </c>
      <c r="G293" s="1" t="s">
        <v>26</v>
      </c>
      <c r="H293" s="4">
        <f t="shared" si="13"/>
        <v>1.6203703703704386E-4</v>
      </c>
      <c r="I293">
        <f t="shared" si="15"/>
        <v>26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</row>
    <row r="294" spans="1:110" ht="14.25" customHeight="1" x14ac:dyDescent="0.3">
      <c r="A294" s="1">
        <f t="shared" si="12"/>
        <v>285</v>
      </c>
      <c r="B294" s="1" t="str">
        <f>"(1,"&amp;I294&amp;")"</f>
        <v>(1,27)</v>
      </c>
      <c r="C294" s="4">
        <v>0.41714120370370761</v>
      </c>
      <c r="D294" s="4">
        <v>0.41730324074074465</v>
      </c>
      <c r="E294" s="2">
        <v>13.299999999999999</v>
      </c>
      <c r="F294" s="2">
        <v>13.45</v>
      </c>
      <c r="G294" s="1" t="s">
        <v>26</v>
      </c>
      <c r="H294" s="4">
        <f t="shared" si="13"/>
        <v>1.6203703703704386E-4</v>
      </c>
      <c r="I294">
        <f>I293+1</f>
        <v>27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</row>
    <row r="295" spans="1:110" ht="14.25" customHeight="1" x14ac:dyDescent="0.3">
      <c r="A295" s="1">
        <f t="shared" si="12"/>
        <v>286</v>
      </c>
      <c r="B295" s="1" t="str">
        <f>"(2,"&amp;I295&amp;")"</f>
        <v>(2,27)</v>
      </c>
      <c r="C295" s="4">
        <v>0.41753472222222615</v>
      </c>
      <c r="D295" s="4">
        <v>0.4176851851851891</v>
      </c>
      <c r="E295" s="2">
        <v>13.299999999999999</v>
      </c>
      <c r="F295" s="2">
        <v>13.389999999999999</v>
      </c>
      <c r="G295" s="1" t="s">
        <v>26</v>
      </c>
      <c r="H295" s="4">
        <f t="shared" si="13"/>
        <v>1.5046296296294948E-4</v>
      </c>
      <c r="I295">
        <f>I294</f>
        <v>27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</row>
    <row r="296" spans="1:110" ht="14.25" customHeight="1" x14ac:dyDescent="0.3">
      <c r="A296" s="1">
        <f t="shared" si="12"/>
        <v>287</v>
      </c>
      <c r="B296" s="1" t="str">
        <f>"(3,"&amp;I296&amp;")"</f>
        <v>(3,27)</v>
      </c>
      <c r="C296" s="4">
        <v>0.41797453703704096</v>
      </c>
      <c r="D296" s="4">
        <v>0.4181481481481521</v>
      </c>
      <c r="E296" s="2">
        <v>13.299999999999999</v>
      </c>
      <c r="F296" s="2">
        <v>13.419999999999998</v>
      </c>
      <c r="G296" s="1" t="s">
        <v>26</v>
      </c>
      <c r="H296" s="4">
        <f t="shared" si="13"/>
        <v>1.7361111111113825E-4</v>
      </c>
      <c r="I296">
        <f t="shared" ref="I296:I304" si="16">I295</f>
        <v>27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</row>
    <row r="297" spans="1:110" ht="14.25" customHeight="1" x14ac:dyDescent="0.3">
      <c r="A297" s="1">
        <f t="shared" si="12"/>
        <v>288</v>
      </c>
      <c r="B297" s="1" t="str">
        <f>"(4,"&amp;I297&amp;")"</f>
        <v>(4,27)</v>
      </c>
      <c r="C297" s="4">
        <v>0.4183796296296336</v>
      </c>
      <c r="D297" s="4">
        <v>0.41851851851852251</v>
      </c>
      <c r="E297" s="2">
        <v>13.299999999999999</v>
      </c>
      <c r="F297" s="2">
        <v>13.329999999999998</v>
      </c>
      <c r="G297" s="1" t="s">
        <v>26</v>
      </c>
      <c r="H297" s="4">
        <f t="shared" si="13"/>
        <v>1.388888888889106E-4</v>
      </c>
      <c r="I297">
        <f t="shared" si="16"/>
        <v>27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</row>
    <row r="298" spans="1:110" ht="14.25" customHeight="1" x14ac:dyDescent="0.3">
      <c r="A298" s="1">
        <f t="shared" si="12"/>
        <v>289</v>
      </c>
      <c r="B298" s="1" t="str">
        <f>"(5,"&amp;I298&amp;")"</f>
        <v>(5,27)</v>
      </c>
      <c r="C298" s="4">
        <v>0.41876157407407805</v>
      </c>
      <c r="D298" s="4">
        <v>0.41893518518518919</v>
      </c>
      <c r="E298" s="2">
        <v>13.299999999999999</v>
      </c>
      <c r="F298" s="2">
        <v>13.319999999999999</v>
      </c>
      <c r="G298" s="1" t="s">
        <v>26</v>
      </c>
      <c r="H298" s="4">
        <f t="shared" si="13"/>
        <v>1.7361111111113825E-4</v>
      </c>
      <c r="I298">
        <f t="shared" si="16"/>
        <v>27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</row>
    <row r="299" spans="1:110" ht="14.25" customHeight="1" x14ac:dyDescent="0.3">
      <c r="A299" s="1">
        <f t="shared" si="12"/>
        <v>290</v>
      </c>
      <c r="B299" s="1" t="str">
        <f>"(6,"&amp;I299&amp;")"</f>
        <v>(6,27)</v>
      </c>
      <c r="C299" s="4">
        <v>0.41920138888889291</v>
      </c>
      <c r="D299" s="4">
        <v>0.41937500000000405</v>
      </c>
      <c r="E299" s="2">
        <v>13.299999999999999</v>
      </c>
      <c r="F299" s="2">
        <v>13.45</v>
      </c>
      <c r="G299" s="1" t="s">
        <v>26</v>
      </c>
      <c r="H299" s="4">
        <f t="shared" si="13"/>
        <v>1.7361111111113825E-4</v>
      </c>
      <c r="I299">
        <f t="shared" si="16"/>
        <v>27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</row>
    <row r="300" spans="1:110" ht="14.25" customHeight="1" x14ac:dyDescent="0.3">
      <c r="A300" s="1">
        <f t="shared" si="12"/>
        <v>291</v>
      </c>
      <c r="B300" s="1" t="str">
        <f>"(7,"&amp;I300&amp;")"</f>
        <v>(7,27)</v>
      </c>
      <c r="C300" s="4">
        <v>0.41960648148148555</v>
      </c>
      <c r="D300" s="4">
        <v>0.41976851851852259</v>
      </c>
      <c r="E300" s="2">
        <v>13.299999999999999</v>
      </c>
      <c r="F300" s="2">
        <v>13.389999999999999</v>
      </c>
      <c r="G300" s="1" t="s">
        <v>26</v>
      </c>
      <c r="H300" s="4">
        <f t="shared" si="13"/>
        <v>1.6203703703704386E-4</v>
      </c>
      <c r="I300">
        <f t="shared" si="16"/>
        <v>27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</row>
    <row r="301" spans="1:110" ht="14.25" customHeight="1" x14ac:dyDescent="0.3">
      <c r="A301" s="1">
        <f t="shared" si="12"/>
        <v>292</v>
      </c>
      <c r="B301" s="1" t="str">
        <f>"(8,"&amp;I301&amp;")"</f>
        <v>(8,27)</v>
      </c>
      <c r="C301" s="4">
        <v>0.42004629629630036</v>
      </c>
      <c r="D301" s="4">
        <v>0.4202083333333374</v>
      </c>
      <c r="E301" s="2">
        <v>13.299999999999999</v>
      </c>
      <c r="F301" s="2">
        <v>13.36</v>
      </c>
      <c r="G301" s="1" t="s">
        <v>26</v>
      </c>
      <c r="H301" s="4">
        <f t="shared" si="13"/>
        <v>1.6203703703704386E-4</v>
      </c>
      <c r="I301">
        <f t="shared" si="16"/>
        <v>27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</row>
    <row r="302" spans="1:110" ht="14.25" customHeight="1" x14ac:dyDescent="0.3">
      <c r="A302" s="1">
        <f t="shared" si="12"/>
        <v>293</v>
      </c>
      <c r="B302" s="1" t="str">
        <f>"(9,"&amp;I302&amp;")"</f>
        <v>(9,27)</v>
      </c>
      <c r="C302" s="4">
        <v>0.42045138888889294</v>
      </c>
      <c r="D302" s="4">
        <v>0.42062500000000408</v>
      </c>
      <c r="E302" s="2">
        <v>13.299999999999999</v>
      </c>
      <c r="F302" s="2">
        <v>13.36</v>
      </c>
      <c r="G302" s="1" t="s">
        <v>26</v>
      </c>
      <c r="H302" s="4">
        <f t="shared" si="13"/>
        <v>1.7361111111113825E-4</v>
      </c>
      <c r="I302">
        <f t="shared" si="16"/>
        <v>27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</row>
    <row r="303" spans="1:110" ht="14.25" customHeight="1" x14ac:dyDescent="0.3">
      <c r="A303" s="1">
        <f t="shared" si="12"/>
        <v>294</v>
      </c>
      <c r="B303" s="1" t="str">
        <f>"(10,"&amp;I303&amp;")"</f>
        <v>(10,27)</v>
      </c>
      <c r="C303" s="4">
        <v>0.42089120370370781</v>
      </c>
      <c r="D303" s="4">
        <v>0.42106481481481894</v>
      </c>
      <c r="E303" s="2">
        <v>13.299999999999999</v>
      </c>
      <c r="F303" s="2">
        <v>13.44</v>
      </c>
      <c r="G303" s="1" t="s">
        <v>26</v>
      </c>
      <c r="H303" s="4">
        <f t="shared" si="13"/>
        <v>1.7361111111113825E-4</v>
      </c>
      <c r="I303">
        <f t="shared" si="16"/>
        <v>27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</row>
    <row r="304" spans="1:110" ht="14.25" customHeight="1" x14ac:dyDescent="0.3">
      <c r="A304" s="1">
        <f t="shared" si="12"/>
        <v>295</v>
      </c>
      <c r="B304" s="1" t="str">
        <f>"(11,"&amp;I304&amp;")"</f>
        <v>(11,27)</v>
      </c>
      <c r="C304" s="4">
        <v>0.42129629629630044</v>
      </c>
      <c r="D304" s="4">
        <v>0.42143518518518935</v>
      </c>
      <c r="E304" s="2">
        <v>13.299999999999999</v>
      </c>
      <c r="F304" s="2">
        <v>13.44</v>
      </c>
      <c r="G304" s="1" t="s">
        <v>26</v>
      </c>
      <c r="H304" s="4">
        <f t="shared" si="13"/>
        <v>1.388888888889106E-4</v>
      </c>
      <c r="I304">
        <f t="shared" si="16"/>
        <v>27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</row>
    <row r="305" spans="1:110" ht="14.25" customHeight="1" x14ac:dyDescent="0.3">
      <c r="A305" s="1">
        <f t="shared" si="12"/>
        <v>296</v>
      </c>
      <c r="B305" s="1" t="str">
        <f>"(11,"&amp;I305&amp;")"</f>
        <v>(11,28)</v>
      </c>
      <c r="C305" s="4">
        <v>0.42171296296296712</v>
      </c>
      <c r="D305" s="4">
        <v>0.42187500000000416</v>
      </c>
      <c r="E305" s="2">
        <v>13.299999999999999</v>
      </c>
      <c r="F305" s="2">
        <v>13.35</v>
      </c>
      <c r="G305" s="1" t="s">
        <v>26</v>
      </c>
      <c r="H305" s="4">
        <f t="shared" si="13"/>
        <v>1.6203703703704386E-4</v>
      </c>
      <c r="I305">
        <f>I304+1</f>
        <v>28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</row>
    <row r="306" spans="1:110" ht="14.25" customHeight="1" x14ac:dyDescent="0.3">
      <c r="A306" s="1">
        <f t="shared" si="12"/>
        <v>297</v>
      </c>
      <c r="B306" s="1" t="str">
        <f>"(10,"&amp;I306&amp;")"</f>
        <v>(10,28)</v>
      </c>
      <c r="C306" s="4">
        <v>0.42214120370370789</v>
      </c>
      <c r="D306" s="4">
        <v>0.42230324074074493</v>
      </c>
      <c r="E306" s="2">
        <v>13.299999999999999</v>
      </c>
      <c r="F306" s="2">
        <v>13.37</v>
      </c>
      <c r="G306" s="1" t="s">
        <v>26</v>
      </c>
      <c r="H306" s="4">
        <f t="shared" si="13"/>
        <v>1.6203703703704386E-4</v>
      </c>
      <c r="I306">
        <f>I305</f>
        <v>28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</row>
    <row r="307" spans="1:110" ht="14.25" customHeight="1" x14ac:dyDescent="0.3">
      <c r="A307" s="1">
        <f t="shared" si="12"/>
        <v>298</v>
      </c>
      <c r="B307" s="1" t="str">
        <f>"(9,"&amp;I307&amp;")"</f>
        <v>(9,28)</v>
      </c>
      <c r="C307" s="4">
        <v>0.42255787037037457</v>
      </c>
      <c r="D307" s="4">
        <v>0.42269675925926348</v>
      </c>
      <c r="E307" s="2">
        <v>13.299999999999999</v>
      </c>
      <c r="F307" s="2">
        <v>13.35</v>
      </c>
      <c r="G307" s="1" t="s">
        <v>26</v>
      </c>
      <c r="H307" s="4">
        <f t="shared" si="13"/>
        <v>1.388888888889106E-4</v>
      </c>
      <c r="I307">
        <f t="shared" ref="I307:I315" si="17">I306</f>
        <v>28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</row>
    <row r="308" spans="1:110" ht="14.25" customHeight="1" x14ac:dyDescent="0.3">
      <c r="A308" s="1">
        <f t="shared" si="12"/>
        <v>299</v>
      </c>
      <c r="B308" s="1" t="str">
        <f>"(8,"&amp;I308&amp;")"</f>
        <v>(8,28)</v>
      </c>
      <c r="C308" s="4">
        <v>0.42292824074074498</v>
      </c>
      <c r="D308" s="4">
        <v>0.42307870370370793</v>
      </c>
      <c r="E308" s="2">
        <v>13.299999999999999</v>
      </c>
      <c r="F308" s="2">
        <v>13.379999999999999</v>
      </c>
      <c r="G308" s="1" t="s">
        <v>26</v>
      </c>
      <c r="H308" s="4">
        <f t="shared" si="13"/>
        <v>1.5046296296294948E-4</v>
      </c>
      <c r="I308">
        <f t="shared" si="17"/>
        <v>28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</row>
    <row r="309" spans="1:110" ht="14.25" customHeight="1" x14ac:dyDescent="0.3">
      <c r="A309" s="1">
        <f t="shared" si="12"/>
        <v>300</v>
      </c>
      <c r="B309" s="1" t="str">
        <f>"(7,"&amp;I309&amp;")"</f>
        <v>(7,28)</v>
      </c>
      <c r="C309" s="4">
        <v>0.42333333333333756</v>
      </c>
      <c r="D309" s="4">
        <v>0.42347222222222647</v>
      </c>
      <c r="E309" s="2">
        <v>13.299999999999999</v>
      </c>
      <c r="F309" s="2">
        <v>13.409999999999998</v>
      </c>
      <c r="G309" s="1" t="s">
        <v>26</v>
      </c>
      <c r="H309" s="4">
        <f t="shared" si="13"/>
        <v>1.388888888889106E-4</v>
      </c>
      <c r="I309">
        <f t="shared" si="17"/>
        <v>28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</row>
    <row r="310" spans="1:110" ht="14.25" customHeight="1" x14ac:dyDescent="0.3">
      <c r="A310" s="1">
        <f t="shared" si="12"/>
        <v>301</v>
      </c>
      <c r="B310" s="1" t="str">
        <f>"(6,"&amp;I310&amp;")"</f>
        <v>(6,28)</v>
      </c>
      <c r="C310" s="4">
        <v>0.42370370370370797</v>
      </c>
      <c r="D310" s="4">
        <v>0.42385416666667092</v>
      </c>
      <c r="E310" s="2">
        <v>13.299999999999999</v>
      </c>
      <c r="F310" s="2">
        <v>13.399999999999999</v>
      </c>
      <c r="G310" s="1" t="s">
        <v>26</v>
      </c>
      <c r="H310" s="4">
        <f t="shared" si="13"/>
        <v>1.5046296296294948E-4</v>
      </c>
      <c r="I310">
        <f t="shared" si="17"/>
        <v>28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</row>
    <row r="311" spans="1:110" ht="14.25" customHeight="1" x14ac:dyDescent="0.3">
      <c r="A311" s="1">
        <f t="shared" si="12"/>
        <v>302</v>
      </c>
      <c r="B311" s="1" t="str">
        <f>"(5,"&amp;I311&amp;")"</f>
        <v>(5,28)</v>
      </c>
      <c r="C311" s="4">
        <v>0.42414351851852278</v>
      </c>
      <c r="D311" s="4">
        <v>0.42428240740741169</v>
      </c>
      <c r="E311" s="2">
        <v>13.299999999999999</v>
      </c>
      <c r="F311" s="2">
        <v>13.339999999999998</v>
      </c>
      <c r="G311" s="1" t="s">
        <v>26</v>
      </c>
      <c r="H311" s="4">
        <f t="shared" si="13"/>
        <v>1.388888888889106E-4</v>
      </c>
      <c r="I311">
        <f t="shared" si="17"/>
        <v>28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</row>
    <row r="312" spans="1:110" ht="14.25" customHeight="1" x14ac:dyDescent="0.3">
      <c r="A312" s="1">
        <f t="shared" si="12"/>
        <v>303</v>
      </c>
      <c r="B312" s="1" t="str">
        <f>"(4,"&amp;I312&amp;")"</f>
        <v>(4,28)</v>
      </c>
      <c r="C312" s="4">
        <v>0.42453703703704132</v>
      </c>
      <c r="D312" s="4">
        <v>0.42467592592593023</v>
      </c>
      <c r="E312" s="2">
        <v>13.299999999999999</v>
      </c>
      <c r="F312" s="2">
        <v>13.309999999999999</v>
      </c>
      <c r="G312" s="1" t="s">
        <v>26</v>
      </c>
      <c r="H312" s="4">
        <f t="shared" si="13"/>
        <v>1.388888888889106E-4</v>
      </c>
      <c r="I312">
        <f t="shared" si="17"/>
        <v>28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</row>
    <row r="313" spans="1:110" ht="14.25" customHeight="1" x14ac:dyDescent="0.3">
      <c r="A313" s="1">
        <f t="shared" si="12"/>
        <v>304</v>
      </c>
      <c r="B313" s="1" t="str">
        <f>"(3,"&amp;I313&amp;")"</f>
        <v>(3,28)</v>
      </c>
      <c r="C313" s="4">
        <v>0.42493055555555986</v>
      </c>
      <c r="D313" s="4">
        <v>0.42506944444444877</v>
      </c>
      <c r="E313" s="2">
        <v>13.299999999999999</v>
      </c>
      <c r="F313" s="2">
        <v>13.409999999999998</v>
      </c>
      <c r="G313" s="1" t="s">
        <v>26</v>
      </c>
      <c r="H313" s="4">
        <f t="shared" si="13"/>
        <v>1.388888888889106E-4</v>
      </c>
      <c r="I313">
        <f t="shared" si="17"/>
        <v>28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</row>
    <row r="314" spans="1:110" ht="14.25" customHeight="1" x14ac:dyDescent="0.3">
      <c r="A314" s="1">
        <f t="shared" si="12"/>
        <v>305</v>
      </c>
      <c r="B314" s="1" t="str">
        <f>"(2,"&amp;I314&amp;")"</f>
        <v>(2,28)</v>
      </c>
      <c r="C314" s="4">
        <v>0.4253356481481525</v>
      </c>
      <c r="D314" s="4">
        <v>0.42547453703704141</v>
      </c>
      <c r="E314" s="2">
        <v>13.299999999999999</v>
      </c>
      <c r="F314" s="2">
        <v>13.45</v>
      </c>
      <c r="G314" s="1" t="s">
        <v>26</v>
      </c>
      <c r="H314" s="4">
        <f t="shared" si="13"/>
        <v>1.388888888889106E-4</v>
      </c>
      <c r="I314">
        <f t="shared" si="17"/>
        <v>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</row>
    <row r="315" spans="1:110" ht="14.25" customHeight="1" x14ac:dyDescent="0.3">
      <c r="A315" s="1">
        <f t="shared" si="12"/>
        <v>306</v>
      </c>
      <c r="B315" s="1" t="str">
        <f>"(1,"&amp;I315&amp;")"</f>
        <v>(1,28)</v>
      </c>
      <c r="C315" s="4">
        <v>0.42571759259259695</v>
      </c>
      <c r="D315" s="4">
        <v>0.42589120370370809</v>
      </c>
      <c r="E315" s="2">
        <v>13.299999999999999</v>
      </c>
      <c r="F315" s="2">
        <v>13.43</v>
      </c>
      <c r="G315" s="1" t="s">
        <v>26</v>
      </c>
      <c r="H315" s="4">
        <f t="shared" si="13"/>
        <v>1.7361111111113825E-4</v>
      </c>
      <c r="I315">
        <f t="shared" si="17"/>
        <v>28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</row>
    <row r="316" spans="1:110" ht="14.25" customHeight="1" x14ac:dyDescent="0.3">
      <c r="A316" s="1">
        <f t="shared" si="12"/>
        <v>307</v>
      </c>
      <c r="B316" s="1" t="str">
        <f>"(1,"&amp;I316&amp;")"</f>
        <v>(1,29)</v>
      </c>
      <c r="C316" s="4">
        <v>0.42616898148148585</v>
      </c>
      <c r="D316" s="4">
        <v>0.4263310185185229</v>
      </c>
      <c r="E316" s="2">
        <v>13.299999999999999</v>
      </c>
      <c r="F316" s="2">
        <v>13.419999999999998</v>
      </c>
      <c r="G316" s="1" t="s">
        <v>26</v>
      </c>
      <c r="H316" s="4">
        <f t="shared" si="13"/>
        <v>1.6203703703704386E-4</v>
      </c>
      <c r="I316">
        <f>I315+1</f>
        <v>29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</row>
    <row r="317" spans="1:110" ht="14.25" customHeight="1" x14ac:dyDescent="0.3">
      <c r="A317" s="1">
        <f t="shared" si="12"/>
        <v>308</v>
      </c>
      <c r="B317" s="1" t="str">
        <f>"(2,"&amp;I317&amp;")"</f>
        <v>(2,29)</v>
      </c>
      <c r="C317" s="4">
        <v>0.42660879629630066</v>
      </c>
      <c r="D317" s="4">
        <v>0.4267824074074118</v>
      </c>
      <c r="E317" s="2">
        <v>13.299999999999999</v>
      </c>
      <c r="F317" s="2">
        <v>13.35</v>
      </c>
      <c r="G317" s="1" t="s">
        <v>26</v>
      </c>
      <c r="H317" s="4">
        <f t="shared" si="13"/>
        <v>1.7361111111113825E-4</v>
      </c>
      <c r="I317">
        <f>I316</f>
        <v>29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</row>
    <row r="318" spans="1:110" ht="14.25" customHeight="1" x14ac:dyDescent="0.3">
      <c r="A318" s="1">
        <f t="shared" si="12"/>
        <v>309</v>
      </c>
      <c r="B318" s="1" t="str">
        <f>"(3,"&amp;I318&amp;")"</f>
        <v>(3,29)</v>
      </c>
      <c r="C318" s="4">
        <v>0.42704861111111553</v>
      </c>
      <c r="D318" s="4">
        <v>0.42719907407407848</v>
      </c>
      <c r="E318" s="2">
        <v>13.299999999999999</v>
      </c>
      <c r="F318" s="2">
        <v>13.399999999999999</v>
      </c>
      <c r="G318" s="1" t="s">
        <v>26</v>
      </c>
      <c r="H318" s="4">
        <f t="shared" si="13"/>
        <v>1.5046296296294948E-4</v>
      </c>
      <c r="I318">
        <f t="shared" ref="I318:I326" si="18">I317</f>
        <v>29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</row>
    <row r="319" spans="1:110" ht="14.25" customHeight="1" x14ac:dyDescent="0.3">
      <c r="A319" s="1">
        <f t="shared" si="12"/>
        <v>310</v>
      </c>
      <c r="B319" s="1" t="str">
        <f>"(4,"&amp;I319&amp;")"</f>
        <v>(4,29)</v>
      </c>
      <c r="C319" s="4">
        <v>0.42745370370370811</v>
      </c>
      <c r="D319" s="4">
        <v>0.42762731481481925</v>
      </c>
      <c r="E319" s="2">
        <v>13.299999999999999</v>
      </c>
      <c r="F319" s="2">
        <v>13.35</v>
      </c>
      <c r="G319" s="1" t="s">
        <v>26</v>
      </c>
      <c r="H319" s="4">
        <f t="shared" si="13"/>
        <v>1.7361111111113825E-4</v>
      </c>
      <c r="I319">
        <f t="shared" si="18"/>
        <v>29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</row>
    <row r="320" spans="1:110" ht="14.25" customHeight="1" x14ac:dyDescent="0.3">
      <c r="A320" s="1">
        <f t="shared" si="12"/>
        <v>311</v>
      </c>
      <c r="B320" s="1" t="str">
        <f>"(5,"&amp;I320&amp;")"</f>
        <v>(5,29)</v>
      </c>
      <c r="C320" s="4">
        <v>0.42788194444444888</v>
      </c>
      <c r="D320" s="4">
        <v>0.42802083333333779</v>
      </c>
      <c r="E320" s="2">
        <v>13.299999999999999</v>
      </c>
      <c r="F320" s="2">
        <v>13.45</v>
      </c>
      <c r="G320" s="1" t="s">
        <v>26</v>
      </c>
      <c r="H320" s="4">
        <f t="shared" si="13"/>
        <v>1.388888888889106E-4</v>
      </c>
      <c r="I320">
        <f t="shared" si="18"/>
        <v>29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</row>
    <row r="321" spans="1:110" ht="14.25" customHeight="1" x14ac:dyDescent="0.3">
      <c r="A321" s="1">
        <f t="shared" si="12"/>
        <v>312</v>
      </c>
      <c r="B321" s="1" t="str">
        <f>"(6,"&amp;I321&amp;")"</f>
        <v>(6,29)</v>
      </c>
      <c r="C321" s="4">
        <v>0.42825231481481929</v>
      </c>
      <c r="D321" s="4">
        <v>0.42840277777778224</v>
      </c>
      <c r="E321" s="2">
        <v>13.299999999999999</v>
      </c>
      <c r="F321" s="2">
        <v>13.43</v>
      </c>
      <c r="G321" s="1" t="s">
        <v>26</v>
      </c>
      <c r="H321" s="4">
        <f t="shared" si="13"/>
        <v>1.5046296296294948E-4</v>
      </c>
      <c r="I321">
        <f t="shared" si="18"/>
        <v>29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</row>
    <row r="322" spans="1:110" ht="14.25" customHeight="1" x14ac:dyDescent="0.3">
      <c r="A322" s="1">
        <f t="shared" si="12"/>
        <v>313</v>
      </c>
      <c r="B322" s="1" t="str">
        <f>"(7,"&amp;I322&amp;")"</f>
        <v>(7,29)</v>
      </c>
      <c r="C322" s="4">
        <v>0.42865740740741187</v>
      </c>
      <c r="D322" s="4">
        <v>0.42880787037037482</v>
      </c>
      <c r="E322" s="2">
        <v>13.299999999999999</v>
      </c>
      <c r="F322" s="2">
        <v>13.419999999999998</v>
      </c>
      <c r="G322" s="1" t="s">
        <v>26</v>
      </c>
      <c r="H322" s="4">
        <f t="shared" si="13"/>
        <v>1.5046296296294948E-4</v>
      </c>
      <c r="I322">
        <f t="shared" si="18"/>
        <v>29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</row>
    <row r="323" spans="1:110" ht="14.25" customHeight="1" x14ac:dyDescent="0.3">
      <c r="A323" s="1">
        <f t="shared" si="12"/>
        <v>314</v>
      </c>
      <c r="B323" s="1" t="str">
        <f>"(8,"&amp;I323&amp;")"</f>
        <v>(8,29)</v>
      </c>
      <c r="C323" s="4">
        <v>0.42903935185185632</v>
      </c>
      <c r="D323" s="4">
        <v>0.42920138888889336</v>
      </c>
      <c r="E323" s="2">
        <v>13.299999999999999</v>
      </c>
      <c r="F323" s="2">
        <v>13.339999999999998</v>
      </c>
      <c r="G323" s="1" t="s">
        <v>26</v>
      </c>
      <c r="H323" s="4">
        <f t="shared" si="13"/>
        <v>1.6203703703704386E-4</v>
      </c>
      <c r="I323">
        <f t="shared" si="18"/>
        <v>29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</row>
    <row r="324" spans="1:110" ht="14.25" customHeight="1" x14ac:dyDescent="0.3">
      <c r="A324" s="1">
        <f t="shared" si="12"/>
        <v>315</v>
      </c>
      <c r="B324" s="1" t="str">
        <f>"(9,"&amp;I324&amp;")"</f>
        <v>(9,29)</v>
      </c>
      <c r="C324" s="4">
        <v>0.4294444444444489</v>
      </c>
      <c r="D324" s="4">
        <v>0.42958333333333781</v>
      </c>
      <c r="E324" s="2">
        <v>13.299999999999999</v>
      </c>
      <c r="F324" s="2">
        <v>13.339999999999998</v>
      </c>
      <c r="G324" s="1" t="s">
        <v>26</v>
      </c>
      <c r="H324" s="4">
        <f t="shared" si="13"/>
        <v>1.388888888889106E-4</v>
      </c>
      <c r="I324">
        <f t="shared" si="18"/>
        <v>29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</row>
    <row r="325" spans="1:110" ht="14.25" customHeight="1" x14ac:dyDescent="0.3">
      <c r="A325" s="1">
        <f t="shared" si="12"/>
        <v>316</v>
      </c>
      <c r="B325" s="1" t="str">
        <f>"(10,"&amp;I325&amp;")"</f>
        <v>(10,29)</v>
      </c>
      <c r="C325" s="4">
        <v>0.42987268518518967</v>
      </c>
      <c r="D325" s="4">
        <v>0.43003472222222672</v>
      </c>
      <c r="E325" s="2">
        <v>13.299999999999999</v>
      </c>
      <c r="F325" s="2">
        <v>13.399999999999999</v>
      </c>
      <c r="G325" s="1" t="s">
        <v>26</v>
      </c>
      <c r="H325" s="4">
        <f t="shared" si="13"/>
        <v>1.6203703703704386E-4</v>
      </c>
      <c r="I325">
        <f t="shared" si="18"/>
        <v>29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</row>
    <row r="326" spans="1:110" ht="14.25" customHeight="1" x14ac:dyDescent="0.3">
      <c r="A326" s="1">
        <f t="shared" si="12"/>
        <v>317</v>
      </c>
      <c r="B326" s="1" t="str">
        <f>"(11,"&amp;I326&amp;")"</f>
        <v>(11,29)</v>
      </c>
      <c r="C326" s="4">
        <v>0.43030092592593044</v>
      </c>
      <c r="D326" s="4">
        <v>0.43045138888889339</v>
      </c>
      <c r="E326" s="2">
        <v>13.299999999999999</v>
      </c>
      <c r="F326" s="2">
        <v>13.379999999999999</v>
      </c>
      <c r="G326" s="1" t="s">
        <v>26</v>
      </c>
      <c r="H326" s="4">
        <f t="shared" si="13"/>
        <v>1.5046296296294948E-4</v>
      </c>
      <c r="I326">
        <f t="shared" si="18"/>
        <v>29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</row>
    <row r="327" spans="1:110" ht="14.25" customHeight="1" x14ac:dyDescent="0.3">
      <c r="A327" s="1">
        <f t="shared" si="12"/>
        <v>318</v>
      </c>
      <c r="B327" s="1" t="str">
        <f>"(11,"&amp;I327&amp;")"</f>
        <v>(11,30)</v>
      </c>
      <c r="C327" s="4">
        <v>0.43069444444444893</v>
      </c>
      <c r="D327" s="4">
        <v>0.43085648148148598</v>
      </c>
      <c r="E327" s="2">
        <v>13.299999999999999</v>
      </c>
      <c r="F327" s="2">
        <v>13.319999999999999</v>
      </c>
      <c r="G327" s="1" t="s">
        <v>26</v>
      </c>
      <c r="H327" s="4">
        <f t="shared" si="13"/>
        <v>1.6203703703704386E-4</v>
      </c>
      <c r="I327">
        <f>I326+1</f>
        <v>30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</row>
    <row r="328" spans="1:110" ht="14.25" customHeight="1" x14ac:dyDescent="0.3">
      <c r="A328" s="1">
        <f t="shared" si="12"/>
        <v>319</v>
      </c>
      <c r="B328" s="1" t="str">
        <f>"(10,"&amp;I328&amp;")"</f>
        <v>(10,30)</v>
      </c>
      <c r="C328" s="4">
        <v>0.43111111111111561</v>
      </c>
      <c r="D328" s="4">
        <v>0.43125000000000452</v>
      </c>
      <c r="E328" s="2">
        <v>13.299999999999999</v>
      </c>
      <c r="F328" s="2">
        <v>13.43</v>
      </c>
      <c r="G328" s="1" t="s">
        <v>26</v>
      </c>
      <c r="H328" s="4">
        <f t="shared" si="13"/>
        <v>1.388888888889106E-4</v>
      </c>
      <c r="I328">
        <f>I327</f>
        <v>30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</row>
    <row r="329" spans="1:110" ht="14.25" customHeight="1" x14ac:dyDescent="0.3">
      <c r="A329" s="1">
        <f t="shared" si="12"/>
        <v>320</v>
      </c>
      <c r="B329" s="1" t="str">
        <f>"(9,"&amp;I329&amp;")"</f>
        <v>(9,30)</v>
      </c>
      <c r="C329" s="4">
        <v>0.43150462962963415</v>
      </c>
      <c r="D329" s="4">
        <v>0.43166666666667119</v>
      </c>
      <c r="E329" s="2">
        <v>13.299999999999999</v>
      </c>
      <c r="F329" s="2">
        <v>13.44</v>
      </c>
      <c r="G329" s="1" t="s">
        <v>26</v>
      </c>
      <c r="H329" s="4">
        <f t="shared" si="13"/>
        <v>1.6203703703704386E-4</v>
      </c>
      <c r="I329">
        <f t="shared" ref="I329:I337" si="19">I328</f>
        <v>30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</row>
    <row r="330" spans="1:110" ht="14.25" customHeight="1" x14ac:dyDescent="0.3">
      <c r="A330" s="1">
        <f t="shared" si="12"/>
        <v>321</v>
      </c>
      <c r="B330" s="1" t="str">
        <f>"(8,"&amp;I330&amp;")"</f>
        <v>(8,30)</v>
      </c>
      <c r="C330" s="4">
        <v>0.43193287037037492</v>
      </c>
      <c r="D330" s="4">
        <v>0.43207175925926383</v>
      </c>
      <c r="E330" s="2">
        <v>13.299999999999999</v>
      </c>
      <c r="F330" s="2">
        <v>13.409999999999998</v>
      </c>
      <c r="G330" s="1" t="s">
        <v>26</v>
      </c>
      <c r="H330" s="4">
        <f t="shared" si="13"/>
        <v>1.388888888889106E-4</v>
      </c>
      <c r="I330">
        <f t="shared" si="19"/>
        <v>30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</row>
    <row r="331" spans="1:110" ht="14.25" customHeight="1" x14ac:dyDescent="0.3">
      <c r="A331" s="1">
        <f t="shared" si="12"/>
        <v>322</v>
      </c>
      <c r="B331" s="1" t="str">
        <f>"(7,"&amp;I331&amp;")"</f>
        <v>(7,30)</v>
      </c>
      <c r="C331" s="4">
        <v>0.43230324074074533</v>
      </c>
      <c r="D331" s="4">
        <v>0.43244212962963424</v>
      </c>
      <c r="E331" s="2">
        <v>13.299999999999999</v>
      </c>
      <c r="F331" s="2">
        <v>13.45</v>
      </c>
      <c r="G331" s="1" t="s">
        <v>26</v>
      </c>
      <c r="H331" s="4">
        <f t="shared" si="13"/>
        <v>1.388888888889106E-4</v>
      </c>
      <c r="I331">
        <f t="shared" si="19"/>
        <v>30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</row>
    <row r="332" spans="1:110" ht="14.25" customHeight="1" x14ac:dyDescent="0.3">
      <c r="A332" s="1">
        <f t="shared" ref="A332:A509" si="20">A331+1</f>
        <v>323</v>
      </c>
      <c r="B332" s="1" t="str">
        <f>"(6,"&amp;I332&amp;")"</f>
        <v>(6,30)</v>
      </c>
      <c r="C332" s="4">
        <v>0.43269675925926387</v>
      </c>
      <c r="D332" s="4">
        <v>0.43285879629630092</v>
      </c>
      <c r="E332" s="2">
        <v>13.299999999999999</v>
      </c>
      <c r="F332" s="2">
        <v>13.43</v>
      </c>
      <c r="G332" s="1" t="s">
        <v>26</v>
      </c>
      <c r="H332" s="4">
        <f t="shared" ref="H332:H395" si="21">D332-C332</f>
        <v>1.6203703703704386E-4</v>
      </c>
      <c r="I332">
        <f t="shared" si="19"/>
        <v>30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</row>
    <row r="333" spans="1:110" ht="14.25" customHeight="1" x14ac:dyDescent="0.3">
      <c r="A333" s="1">
        <f t="shared" si="20"/>
        <v>324</v>
      </c>
      <c r="B333" s="1" t="str">
        <f>"(5,"&amp;I333&amp;")"</f>
        <v>(5,30)</v>
      </c>
      <c r="C333" s="4">
        <v>0.43310185185185646</v>
      </c>
      <c r="D333" s="4">
        <v>0.43324074074074537</v>
      </c>
      <c r="E333" s="2">
        <v>13.299999999999999</v>
      </c>
      <c r="F333" s="2">
        <v>13.379999999999999</v>
      </c>
      <c r="G333" s="1" t="s">
        <v>26</v>
      </c>
      <c r="H333" s="4">
        <f t="shared" si="21"/>
        <v>1.388888888889106E-4</v>
      </c>
      <c r="I333">
        <f t="shared" si="19"/>
        <v>30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</row>
    <row r="334" spans="1:110" ht="14.25" customHeight="1" x14ac:dyDescent="0.3">
      <c r="A334" s="1">
        <f t="shared" si="20"/>
        <v>325</v>
      </c>
      <c r="B334" s="1" t="str">
        <f>"(4,"&amp;I334&amp;")"</f>
        <v>(4,30)</v>
      </c>
      <c r="C334" s="4">
        <v>0.433495370370375</v>
      </c>
      <c r="D334" s="4">
        <v>0.43364583333333795</v>
      </c>
      <c r="E334" s="2">
        <v>13.299999999999999</v>
      </c>
      <c r="F334" s="2">
        <v>13.43</v>
      </c>
      <c r="G334" s="1" t="s">
        <v>26</v>
      </c>
      <c r="H334" s="4">
        <f t="shared" si="21"/>
        <v>1.5046296296294948E-4</v>
      </c>
      <c r="I334">
        <f t="shared" si="19"/>
        <v>30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</row>
    <row r="335" spans="1:110" ht="14.25" customHeight="1" x14ac:dyDescent="0.3">
      <c r="A335" s="1">
        <f t="shared" si="20"/>
        <v>326</v>
      </c>
      <c r="B335" s="1" t="str">
        <f>"(3,"&amp;I335&amp;")"</f>
        <v>(3,30)</v>
      </c>
      <c r="C335" s="4">
        <v>0.43393518518518981</v>
      </c>
      <c r="D335" s="4">
        <v>0.43409722222222685</v>
      </c>
      <c r="E335" s="2">
        <v>13.299999999999999</v>
      </c>
      <c r="F335" s="2">
        <v>13.409999999999998</v>
      </c>
      <c r="G335" s="1" t="s">
        <v>26</v>
      </c>
      <c r="H335" s="4">
        <f t="shared" si="21"/>
        <v>1.6203703703704386E-4</v>
      </c>
      <c r="I335">
        <f t="shared" si="19"/>
        <v>30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</row>
    <row r="336" spans="1:110" ht="14.25" customHeight="1" x14ac:dyDescent="0.3">
      <c r="A336" s="1">
        <f t="shared" si="20"/>
        <v>327</v>
      </c>
      <c r="B336" s="1" t="str">
        <f>"(2,"&amp;I336&amp;")"</f>
        <v>(2,30)</v>
      </c>
      <c r="C336" s="4">
        <v>0.43438657407407871</v>
      </c>
      <c r="D336" s="4">
        <v>0.43453703703704166</v>
      </c>
      <c r="E336" s="2">
        <v>13.299999999999999</v>
      </c>
      <c r="F336" s="2">
        <v>13.379999999999999</v>
      </c>
      <c r="G336" s="1" t="s">
        <v>26</v>
      </c>
      <c r="H336" s="4">
        <f t="shared" si="21"/>
        <v>1.5046296296294948E-4</v>
      </c>
      <c r="I336">
        <f t="shared" si="19"/>
        <v>30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</row>
    <row r="337" spans="1:110" ht="14.25" customHeight="1" x14ac:dyDescent="0.3">
      <c r="A337" s="1">
        <f t="shared" si="20"/>
        <v>328</v>
      </c>
      <c r="B337" s="1" t="str">
        <f>"(1,"&amp;I337&amp;")"</f>
        <v>(1,30)</v>
      </c>
      <c r="C337" s="4">
        <v>0.43481481481481943</v>
      </c>
      <c r="D337" s="4">
        <v>0.43497685185185647</v>
      </c>
      <c r="E337" s="2">
        <v>13.299999999999999</v>
      </c>
      <c r="F337" s="2">
        <v>13.45</v>
      </c>
      <c r="G337" s="1" t="s">
        <v>26</v>
      </c>
      <c r="H337" s="4">
        <f t="shared" si="21"/>
        <v>1.6203703703704386E-4</v>
      </c>
      <c r="I337">
        <f t="shared" si="19"/>
        <v>30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</row>
    <row r="338" spans="1:110" ht="14.25" customHeight="1" x14ac:dyDescent="0.3">
      <c r="A338" s="1">
        <f t="shared" si="20"/>
        <v>329</v>
      </c>
      <c r="B338" s="1" t="str">
        <f>"(1,"&amp;I338&amp;")"</f>
        <v>(1,31)</v>
      </c>
      <c r="C338" s="4">
        <v>0.43521990740741201</v>
      </c>
      <c r="D338" s="4">
        <v>0.43537037037037496</v>
      </c>
      <c r="E338" s="2">
        <v>13.299999999999999</v>
      </c>
      <c r="F338" s="2">
        <v>13.36</v>
      </c>
      <c r="G338" s="1" t="s">
        <v>26</v>
      </c>
      <c r="H338" s="4">
        <f t="shared" si="21"/>
        <v>1.5046296296294948E-4</v>
      </c>
      <c r="I338">
        <f>I337+1</f>
        <v>31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</row>
    <row r="339" spans="1:110" ht="14.25" customHeight="1" x14ac:dyDescent="0.3">
      <c r="A339" s="1">
        <f t="shared" si="20"/>
        <v>330</v>
      </c>
      <c r="B339" s="1" t="str">
        <f>"(2,"&amp;I339&amp;")"</f>
        <v>(2,31)</v>
      </c>
      <c r="C339" s="4">
        <v>0.4356134259259305</v>
      </c>
      <c r="D339" s="4">
        <v>0.43577546296296754</v>
      </c>
      <c r="E339" s="2">
        <v>13.299999999999999</v>
      </c>
      <c r="F339" s="2">
        <v>13.36</v>
      </c>
      <c r="G339" s="1" t="s">
        <v>26</v>
      </c>
      <c r="H339" s="4">
        <f t="shared" si="21"/>
        <v>1.6203703703704386E-4</v>
      </c>
      <c r="I339">
        <f>I338</f>
        <v>31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</row>
    <row r="340" spans="1:110" ht="14.25" customHeight="1" x14ac:dyDescent="0.3">
      <c r="A340" s="1">
        <f t="shared" si="20"/>
        <v>331</v>
      </c>
      <c r="B340" s="1" t="str">
        <f>"(3,"&amp;I340&amp;")"</f>
        <v>(3,31)</v>
      </c>
      <c r="C340" s="4">
        <v>0.43604166666667127</v>
      </c>
      <c r="D340" s="4">
        <v>0.43618055555556018</v>
      </c>
      <c r="E340" s="2">
        <v>13.299999999999999</v>
      </c>
      <c r="F340" s="2">
        <v>13.45</v>
      </c>
      <c r="G340" s="1" t="s">
        <v>26</v>
      </c>
      <c r="H340" s="4">
        <f t="shared" si="21"/>
        <v>1.388888888889106E-4</v>
      </c>
      <c r="I340">
        <f t="shared" ref="I340:I348" si="22">I339</f>
        <v>31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</row>
    <row r="341" spans="1:110" ht="14.25" customHeight="1" x14ac:dyDescent="0.3">
      <c r="A341" s="1">
        <f t="shared" si="20"/>
        <v>332</v>
      </c>
      <c r="B341" s="1" t="str">
        <f>"(4,"&amp;I341&amp;")"</f>
        <v>(4,31)</v>
      </c>
      <c r="C341" s="4">
        <v>0.43644675925926391</v>
      </c>
      <c r="D341" s="4">
        <v>0.43662037037037504</v>
      </c>
      <c r="E341" s="2">
        <v>13.299999999999999</v>
      </c>
      <c r="F341" s="2">
        <v>13.399999999999999</v>
      </c>
      <c r="G341" s="1" t="s">
        <v>26</v>
      </c>
      <c r="H341" s="4">
        <f t="shared" si="21"/>
        <v>1.7361111111113825E-4</v>
      </c>
      <c r="I341">
        <f t="shared" si="22"/>
        <v>31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</row>
    <row r="342" spans="1:110" ht="14.25" customHeight="1" x14ac:dyDescent="0.3">
      <c r="A342" s="1">
        <f t="shared" si="20"/>
        <v>333</v>
      </c>
      <c r="B342" s="1" t="str">
        <f>"(5,"&amp;I342&amp;")"</f>
        <v>(5,31)</v>
      </c>
      <c r="C342" s="4">
        <v>0.43686342592593058</v>
      </c>
      <c r="D342" s="4">
        <v>0.43703703703704172</v>
      </c>
      <c r="E342" s="2">
        <v>13.299999999999999</v>
      </c>
      <c r="F342" s="2">
        <v>13.43</v>
      </c>
      <c r="G342" s="1" t="s">
        <v>26</v>
      </c>
      <c r="H342" s="4">
        <f t="shared" si="21"/>
        <v>1.7361111111113825E-4</v>
      </c>
      <c r="I342">
        <f t="shared" si="22"/>
        <v>31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</row>
    <row r="343" spans="1:110" ht="14.25" customHeight="1" x14ac:dyDescent="0.3">
      <c r="A343" s="1">
        <f t="shared" si="20"/>
        <v>334</v>
      </c>
      <c r="B343" s="1" t="str">
        <f>"(6,"&amp;I343&amp;")"</f>
        <v>(6,31)</v>
      </c>
      <c r="C343" s="4">
        <v>0.43726851851852322</v>
      </c>
      <c r="D343" s="4">
        <v>0.43743055555556026</v>
      </c>
      <c r="E343" s="2">
        <v>13.299999999999999</v>
      </c>
      <c r="F343" s="2">
        <v>13.43</v>
      </c>
      <c r="G343" s="1" t="s">
        <v>26</v>
      </c>
      <c r="H343" s="4">
        <f t="shared" si="21"/>
        <v>1.6203703703704386E-4</v>
      </c>
      <c r="I343">
        <f t="shared" si="22"/>
        <v>31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</row>
    <row r="344" spans="1:110" ht="14.25" customHeight="1" x14ac:dyDescent="0.3">
      <c r="A344" s="1">
        <f t="shared" si="20"/>
        <v>335</v>
      </c>
      <c r="B344" s="1" t="str">
        <f>"(7,"&amp;I344&amp;")"</f>
        <v>(7,31)</v>
      </c>
      <c r="C344" s="4">
        <v>0.43770833333333803</v>
      </c>
      <c r="D344" s="4">
        <v>0.43785879629630098</v>
      </c>
      <c r="E344" s="2">
        <v>13.299999999999999</v>
      </c>
      <c r="F344" s="2">
        <v>13.35</v>
      </c>
      <c r="G344" s="1" t="s">
        <v>26</v>
      </c>
      <c r="H344" s="4">
        <f t="shared" si="21"/>
        <v>1.5046296296294948E-4</v>
      </c>
      <c r="I344">
        <f t="shared" si="22"/>
        <v>31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</row>
    <row r="345" spans="1:110" ht="14.25" customHeight="1" x14ac:dyDescent="0.3">
      <c r="A345" s="1">
        <f t="shared" si="20"/>
        <v>336</v>
      </c>
      <c r="B345" s="1" t="str">
        <f>"(8,"&amp;I345&amp;")"</f>
        <v>(8,31)</v>
      </c>
      <c r="C345" s="4">
        <v>0.43813657407407874</v>
      </c>
      <c r="D345" s="4">
        <v>0.43828703703704169</v>
      </c>
      <c r="E345" s="2">
        <v>13.299999999999999</v>
      </c>
      <c r="F345" s="2">
        <v>13.44</v>
      </c>
      <c r="G345" s="1" t="s">
        <v>26</v>
      </c>
      <c r="H345" s="4">
        <f t="shared" si="21"/>
        <v>1.5046296296294948E-4</v>
      </c>
      <c r="I345">
        <f t="shared" si="22"/>
        <v>31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</row>
    <row r="346" spans="1:110" ht="14.25" customHeight="1" x14ac:dyDescent="0.3">
      <c r="A346" s="1">
        <f t="shared" si="20"/>
        <v>337</v>
      </c>
      <c r="B346" s="1" t="str">
        <f>"(9,"&amp;I346&amp;")"</f>
        <v>(9,31)</v>
      </c>
      <c r="C346" s="4">
        <v>0.43855324074074542</v>
      </c>
      <c r="D346" s="4">
        <v>0.43869212962963433</v>
      </c>
      <c r="E346" s="2">
        <v>13.299999999999999</v>
      </c>
      <c r="F346" s="2">
        <v>13.44</v>
      </c>
      <c r="G346" s="1" t="s">
        <v>26</v>
      </c>
      <c r="H346" s="4">
        <f t="shared" si="21"/>
        <v>1.388888888889106E-4</v>
      </c>
      <c r="I346">
        <f t="shared" si="22"/>
        <v>31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</row>
    <row r="347" spans="1:110" ht="14.25" customHeight="1" x14ac:dyDescent="0.3">
      <c r="A347" s="1">
        <f t="shared" si="20"/>
        <v>338</v>
      </c>
      <c r="B347" s="1" t="str">
        <f>"(10,"&amp;I347&amp;")"</f>
        <v>(10,31)</v>
      </c>
      <c r="C347" s="4">
        <v>0.43898148148148619</v>
      </c>
      <c r="D347" s="4">
        <v>0.43913194444444914</v>
      </c>
      <c r="E347" s="2">
        <v>13.299999999999999</v>
      </c>
      <c r="F347" s="2">
        <v>13.36</v>
      </c>
      <c r="G347" s="1" t="s">
        <v>26</v>
      </c>
      <c r="H347" s="4">
        <f t="shared" si="21"/>
        <v>1.5046296296294948E-4</v>
      </c>
      <c r="I347">
        <f t="shared" si="22"/>
        <v>31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</row>
    <row r="348" spans="1:110" ht="14.25" customHeight="1" x14ac:dyDescent="0.3">
      <c r="A348" s="1">
        <f t="shared" si="20"/>
        <v>339</v>
      </c>
      <c r="B348" s="1" t="str">
        <f>"(11,"&amp;I348&amp;")"</f>
        <v>(11,31)</v>
      </c>
      <c r="C348" s="4">
        <v>0.43939814814815287</v>
      </c>
      <c r="D348" s="4">
        <v>0.43957175925926401</v>
      </c>
      <c r="E348" s="2">
        <v>13.299999999999999</v>
      </c>
      <c r="F348" s="2">
        <v>13.339999999999998</v>
      </c>
      <c r="G348" s="1" t="s">
        <v>26</v>
      </c>
      <c r="H348" s="4">
        <f t="shared" si="21"/>
        <v>1.7361111111113825E-4</v>
      </c>
      <c r="I348">
        <f t="shared" si="22"/>
        <v>31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</row>
    <row r="349" spans="1:110" ht="14.25" customHeight="1" x14ac:dyDescent="0.3">
      <c r="A349" s="1">
        <f t="shared" si="20"/>
        <v>340</v>
      </c>
      <c r="B349" s="1" t="str">
        <f>"(11,"&amp;I349&amp;")"</f>
        <v>(11,32)</v>
      </c>
      <c r="C349" s="4">
        <v>0.43986111111111587</v>
      </c>
      <c r="D349" s="4">
        <v>0.44000000000000478</v>
      </c>
      <c r="E349" s="2">
        <v>13.299999999999999</v>
      </c>
      <c r="F349" s="2">
        <v>13.35</v>
      </c>
      <c r="G349" s="1" t="s">
        <v>26</v>
      </c>
      <c r="H349" s="4">
        <f t="shared" si="21"/>
        <v>1.388888888889106E-4</v>
      </c>
      <c r="I349">
        <f>I348+1</f>
        <v>32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</row>
    <row r="350" spans="1:110" ht="14.25" customHeight="1" x14ac:dyDescent="0.3">
      <c r="A350" s="1">
        <f t="shared" si="20"/>
        <v>341</v>
      </c>
      <c r="B350" s="1" t="str">
        <f>"(10,"&amp;I350&amp;")"</f>
        <v>(10,32)</v>
      </c>
      <c r="C350" s="4">
        <v>0.44023148148148628</v>
      </c>
      <c r="D350" s="4">
        <v>0.44037037037037519</v>
      </c>
      <c r="E350" s="2">
        <v>13.299999999999999</v>
      </c>
      <c r="F350" s="2">
        <v>13.309999999999999</v>
      </c>
      <c r="G350" s="1" t="s">
        <v>26</v>
      </c>
      <c r="H350" s="4">
        <f t="shared" si="21"/>
        <v>1.388888888889106E-4</v>
      </c>
      <c r="I350">
        <f>I349</f>
        <v>32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</row>
    <row r="351" spans="1:110" ht="14.25" customHeight="1" x14ac:dyDescent="0.3">
      <c r="A351" s="1">
        <f t="shared" si="20"/>
        <v>342</v>
      </c>
      <c r="B351" s="1" t="str">
        <f>"(9,"&amp;I351&amp;")"</f>
        <v>(9,32)</v>
      </c>
      <c r="C351" s="4">
        <v>0.44060185185185669</v>
      </c>
      <c r="D351" s="4">
        <v>0.44076388888889373</v>
      </c>
      <c r="E351" s="2">
        <v>13.299999999999999</v>
      </c>
      <c r="F351" s="2">
        <v>13.36</v>
      </c>
      <c r="G351" s="1" t="s">
        <v>26</v>
      </c>
      <c r="H351" s="4">
        <f t="shared" si="21"/>
        <v>1.6203703703704386E-4</v>
      </c>
      <c r="I351">
        <f t="shared" ref="I351:I359" si="23">I350</f>
        <v>32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</row>
    <row r="352" spans="1:110" ht="14.25" customHeight="1" x14ac:dyDescent="0.3">
      <c r="A352" s="1">
        <f t="shared" si="20"/>
        <v>343</v>
      </c>
      <c r="B352" s="1" t="str">
        <f>"(8,"&amp;I352&amp;")"</f>
        <v>(8,32)</v>
      </c>
      <c r="C352" s="4">
        <v>0.44104166666667149</v>
      </c>
      <c r="D352" s="4">
        <v>0.44119212962963444</v>
      </c>
      <c r="E352" s="2">
        <v>13.299999999999999</v>
      </c>
      <c r="F352" s="2">
        <v>13.329999999999998</v>
      </c>
      <c r="G352" s="1" t="s">
        <v>26</v>
      </c>
      <c r="H352" s="4">
        <f t="shared" si="21"/>
        <v>1.5046296296294948E-4</v>
      </c>
      <c r="I352">
        <f t="shared" si="23"/>
        <v>32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</row>
    <row r="353" spans="1:110" ht="14.25" customHeight="1" x14ac:dyDescent="0.3">
      <c r="A353" s="1">
        <f t="shared" si="20"/>
        <v>344</v>
      </c>
      <c r="B353" s="1" t="str">
        <f>"(7,"&amp;I353&amp;")"</f>
        <v>(7,32)</v>
      </c>
      <c r="C353" s="4">
        <v>0.4414814814814863</v>
      </c>
      <c r="D353" s="4">
        <v>0.44162037037037521</v>
      </c>
      <c r="E353" s="2">
        <v>13.299999999999999</v>
      </c>
      <c r="F353" s="2">
        <v>13.35</v>
      </c>
      <c r="G353" s="1" t="s">
        <v>26</v>
      </c>
      <c r="H353" s="4">
        <f t="shared" si="21"/>
        <v>1.388888888889106E-4</v>
      </c>
      <c r="I353">
        <f t="shared" si="23"/>
        <v>32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</row>
    <row r="354" spans="1:110" ht="14.25" customHeight="1" x14ac:dyDescent="0.3">
      <c r="A354" s="1">
        <f t="shared" si="20"/>
        <v>345</v>
      </c>
      <c r="B354" s="1" t="str">
        <f>"(6,"&amp;I354&amp;")"</f>
        <v>(6,32)</v>
      </c>
      <c r="C354" s="4">
        <v>0.44189814814815298</v>
      </c>
      <c r="D354" s="4">
        <v>0.44203703703704189</v>
      </c>
      <c r="E354" s="2">
        <v>13.299999999999999</v>
      </c>
      <c r="F354" s="2">
        <v>13.309999999999999</v>
      </c>
      <c r="G354" s="1" t="s">
        <v>26</v>
      </c>
      <c r="H354" s="4">
        <f t="shared" si="21"/>
        <v>1.388888888889106E-4</v>
      </c>
      <c r="I354">
        <f t="shared" si="23"/>
        <v>32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</row>
    <row r="355" spans="1:110" ht="14.25" customHeight="1" x14ac:dyDescent="0.3">
      <c r="A355" s="1">
        <f t="shared" si="20"/>
        <v>346</v>
      </c>
      <c r="B355" s="1" t="str">
        <f>"(5,"&amp;I355&amp;")"</f>
        <v>(5,32)</v>
      </c>
      <c r="C355" s="4">
        <v>0.44226851851852339</v>
      </c>
      <c r="D355" s="4">
        <v>0.44241898148148634</v>
      </c>
      <c r="E355" s="2">
        <v>13.299999999999999</v>
      </c>
      <c r="F355" s="2">
        <v>13.309999999999999</v>
      </c>
      <c r="G355" s="1" t="s">
        <v>26</v>
      </c>
      <c r="H355" s="4">
        <f t="shared" si="21"/>
        <v>1.5046296296294948E-4</v>
      </c>
      <c r="I355">
        <f t="shared" si="23"/>
        <v>32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</row>
    <row r="356" spans="1:110" ht="14.25" customHeight="1" x14ac:dyDescent="0.3">
      <c r="A356" s="1">
        <f t="shared" si="20"/>
        <v>347</v>
      </c>
      <c r="B356" s="1" t="str">
        <f>"(4,"&amp;I356&amp;")"</f>
        <v>(4,32)</v>
      </c>
      <c r="C356" s="4">
        <v>0.44267361111111597</v>
      </c>
      <c r="D356" s="4">
        <v>0.44284722222222711</v>
      </c>
      <c r="E356" s="2">
        <v>13.299999999999999</v>
      </c>
      <c r="F356" s="2">
        <v>13.36</v>
      </c>
      <c r="G356" s="1" t="s">
        <v>26</v>
      </c>
      <c r="H356" s="4">
        <f t="shared" si="21"/>
        <v>1.7361111111113825E-4</v>
      </c>
      <c r="I356">
        <f t="shared" si="23"/>
        <v>32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</row>
    <row r="357" spans="1:110" ht="14.25" customHeight="1" x14ac:dyDescent="0.3">
      <c r="A357" s="1">
        <f t="shared" si="20"/>
        <v>348</v>
      </c>
      <c r="B357" s="1" t="str">
        <f>"(3,"&amp;I357&amp;")"</f>
        <v>(3,32)</v>
      </c>
      <c r="C357" s="4">
        <v>0.44312500000000488</v>
      </c>
      <c r="D357" s="4">
        <v>0.44329861111111601</v>
      </c>
      <c r="E357" s="2">
        <v>13.299999999999999</v>
      </c>
      <c r="F357" s="2">
        <v>13.44</v>
      </c>
      <c r="G357" s="1" t="s">
        <v>26</v>
      </c>
      <c r="H357" s="4">
        <f t="shared" si="21"/>
        <v>1.7361111111113825E-4</v>
      </c>
      <c r="I357">
        <f t="shared" si="23"/>
        <v>32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</row>
    <row r="358" spans="1:110" ht="14.25" customHeight="1" x14ac:dyDescent="0.3">
      <c r="A358" s="1">
        <f t="shared" si="20"/>
        <v>349</v>
      </c>
      <c r="B358" s="1" t="str">
        <f>"(2,"&amp;I358&amp;")"</f>
        <v>(2,32)</v>
      </c>
      <c r="C358" s="4">
        <v>0.44354166666667155</v>
      </c>
      <c r="D358" s="4">
        <v>0.4437037037037086</v>
      </c>
      <c r="E358" s="2">
        <v>13.299999999999999</v>
      </c>
      <c r="F358" s="2">
        <v>13.409999999999998</v>
      </c>
      <c r="G358" s="1" t="s">
        <v>26</v>
      </c>
      <c r="H358" s="4">
        <f t="shared" si="21"/>
        <v>1.6203703703704386E-4</v>
      </c>
      <c r="I358">
        <f t="shared" si="23"/>
        <v>32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</row>
    <row r="359" spans="1:110" ht="14.25" customHeight="1" x14ac:dyDescent="0.3">
      <c r="A359" s="1">
        <f t="shared" si="20"/>
        <v>350</v>
      </c>
      <c r="B359" s="1" t="str">
        <f>"(1,"&amp;I359&amp;")"</f>
        <v>(1,32)</v>
      </c>
      <c r="C359" s="4">
        <v>0.44399305555556046</v>
      </c>
      <c r="D359" s="4">
        <v>0.4441550925925975</v>
      </c>
      <c r="E359" s="2">
        <v>13.299999999999999</v>
      </c>
      <c r="F359" s="2">
        <v>13.399999999999999</v>
      </c>
      <c r="G359" s="1" t="s">
        <v>26</v>
      </c>
      <c r="H359" s="4">
        <f t="shared" si="21"/>
        <v>1.6203703703704386E-4</v>
      </c>
      <c r="I359">
        <f t="shared" si="23"/>
        <v>32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</row>
    <row r="360" spans="1:110" ht="14.25" customHeight="1" x14ac:dyDescent="0.3">
      <c r="A360" s="1">
        <f t="shared" si="20"/>
        <v>351</v>
      </c>
      <c r="B360" s="1" t="str">
        <f>"(1,"&amp;I360&amp;")"</f>
        <v>(1,33)</v>
      </c>
      <c r="C360" s="4">
        <v>0.44443287037037527</v>
      </c>
      <c r="D360" s="4">
        <v>0.44459490740741231</v>
      </c>
      <c r="E360" s="2">
        <v>13.299999999999999</v>
      </c>
      <c r="F360" s="2">
        <v>13.399999999999999</v>
      </c>
      <c r="G360" s="1" t="s">
        <v>26</v>
      </c>
      <c r="H360" s="4">
        <f t="shared" si="21"/>
        <v>1.6203703703704386E-4</v>
      </c>
      <c r="I360">
        <f>I359+1</f>
        <v>33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</row>
    <row r="361" spans="1:110" ht="14.25" customHeight="1" x14ac:dyDescent="0.3">
      <c r="A361" s="1">
        <f t="shared" si="20"/>
        <v>352</v>
      </c>
      <c r="B361" s="1" t="str">
        <f>"(2,"&amp;I361&amp;")"</f>
        <v>(2,33)</v>
      </c>
      <c r="C361" s="4">
        <v>0.44483796296296785</v>
      </c>
      <c r="D361" s="4">
        <v>0.44501157407407899</v>
      </c>
      <c r="E361" s="2">
        <v>13.299999999999999</v>
      </c>
      <c r="F361" s="2">
        <v>13.329999999999998</v>
      </c>
      <c r="G361" s="1" t="s">
        <v>26</v>
      </c>
      <c r="H361" s="4">
        <f t="shared" si="21"/>
        <v>1.7361111111113825E-4</v>
      </c>
      <c r="I361">
        <f>I360</f>
        <v>33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</row>
    <row r="362" spans="1:110" ht="14.25" customHeight="1" x14ac:dyDescent="0.3">
      <c r="A362" s="1">
        <f t="shared" si="20"/>
        <v>353</v>
      </c>
      <c r="B362" s="1" t="str">
        <f>"(3,"&amp;I362&amp;")"</f>
        <v>(3,33)</v>
      </c>
      <c r="C362" s="4">
        <v>0.44526620370370862</v>
      </c>
      <c r="D362" s="4">
        <v>0.44542824074074566</v>
      </c>
      <c r="E362" s="2">
        <v>13.299999999999999</v>
      </c>
      <c r="F362" s="2">
        <v>13.419999999999998</v>
      </c>
      <c r="G362" s="1" t="s">
        <v>26</v>
      </c>
      <c r="H362" s="4">
        <f t="shared" si="21"/>
        <v>1.6203703703704386E-4</v>
      </c>
      <c r="I362">
        <f t="shared" ref="I362:I370" si="24">I361</f>
        <v>33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</row>
    <row r="363" spans="1:110" ht="14.25" customHeight="1" x14ac:dyDescent="0.3">
      <c r="A363" s="1">
        <f t="shared" si="20"/>
        <v>354</v>
      </c>
      <c r="B363" s="1" t="str">
        <f>"(4,"&amp;I363&amp;")"</f>
        <v>(4,33)</v>
      </c>
      <c r="C363" s="4">
        <v>0.44570601851852343</v>
      </c>
      <c r="D363" s="4">
        <v>0.44584490740741234</v>
      </c>
      <c r="E363" s="2">
        <v>13.299999999999999</v>
      </c>
      <c r="F363" s="2">
        <v>13.35</v>
      </c>
      <c r="G363" s="1" t="s">
        <v>26</v>
      </c>
      <c r="H363" s="4">
        <f t="shared" si="21"/>
        <v>1.388888888889106E-4</v>
      </c>
      <c r="I363">
        <f t="shared" si="24"/>
        <v>33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</row>
    <row r="364" spans="1:110" ht="14.25" customHeight="1" x14ac:dyDescent="0.3">
      <c r="A364" s="1">
        <f t="shared" si="20"/>
        <v>355</v>
      </c>
      <c r="B364" s="1" t="str">
        <f>"(5,"&amp;I364&amp;")"</f>
        <v>(5,33)</v>
      </c>
      <c r="C364" s="4">
        <v>0.44611111111111607</v>
      </c>
      <c r="D364" s="4">
        <v>0.4462847222222272</v>
      </c>
      <c r="E364" s="2">
        <v>13.299999999999999</v>
      </c>
      <c r="F364" s="2">
        <v>13.43</v>
      </c>
      <c r="G364" s="1" t="s">
        <v>26</v>
      </c>
      <c r="H364" s="4">
        <f t="shared" si="21"/>
        <v>1.7361111111113825E-4</v>
      </c>
      <c r="I364">
        <f t="shared" si="24"/>
        <v>33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</row>
    <row r="365" spans="1:110" ht="14.25" customHeight="1" x14ac:dyDescent="0.3">
      <c r="A365" s="1">
        <f t="shared" si="20"/>
        <v>356</v>
      </c>
      <c r="B365" s="1" t="str">
        <f>"(6,"&amp;I365&amp;")"</f>
        <v>(6,33)</v>
      </c>
      <c r="C365" s="4">
        <v>0.4465162037037087</v>
      </c>
      <c r="D365" s="4">
        <v>0.44668981481481984</v>
      </c>
      <c r="E365" s="2">
        <v>13.299999999999999</v>
      </c>
      <c r="F365" s="2">
        <v>13.36</v>
      </c>
      <c r="G365" s="1" t="s">
        <v>26</v>
      </c>
      <c r="H365" s="4">
        <f t="shared" si="21"/>
        <v>1.7361111111113825E-4</v>
      </c>
      <c r="I365">
        <f t="shared" si="24"/>
        <v>33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</row>
    <row r="366" spans="1:110" ht="14.25" customHeight="1" x14ac:dyDescent="0.3">
      <c r="A366" s="1">
        <f t="shared" si="20"/>
        <v>357</v>
      </c>
      <c r="B366" s="1" t="str">
        <f>"(7,"&amp;I366&amp;")"</f>
        <v>(7,33)</v>
      </c>
      <c r="C366" s="4">
        <v>0.44696759259259761</v>
      </c>
      <c r="D366" s="4">
        <v>0.44711805555556056</v>
      </c>
      <c r="E366" s="2">
        <v>13.299999999999999</v>
      </c>
      <c r="F366" s="2">
        <v>13.45</v>
      </c>
      <c r="G366" s="1" t="s">
        <v>26</v>
      </c>
      <c r="H366" s="4">
        <f t="shared" si="21"/>
        <v>1.5046296296294948E-4</v>
      </c>
      <c r="I366">
        <f t="shared" si="24"/>
        <v>33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</row>
    <row r="367" spans="1:110" ht="14.25" customHeight="1" x14ac:dyDescent="0.3">
      <c r="A367" s="1">
        <f t="shared" si="20"/>
        <v>358</v>
      </c>
      <c r="B367" s="1" t="str">
        <f>"(8,"&amp;I367&amp;")"</f>
        <v>(8,33)</v>
      </c>
      <c r="C367" s="4">
        <v>0.44737268518519019</v>
      </c>
      <c r="D367" s="4">
        <v>0.4475115740740791</v>
      </c>
      <c r="E367" s="2">
        <v>13.299999999999999</v>
      </c>
      <c r="F367" s="2">
        <v>13.339999999999998</v>
      </c>
      <c r="G367" s="1" t="s">
        <v>26</v>
      </c>
      <c r="H367" s="4">
        <f t="shared" si="21"/>
        <v>1.388888888889106E-4</v>
      </c>
      <c r="I367">
        <f t="shared" si="24"/>
        <v>33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</row>
    <row r="368" spans="1:110" ht="14.25" customHeight="1" x14ac:dyDescent="0.3">
      <c r="A368" s="1">
        <f t="shared" si="20"/>
        <v>359</v>
      </c>
      <c r="B368" s="1" t="str">
        <f>"(9,"&amp;I368&amp;")"</f>
        <v>(9,33)</v>
      </c>
      <c r="C368" s="4">
        <v>0.44775462962963464</v>
      </c>
      <c r="D368" s="4">
        <v>0.44790509259259759</v>
      </c>
      <c r="E368" s="2">
        <v>13.299999999999999</v>
      </c>
      <c r="F368" s="2">
        <v>13.45</v>
      </c>
      <c r="G368" s="1" t="s">
        <v>26</v>
      </c>
      <c r="H368" s="4">
        <f t="shared" si="21"/>
        <v>1.5046296296294948E-4</v>
      </c>
      <c r="I368">
        <f t="shared" si="24"/>
        <v>33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</row>
    <row r="369" spans="1:110" ht="14.25" customHeight="1" x14ac:dyDescent="0.3">
      <c r="A369" s="1">
        <f t="shared" si="20"/>
        <v>360</v>
      </c>
      <c r="B369" s="1" t="str">
        <f>"(10,"&amp;I369&amp;")"</f>
        <v>(10,33)</v>
      </c>
      <c r="C369" s="4">
        <v>0.44819444444444945</v>
      </c>
      <c r="D369" s="4">
        <v>0.44835648148148649</v>
      </c>
      <c r="E369" s="2">
        <v>13.299999999999999</v>
      </c>
      <c r="F369" s="2">
        <v>13.409999999999998</v>
      </c>
      <c r="G369" s="1" t="s">
        <v>26</v>
      </c>
      <c r="H369" s="4">
        <f t="shared" si="21"/>
        <v>1.6203703703704386E-4</v>
      </c>
      <c r="I369">
        <f t="shared" si="24"/>
        <v>33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</row>
    <row r="370" spans="1:110" ht="14.25" customHeight="1" x14ac:dyDescent="0.3">
      <c r="A370" s="1">
        <f t="shared" si="20"/>
        <v>361</v>
      </c>
      <c r="B370" s="1" t="str">
        <f>"(11,"&amp;I370&amp;")"</f>
        <v>(11,33)</v>
      </c>
      <c r="C370" s="4">
        <v>0.44861111111111612</v>
      </c>
      <c r="D370" s="4">
        <v>0.44876157407407907</v>
      </c>
      <c r="E370" s="2">
        <v>13.299999999999999</v>
      </c>
      <c r="F370" s="2">
        <v>13.309999999999999</v>
      </c>
      <c r="G370" s="1" t="s">
        <v>26</v>
      </c>
      <c r="H370" s="4">
        <f t="shared" si="21"/>
        <v>1.5046296296294948E-4</v>
      </c>
      <c r="I370">
        <f t="shared" si="24"/>
        <v>33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</row>
    <row r="371" spans="1:110" ht="14.25" customHeight="1" x14ac:dyDescent="0.3">
      <c r="A371" s="1">
        <f t="shared" si="20"/>
        <v>362</v>
      </c>
      <c r="B371" s="1" t="str">
        <f>"(11,"&amp;I371&amp;")"</f>
        <v>(11,34)</v>
      </c>
      <c r="C371" s="4">
        <v>0.4490277777777828</v>
      </c>
      <c r="D371" s="4">
        <v>0.44916666666667171</v>
      </c>
      <c r="E371" s="2">
        <v>13.299999999999999</v>
      </c>
      <c r="F371" s="2">
        <v>13.309999999999999</v>
      </c>
      <c r="G371" s="1" t="s">
        <v>26</v>
      </c>
      <c r="H371" s="4">
        <f t="shared" si="21"/>
        <v>1.388888888889106E-4</v>
      </c>
      <c r="I371">
        <f>I370+1</f>
        <v>34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</row>
    <row r="372" spans="1:110" ht="14.25" customHeight="1" x14ac:dyDescent="0.3">
      <c r="A372" s="1">
        <f t="shared" si="20"/>
        <v>363</v>
      </c>
      <c r="B372" s="1" t="str">
        <f>"(10,"&amp;I372&amp;")"</f>
        <v>(10,34)</v>
      </c>
      <c r="C372" s="4">
        <v>0.44942129629630134</v>
      </c>
      <c r="D372" s="4">
        <v>0.44957175925926429</v>
      </c>
      <c r="E372" s="2">
        <v>13.299999999999999</v>
      </c>
      <c r="F372" s="2">
        <v>13.309999999999999</v>
      </c>
      <c r="G372" s="1" t="s">
        <v>26</v>
      </c>
      <c r="H372" s="4">
        <f t="shared" si="21"/>
        <v>1.5046296296294948E-4</v>
      </c>
      <c r="I372">
        <f>I371</f>
        <v>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</row>
    <row r="373" spans="1:110" ht="14.25" customHeight="1" x14ac:dyDescent="0.3">
      <c r="A373" s="1">
        <f t="shared" si="20"/>
        <v>364</v>
      </c>
      <c r="B373" s="1" t="str">
        <f>"(9,"&amp;I373&amp;")"</f>
        <v>(9,34)</v>
      </c>
      <c r="C373" s="4">
        <v>0.44984953703704206</v>
      </c>
      <c r="D373" s="4">
        <v>0.4500115740740791</v>
      </c>
      <c r="E373" s="2">
        <v>13.299999999999999</v>
      </c>
      <c r="F373" s="2">
        <v>13.379999999999999</v>
      </c>
      <c r="G373" s="1" t="s">
        <v>26</v>
      </c>
      <c r="H373" s="4">
        <f t="shared" si="21"/>
        <v>1.6203703703704386E-4</v>
      </c>
      <c r="I373">
        <f t="shared" ref="I373:I381" si="25">I372</f>
        <v>34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</row>
    <row r="374" spans="1:110" ht="14.25" customHeight="1" x14ac:dyDescent="0.3">
      <c r="A374" s="1">
        <f t="shared" si="20"/>
        <v>365</v>
      </c>
      <c r="B374" s="1" t="str">
        <f>"(8,"&amp;I374&amp;")"</f>
        <v>(8,34)</v>
      </c>
      <c r="C374" s="4">
        <v>0.45025462962963464</v>
      </c>
      <c r="D374" s="4">
        <v>0.45039351851852355</v>
      </c>
      <c r="E374" s="2">
        <v>13.299999999999999</v>
      </c>
      <c r="F374" s="2">
        <v>13.399999999999999</v>
      </c>
      <c r="G374" s="1" t="s">
        <v>26</v>
      </c>
      <c r="H374" s="4">
        <f t="shared" si="21"/>
        <v>1.388888888889106E-4</v>
      </c>
      <c r="I374">
        <f t="shared" si="25"/>
        <v>34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</row>
    <row r="375" spans="1:110" ht="14.25" customHeight="1" x14ac:dyDescent="0.3">
      <c r="A375" s="1">
        <f t="shared" si="20"/>
        <v>366</v>
      </c>
      <c r="B375" s="1" t="str">
        <f>"(7,"&amp;I375&amp;")"</f>
        <v>(7,34)</v>
      </c>
      <c r="C375" s="4">
        <v>0.45065972222222728</v>
      </c>
      <c r="D375" s="4">
        <v>0.45079861111111619</v>
      </c>
      <c r="E375" s="2">
        <v>13.299999999999999</v>
      </c>
      <c r="F375" s="2">
        <v>13.399999999999999</v>
      </c>
      <c r="G375" s="1" t="s">
        <v>26</v>
      </c>
      <c r="H375" s="4">
        <f t="shared" si="21"/>
        <v>1.388888888889106E-4</v>
      </c>
      <c r="I375">
        <f t="shared" si="25"/>
        <v>34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</row>
    <row r="376" spans="1:110" ht="14.25" customHeight="1" x14ac:dyDescent="0.3">
      <c r="A376" s="1">
        <f t="shared" si="20"/>
        <v>367</v>
      </c>
      <c r="B376" s="1" t="str">
        <f>"(6,"&amp;I376&amp;")"</f>
        <v>(6,34)</v>
      </c>
      <c r="C376" s="4">
        <v>0.45105324074074582</v>
      </c>
      <c r="D376" s="4">
        <v>0.45121527777778286</v>
      </c>
      <c r="E376" s="2">
        <v>13.299999999999999</v>
      </c>
      <c r="F376" s="2">
        <v>13.35</v>
      </c>
      <c r="G376" s="1" t="s">
        <v>26</v>
      </c>
      <c r="H376" s="4">
        <f t="shared" si="21"/>
        <v>1.6203703703704386E-4</v>
      </c>
      <c r="I376">
        <f t="shared" si="25"/>
        <v>34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</row>
    <row r="377" spans="1:110" ht="14.25" customHeight="1" x14ac:dyDescent="0.3">
      <c r="A377" s="1">
        <f t="shared" si="20"/>
        <v>368</v>
      </c>
      <c r="B377" s="1" t="str">
        <f>"(5,"&amp;I377&amp;")"</f>
        <v>(5,34)</v>
      </c>
      <c r="C377" s="4">
        <v>0.4514699074074125</v>
      </c>
      <c r="D377" s="4">
        <v>0.45160879629630141</v>
      </c>
      <c r="E377" s="2">
        <v>13.299999999999999</v>
      </c>
      <c r="F377" s="2">
        <v>13.399999999999999</v>
      </c>
      <c r="G377" s="1" t="s">
        <v>26</v>
      </c>
      <c r="H377" s="4">
        <f t="shared" si="21"/>
        <v>1.388888888889106E-4</v>
      </c>
      <c r="I377">
        <f t="shared" si="25"/>
        <v>34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</row>
    <row r="378" spans="1:110" ht="14.25" customHeight="1" x14ac:dyDescent="0.3">
      <c r="A378" s="1">
        <f t="shared" si="20"/>
        <v>369</v>
      </c>
      <c r="B378" s="1" t="str">
        <f>"(4,"&amp;I378&amp;")"</f>
        <v>(4,34)</v>
      </c>
      <c r="C378" s="4">
        <v>0.45188657407407917</v>
      </c>
      <c r="D378" s="4">
        <v>0.45206018518519031</v>
      </c>
      <c r="E378" s="2">
        <v>13.299999999999999</v>
      </c>
      <c r="F378" s="2">
        <v>13.44</v>
      </c>
      <c r="G378" s="1" t="s">
        <v>26</v>
      </c>
      <c r="H378" s="4">
        <f t="shared" si="21"/>
        <v>1.7361111111113825E-4</v>
      </c>
      <c r="I378">
        <f t="shared" si="25"/>
        <v>34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</row>
    <row r="379" spans="1:110" ht="14.25" customHeight="1" x14ac:dyDescent="0.3">
      <c r="A379" s="1">
        <f t="shared" si="20"/>
        <v>370</v>
      </c>
      <c r="B379" s="1" t="str">
        <f>"(3,"&amp;I379&amp;")"</f>
        <v>(3,34)</v>
      </c>
      <c r="C379" s="4">
        <v>0.45230324074074585</v>
      </c>
      <c r="D379" s="4">
        <v>0.45244212962963476</v>
      </c>
      <c r="E379" s="2">
        <v>13.299999999999999</v>
      </c>
      <c r="F379" s="2">
        <v>13.389999999999999</v>
      </c>
      <c r="G379" s="1" t="s">
        <v>26</v>
      </c>
      <c r="H379" s="4">
        <f t="shared" si="21"/>
        <v>1.388888888889106E-4</v>
      </c>
      <c r="I379">
        <f t="shared" si="25"/>
        <v>34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</row>
    <row r="380" spans="1:110" ht="14.25" customHeight="1" x14ac:dyDescent="0.3">
      <c r="A380" s="1">
        <f t="shared" si="20"/>
        <v>371</v>
      </c>
      <c r="B380" s="1" t="str">
        <f>"(2,"&amp;I380&amp;")"</f>
        <v>(2,34)</v>
      </c>
      <c r="C380" s="4">
        <v>0.45267361111111626</v>
      </c>
      <c r="D380" s="4">
        <v>0.45282407407407921</v>
      </c>
      <c r="E380" s="2">
        <v>13.299999999999999</v>
      </c>
      <c r="F380" s="2">
        <v>13.44</v>
      </c>
      <c r="G380" s="1" t="s">
        <v>26</v>
      </c>
      <c r="H380" s="4">
        <f t="shared" si="21"/>
        <v>1.5046296296294948E-4</v>
      </c>
      <c r="I380">
        <f t="shared" si="25"/>
        <v>34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</row>
    <row r="381" spans="1:110" ht="14.25" customHeight="1" x14ac:dyDescent="0.3">
      <c r="A381" s="1">
        <f t="shared" si="20"/>
        <v>372</v>
      </c>
      <c r="B381" s="1" t="str">
        <f>"(1,"&amp;I381&amp;")"</f>
        <v>(1,34)</v>
      </c>
      <c r="C381" s="4">
        <v>0.45305555555556071</v>
      </c>
      <c r="D381" s="4">
        <v>0.45320601851852366</v>
      </c>
      <c r="E381" s="2">
        <v>13.299999999999999</v>
      </c>
      <c r="F381" s="2">
        <v>13.329999999999998</v>
      </c>
      <c r="G381" s="1" t="s">
        <v>26</v>
      </c>
      <c r="H381" s="4">
        <f t="shared" si="21"/>
        <v>1.5046296296294948E-4</v>
      </c>
      <c r="I381">
        <f t="shared" si="25"/>
        <v>34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</row>
    <row r="382" spans="1:110" ht="14.25" customHeight="1" x14ac:dyDescent="0.3">
      <c r="A382" s="1">
        <f t="shared" si="20"/>
        <v>373</v>
      </c>
      <c r="B382" s="1" t="str">
        <f>"(1,"&amp;I382&amp;")"</f>
        <v>(1,35)</v>
      </c>
      <c r="C382" s="4">
        <v>0.45346064814815329</v>
      </c>
      <c r="D382" s="4">
        <v>0.45363425925926443</v>
      </c>
      <c r="E382" s="2">
        <v>13.299999999999999</v>
      </c>
      <c r="F382" s="2">
        <v>13.419999999999998</v>
      </c>
      <c r="G382" s="1" t="s">
        <v>26</v>
      </c>
      <c r="H382" s="4">
        <f t="shared" si="21"/>
        <v>1.7361111111113825E-4</v>
      </c>
      <c r="I382">
        <f>I381+1</f>
        <v>35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</row>
    <row r="383" spans="1:110" ht="14.25" customHeight="1" x14ac:dyDescent="0.3">
      <c r="A383" s="1">
        <f t="shared" si="20"/>
        <v>374</v>
      </c>
      <c r="B383" s="1" t="str">
        <f>"(2,"&amp;I383&amp;")"</f>
        <v>(2,35)</v>
      </c>
      <c r="C383" s="4">
        <v>0.45386574074074593</v>
      </c>
      <c r="D383" s="4">
        <v>0.45403935185185706</v>
      </c>
      <c r="E383" s="2">
        <v>13.299999999999999</v>
      </c>
      <c r="F383" s="2">
        <v>13.409999999999998</v>
      </c>
      <c r="G383" s="1" t="s">
        <v>26</v>
      </c>
      <c r="H383" s="4">
        <f t="shared" si="21"/>
        <v>1.7361111111113825E-4</v>
      </c>
      <c r="I383">
        <f>I382</f>
        <v>35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</row>
    <row r="384" spans="1:110" ht="14.25" customHeight="1" x14ac:dyDescent="0.3">
      <c r="A384" s="1">
        <f t="shared" si="20"/>
        <v>375</v>
      </c>
      <c r="B384" s="1" t="str">
        <f>"(3,"&amp;I384&amp;")"</f>
        <v>(3,35)</v>
      </c>
      <c r="C384" s="4">
        <v>0.45431712962963483</v>
      </c>
      <c r="D384" s="4">
        <v>0.45445601851852374</v>
      </c>
      <c r="E384" s="2">
        <v>13.299999999999999</v>
      </c>
      <c r="F384" s="2">
        <v>13.44</v>
      </c>
      <c r="G384" s="1" t="s">
        <v>26</v>
      </c>
      <c r="H384" s="4">
        <f t="shared" si="21"/>
        <v>1.388888888889106E-4</v>
      </c>
      <c r="I384">
        <f t="shared" ref="I384:I392" si="26">I383</f>
        <v>35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</row>
    <row r="385" spans="1:110" ht="14.25" customHeight="1" x14ac:dyDescent="0.3">
      <c r="A385" s="1">
        <f t="shared" si="20"/>
        <v>376</v>
      </c>
      <c r="B385" s="1" t="str">
        <f>"(4,"&amp;I385&amp;")"</f>
        <v>(4,35)</v>
      </c>
      <c r="C385" s="4">
        <v>0.45469907407407928</v>
      </c>
      <c r="D385" s="4">
        <v>0.45487268518519042</v>
      </c>
      <c r="E385" s="2">
        <v>13.299999999999999</v>
      </c>
      <c r="F385" s="2">
        <v>13.409999999999998</v>
      </c>
      <c r="G385" s="1" t="s">
        <v>26</v>
      </c>
      <c r="H385" s="4">
        <f t="shared" si="21"/>
        <v>1.7361111111113825E-4</v>
      </c>
      <c r="I385">
        <f t="shared" si="26"/>
        <v>35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</row>
    <row r="386" spans="1:110" ht="14.25" customHeight="1" x14ac:dyDescent="0.3">
      <c r="A386" s="1">
        <f t="shared" si="20"/>
        <v>377</v>
      </c>
      <c r="B386" s="1" t="str">
        <f>"(5,"&amp;I386&amp;")"</f>
        <v>(5,35)</v>
      </c>
      <c r="C386" s="4">
        <v>0.45516203703704228</v>
      </c>
      <c r="D386" s="4">
        <v>0.45532407407407932</v>
      </c>
      <c r="E386" s="2">
        <v>13.299999999999999</v>
      </c>
      <c r="F386" s="2">
        <v>13.319999999999999</v>
      </c>
      <c r="G386" s="1" t="s">
        <v>26</v>
      </c>
      <c r="H386" s="4">
        <f t="shared" si="21"/>
        <v>1.6203703703704386E-4</v>
      </c>
      <c r="I386">
        <f t="shared" si="26"/>
        <v>35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</row>
    <row r="387" spans="1:110" ht="14.25" customHeight="1" x14ac:dyDescent="0.3">
      <c r="A387" s="1">
        <f t="shared" si="20"/>
        <v>378</v>
      </c>
      <c r="B387" s="1" t="str">
        <f>"(6,"&amp;I387&amp;")"</f>
        <v>(6,35)</v>
      </c>
      <c r="C387" s="4">
        <v>0.45557870370370895</v>
      </c>
      <c r="D387" s="4">
        <v>0.45575231481482009</v>
      </c>
      <c r="E387" s="2">
        <v>13.299999999999999</v>
      </c>
      <c r="F387" s="2">
        <v>13.329999999999998</v>
      </c>
      <c r="G387" s="1" t="s">
        <v>26</v>
      </c>
      <c r="H387" s="4">
        <f t="shared" si="21"/>
        <v>1.7361111111113825E-4</v>
      </c>
      <c r="I387">
        <f t="shared" si="26"/>
        <v>35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</row>
    <row r="388" spans="1:110" ht="14.25" customHeight="1" x14ac:dyDescent="0.3">
      <c r="A388" s="1">
        <f t="shared" si="20"/>
        <v>379</v>
      </c>
      <c r="B388" s="1" t="str">
        <f>"(7,"&amp;I388&amp;")"</f>
        <v>(7,35)</v>
      </c>
      <c r="C388" s="4">
        <v>0.45601851851852382</v>
      </c>
      <c r="D388" s="4">
        <v>0.45615740740741273</v>
      </c>
      <c r="E388" s="2">
        <v>13.299999999999999</v>
      </c>
      <c r="F388" s="2">
        <v>13.43</v>
      </c>
      <c r="G388" s="1" t="s">
        <v>26</v>
      </c>
      <c r="H388" s="4">
        <f t="shared" si="21"/>
        <v>1.388888888889106E-4</v>
      </c>
      <c r="I388">
        <f t="shared" si="26"/>
        <v>35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</row>
    <row r="389" spans="1:110" ht="14.25" customHeight="1" x14ac:dyDescent="0.3">
      <c r="A389" s="1">
        <f t="shared" si="20"/>
        <v>380</v>
      </c>
      <c r="B389" s="1" t="str">
        <f>"(8,"&amp;I389&amp;")"</f>
        <v>(8,35)</v>
      </c>
      <c r="C389" s="4">
        <v>0.45642361111111646</v>
      </c>
      <c r="D389" s="4">
        <v>0.45656250000000537</v>
      </c>
      <c r="E389" s="2">
        <v>13.299999999999999</v>
      </c>
      <c r="F389" s="2">
        <v>13.329999999999998</v>
      </c>
      <c r="G389" s="1" t="s">
        <v>26</v>
      </c>
      <c r="H389" s="4">
        <f t="shared" si="21"/>
        <v>1.388888888889106E-4</v>
      </c>
      <c r="I389">
        <f t="shared" si="26"/>
        <v>35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</row>
    <row r="390" spans="1:110" ht="14.25" customHeight="1" x14ac:dyDescent="0.3">
      <c r="A390" s="1">
        <f t="shared" si="20"/>
        <v>381</v>
      </c>
      <c r="B390" s="1" t="str">
        <f>"(9,"&amp;I390&amp;")"</f>
        <v>(9,35)</v>
      </c>
      <c r="C390" s="4">
        <v>0.456817129629635</v>
      </c>
      <c r="D390" s="4">
        <v>0.45699074074074614</v>
      </c>
      <c r="E390" s="2">
        <v>13.299999999999999</v>
      </c>
      <c r="F390" s="2">
        <v>13.399999999999999</v>
      </c>
      <c r="G390" s="1" t="s">
        <v>26</v>
      </c>
      <c r="H390" s="4">
        <f t="shared" si="21"/>
        <v>1.7361111111113825E-4</v>
      </c>
      <c r="I390">
        <f t="shared" si="26"/>
        <v>35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</row>
    <row r="391" spans="1:110" ht="14.25" customHeight="1" x14ac:dyDescent="0.3">
      <c r="A391" s="1">
        <f t="shared" si="20"/>
        <v>382</v>
      </c>
      <c r="B391" s="1" t="str">
        <f>"(10,"&amp;I391&amp;")"</f>
        <v>(10,35)</v>
      </c>
      <c r="C391" s="4">
        <v>0.45722222222222764</v>
      </c>
      <c r="D391" s="4">
        <v>0.45738425925926468</v>
      </c>
      <c r="E391" s="2">
        <v>13.299999999999999</v>
      </c>
      <c r="F391" s="2">
        <v>13.339999999999998</v>
      </c>
      <c r="G391" s="1" t="s">
        <v>26</v>
      </c>
      <c r="H391" s="4">
        <f t="shared" si="21"/>
        <v>1.6203703703704386E-4</v>
      </c>
      <c r="I391">
        <f t="shared" si="26"/>
        <v>35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</row>
    <row r="392" spans="1:110" ht="14.25" customHeight="1" x14ac:dyDescent="0.3">
      <c r="A392" s="1">
        <f t="shared" si="20"/>
        <v>383</v>
      </c>
      <c r="B392" s="1" t="str">
        <f>"(11,"&amp;I392&amp;")"</f>
        <v>(11,35)</v>
      </c>
      <c r="C392" s="4">
        <v>0.45766203703704245</v>
      </c>
      <c r="D392" s="4">
        <v>0.4578125000000054</v>
      </c>
      <c r="E392" s="2">
        <v>13.299999999999999</v>
      </c>
      <c r="F392" s="2">
        <v>13.329999999999998</v>
      </c>
      <c r="G392" s="1" t="s">
        <v>26</v>
      </c>
      <c r="H392" s="4">
        <f t="shared" si="21"/>
        <v>1.5046296296294948E-4</v>
      </c>
      <c r="I392">
        <f t="shared" si="26"/>
        <v>35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</row>
    <row r="393" spans="1:110" ht="14.25" customHeight="1" x14ac:dyDescent="0.3">
      <c r="A393" s="1">
        <f t="shared" si="20"/>
        <v>384</v>
      </c>
      <c r="B393" s="1" t="str">
        <f>"(11,"&amp;I393&amp;")"</f>
        <v>(11,36)</v>
      </c>
      <c r="C393" s="4">
        <v>0.45804398148148689</v>
      </c>
      <c r="D393" s="4">
        <v>0.45818287037037581</v>
      </c>
      <c r="E393" s="2">
        <v>13.299999999999999</v>
      </c>
      <c r="F393" s="2">
        <v>13.36</v>
      </c>
      <c r="G393" s="1" t="s">
        <v>26</v>
      </c>
      <c r="H393" s="4">
        <f t="shared" si="21"/>
        <v>1.388888888889106E-4</v>
      </c>
      <c r="I393">
        <f>I392+1</f>
        <v>36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</row>
    <row r="394" spans="1:110" ht="14.25" customHeight="1" x14ac:dyDescent="0.3">
      <c r="A394" s="1">
        <f t="shared" si="20"/>
        <v>385</v>
      </c>
      <c r="B394" s="1" t="str">
        <f>"(10,"&amp;I394&amp;")"</f>
        <v>(10,36)</v>
      </c>
      <c r="C394" s="4">
        <v>0.45847222222222767</v>
      </c>
      <c r="D394" s="4">
        <v>0.45862268518519061</v>
      </c>
      <c r="E394" s="2">
        <v>13.299999999999999</v>
      </c>
      <c r="F394" s="2">
        <v>13.389999999999999</v>
      </c>
      <c r="G394" s="1" t="s">
        <v>26</v>
      </c>
      <c r="H394" s="4">
        <f t="shared" si="21"/>
        <v>1.5046296296294948E-4</v>
      </c>
      <c r="I394">
        <f>I393</f>
        <v>36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</row>
    <row r="395" spans="1:110" ht="14.25" customHeight="1" x14ac:dyDescent="0.3">
      <c r="A395" s="1">
        <f t="shared" si="20"/>
        <v>386</v>
      </c>
      <c r="B395" s="1" t="str">
        <f>"(9,"&amp;I395&amp;")"</f>
        <v>(9,36)</v>
      </c>
      <c r="C395" s="4">
        <v>0.45891203703704248</v>
      </c>
      <c r="D395" s="4">
        <v>0.45908564814815361</v>
      </c>
      <c r="E395" s="2">
        <v>13.299999999999999</v>
      </c>
      <c r="F395" s="2">
        <v>13.329999999999998</v>
      </c>
      <c r="G395" s="1" t="s">
        <v>26</v>
      </c>
      <c r="H395" s="4">
        <f t="shared" si="21"/>
        <v>1.7361111111113825E-4</v>
      </c>
      <c r="I395">
        <f t="shared" ref="I395:I403" si="27">I394</f>
        <v>36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</row>
    <row r="396" spans="1:110" ht="14.25" customHeight="1" x14ac:dyDescent="0.3">
      <c r="A396" s="1">
        <f t="shared" si="20"/>
        <v>387</v>
      </c>
      <c r="B396" s="1" t="str">
        <f>"(8,"&amp;I396&amp;")"</f>
        <v>(8,36)</v>
      </c>
      <c r="C396" s="4">
        <v>0.45931712962963511</v>
      </c>
      <c r="D396" s="4">
        <v>0.45949074074074625</v>
      </c>
      <c r="E396" s="2">
        <v>13.299999999999999</v>
      </c>
      <c r="F396" s="2">
        <v>13.339999999999998</v>
      </c>
      <c r="G396" s="1" t="s">
        <v>26</v>
      </c>
      <c r="H396" s="4">
        <f t="shared" ref="H396:H459" si="28">D396-C396</f>
        <v>1.7361111111113825E-4</v>
      </c>
      <c r="I396">
        <f t="shared" si="27"/>
        <v>36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</row>
    <row r="397" spans="1:110" ht="14.25" customHeight="1" x14ac:dyDescent="0.3">
      <c r="A397" s="1">
        <f t="shared" si="20"/>
        <v>388</v>
      </c>
      <c r="B397" s="1" t="str">
        <f>"(7,"&amp;I397&amp;")"</f>
        <v>(7,36)</v>
      </c>
      <c r="C397" s="4">
        <v>0.45972222222222775</v>
      </c>
      <c r="D397" s="4">
        <v>0.45988425925926479</v>
      </c>
      <c r="E397" s="2">
        <v>13.299999999999999</v>
      </c>
      <c r="F397" s="2">
        <v>13.43</v>
      </c>
      <c r="G397" s="1" t="s">
        <v>26</v>
      </c>
      <c r="H397" s="4">
        <f t="shared" si="28"/>
        <v>1.6203703703704386E-4</v>
      </c>
      <c r="I397">
        <f t="shared" si="27"/>
        <v>36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</row>
    <row r="398" spans="1:110" ht="14.25" customHeight="1" x14ac:dyDescent="0.3">
      <c r="A398" s="1">
        <f t="shared" si="20"/>
        <v>389</v>
      </c>
      <c r="B398" s="1" t="str">
        <f>"(6,"&amp;I398&amp;")"</f>
        <v>(6,36)</v>
      </c>
      <c r="C398" s="4">
        <v>0.46017361111111665</v>
      </c>
      <c r="D398" s="4">
        <v>0.4603356481481537</v>
      </c>
      <c r="E398" s="2">
        <v>13.299999999999999</v>
      </c>
      <c r="F398" s="2">
        <v>13.319999999999999</v>
      </c>
      <c r="G398" s="1" t="s">
        <v>26</v>
      </c>
      <c r="H398" s="4">
        <f t="shared" si="28"/>
        <v>1.6203703703704386E-4</v>
      </c>
      <c r="I398">
        <f t="shared" si="27"/>
        <v>36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</row>
    <row r="399" spans="1:110" ht="14.25" customHeight="1" x14ac:dyDescent="0.3">
      <c r="A399" s="1">
        <f t="shared" si="20"/>
        <v>390</v>
      </c>
      <c r="B399" s="1" t="str">
        <f>"(5,"&amp;I399&amp;")"</f>
        <v>(5,36)</v>
      </c>
      <c r="C399" s="4">
        <v>0.46062500000000556</v>
      </c>
      <c r="D399" s="4">
        <v>0.46076388888889447</v>
      </c>
      <c r="E399" s="2">
        <v>13.299999999999999</v>
      </c>
      <c r="F399" s="2">
        <v>13.36</v>
      </c>
      <c r="G399" s="1" t="s">
        <v>26</v>
      </c>
      <c r="H399" s="4">
        <f t="shared" si="28"/>
        <v>1.388888888889106E-4</v>
      </c>
      <c r="I399">
        <f t="shared" si="27"/>
        <v>36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</row>
    <row r="400" spans="1:110" ht="14.25" customHeight="1" x14ac:dyDescent="0.3">
      <c r="A400" s="1">
        <f t="shared" si="20"/>
        <v>391</v>
      </c>
      <c r="B400" s="1" t="str">
        <f>"(4,"&amp;I400&amp;")"</f>
        <v>(4,36)</v>
      </c>
      <c r="C400" s="4">
        <v>0.46100694444445001</v>
      </c>
      <c r="D400" s="4">
        <v>0.46116898148148705</v>
      </c>
      <c r="E400" s="2">
        <v>13.299999999999999</v>
      </c>
      <c r="F400" s="2">
        <v>13.399999999999999</v>
      </c>
      <c r="G400" s="1" t="s">
        <v>26</v>
      </c>
      <c r="H400" s="4">
        <f t="shared" si="28"/>
        <v>1.6203703703704386E-4</v>
      </c>
      <c r="I400">
        <f t="shared" si="27"/>
        <v>36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</row>
    <row r="401" spans="1:110" ht="14.25" customHeight="1" x14ac:dyDescent="0.3">
      <c r="A401" s="1">
        <f t="shared" si="20"/>
        <v>392</v>
      </c>
      <c r="B401" s="1" t="str">
        <f>"(3,"&amp;I401&amp;")"</f>
        <v>(3,36)</v>
      </c>
      <c r="C401" s="4">
        <v>0.46140046296296855</v>
      </c>
      <c r="D401" s="4">
        <v>0.4615509259259315</v>
      </c>
      <c r="E401" s="2">
        <v>13.299999999999999</v>
      </c>
      <c r="F401" s="2">
        <v>13.43</v>
      </c>
      <c r="G401" s="1" t="s">
        <v>26</v>
      </c>
      <c r="H401" s="4">
        <f t="shared" si="28"/>
        <v>1.5046296296294948E-4</v>
      </c>
      <c r="I401">
        <f t="shared" si="27"/>
        <v>36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</row>
    <row r="402" spans="1:110" ht="14.25" customHeight="1" x14ac:dyDescent="0.3">
      <c r="A402" s="1">
        <f t="shared" si="20"/>
        <v>393</v>
      </c>
      <c r="B402" s="1" t="str">
        <f>"(2,"&amp;I402&amp;")"</f>
        <v>(2,36)</v>
      </c>
      <c r="C402" s="4">
        <v>0.46181712962963523</v>
      </c>
      <c r="D402" s="4">
        <v>0.46196759259259818</v>
      </c>
      <c r="E402" s="2">
        <v>13.299999999999999</v>
      </c>
      <c r="F402" s="2">
        <v>13.399999999999999</v>
      </c>
      <c r="G402" s="1" t="s">
        <v>26</v>
      </c>
      <c r="H402" s="4">
        <f t="shared" si="28"/>
        <v>1.5046296296294948E-4</v>
      </c>
      <c r="I402">
        <f t="shared" si="27"/>
        <v>36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</row>
    <row r="403" spans="1:110" ht="14.25" customHeight="1" x14ac:dyDescent="0.3">
      <c r="A403" s="1">
        <f t="shared" si="20"/>
        <v>394</v>
      </c>
      <c r="B403" s="1" t="str">
        <f>"(1,"&amp;I403&amp;")"</f>
        <v>(1,36)</v>
      </c>
      <c r="C403" s="4">
        <v>0.4622337962963019</v>
      </c>
      <c r="D403" s="4">
        <v>0.46239583333333895</v>
      </c>
      <c r="E403" s="2">
        <v>13.299999999999999</v>
      </c>
      <c r="F403" s="2">
        <v>13.43</v>
      </c>
      <c r="G403" s="1" t="s">
        <v>26</v>
      </c>
      <c r="H403" s="4">
        <f t="shared" si="28"/>
        <v>1.6203703703704386E-4</v>
      </c>
      <c r="I403">
        <f t="shared" si="27"/>
        <v>36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</row>
    <row r="404" spans="1:110" ht="14.25" customHeight="1" x14ac:dyDescent="0.3">
      <c r="A404" s="1">
        <f t="shared" si="20"/>
        <v>395</v>
      </c>
      <c r="B404" s="1" t="str">
        <f>"(1,"&amp;I404&amp;")"</f>
        <v>(1,37)</v>
      </c>
      <c r="C404" s="4">
        <v>0.46265046296296858</v>
      </c>
      <c r="D404" s="4">
        <v>0.46282407407407972</v>
      </c>
      <c r="E404" s="2">
        <v>13.299999999999999</v>
      </c>
      <c r="F404" s="2">
        <v>13.379999999999999</v>
      </c>
      <c r="G404" s="1" t="s">
        <v>26</v>
      </c>
      <c r="H404" s="4">
        <f t="shared" si="28"/>
        <v>1.7361111111113825E-4</v>
      </c>
      <c r="I404">
        <f>I403+1</f>
        <v>37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</row>
    <row r="405" spans="1:110" ht="14.25" customHeight="1" x14ac:dyDescent="0.3">
      <c r="A405" s="1">
        <f t="shared" si="20"/>
        <v>396</v>
      </c>
      <c r="B405" s="1" t="str">
        <f>"(2,"&amp;I405&amp;")"</f>
        <v>(2,37)</v>
      </c>
      <c r="C405" s="4">
        <v>0.46311342592593158</v>
      </c>
      <c r="D405" s="4">
        <v>0.46328703703704271</v>
      </c>
      <c r="E405" s="2">
        <v>13.299999999999999</v>
      </c>
      <c r="F405" s="2">
        <v>13.36</v>
      </c>
      <c r="G405" s="1" t="s">
        <v>26</v>
      </c>
      <c r="H405" s="4">
        <f t="shared" si="28"/>
        <v>1.7361111111113825E-4</v>
      </c>
      <c r="I405">
        <f>I404</f>
        <v>37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</row>
    <row r="406" spans="1:110" ht="14.25" customHeight="1" x14ac:dyDescent="0.3">
      <c r="A406" s="1">
        <f t="shared" si="20"/>
        <v>397</v>
      </c>
      <c r="B406" s="1" t="str">
        <f>"(3,"&amp;I406&amp;")"</f>
        <v>(3,37)</v>
      </c>
      <c r="C406" s="4">
        <v>0.46354166666667235</v>
      </c>
      <c r="D406" s="4">
        <v>0.4636921296296353</v>
      </c>
      <c r="E406" s="2">
        <v>13.299999999999999</v>
      </c>
      <c r="F406" s="2">
        <v>13.419999999999998</v>
      </c>
      <c r="G406" s="1" t="s">
        <v>26</v>
      </c>
      <c r="H406" s="4">
        <f t="shared" si="28"/>
        <v>1.5046296296294948E-4</v>
      </c>
      <c r="I406">
        <f t="shared" ref="I406:I414" si="29">I405</f>
        <v>37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</row>
    <row r="407" spans="1:110" ht="14.25" customHeight="1" x14ac:dyDescent="0.3">
      <c r="A407" s="1">
        <f t="shared" si="20"/>
        <v>398</v>
      </c>
      <c r="B407" s="1" t="str">
        <f>"(4,"&amp;I407&amp;")"</f>
        <v>(4,37)</v>
      </c>
      <c r="C407" s="4">
        <v>0.46396990740741306</v>
      </c>
      <c r="D407" s="4">
        <v>0.46413194444445011</v>
      </c>
      <c r="E407" s="2">
        <v>13.299999999999999</v>
      </c>
      <c r="F407" s="2">
        <v>13.309999999999999</v>
      </c>
      <c r="G407" s="1" t="s">
        <v>26</v>
      </c>
      <c r="H407" s="4">
        <f t="shared" si="28"/>
        <v>1.6203703703704386E-4</v>
      </c>
      <c r="I407">
        <f t="shared" si="29"/>
        <v>37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</row>
    <row r="408" spans="1:110" ht="14.25" customHeight="1" x14ac:dyDescent="0.3">
      <c r="A408" s="1">
        <f t="shared" si="20"/>
        <v>399</v>
      </c>
      <c r="B408" s="1" t="str">
        <f>"(5,"&amp;I408&amp;")"</f>
        <v>(5,37)</v>
      </c>
      <c r="C408" s="4">
        <v>0.46436342592593161</v>
      </c>
      <c r="D408" s="4">
        <v>0.46453703703704274</v>
      </c>
      <c r="E408" s="2">
        <v>13.299999999999999</v>
      </c>
      <c r="F408" s="2">
        <v>13.399999999999999</v>
      </c>
      <c r="G408" s="1" t="s">
        <v>26</v>
      </c>
      <c r="H408" s="4">
        <f t="shared" si="28"/>
        <v>1.7361111111113825E-4</v>
      </c>
      <c r="I408">
        <f t="shared" si="29"/>
        <v>37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</row>
    <row r="409" spans="1:110" ht="14.25" customHeight="1" x14ac:dyDescent="0.3">
      <c r="A409" s="1">
        <f t="shared" si="20"/>
        <v>400</v>
      </c>
      <c r="B409" s="1" t="str">
        <f>"(6,"&amp;I409&amp;")"</f>
        <v>(6,37)</v>
      </c>
      <c r="C409" s="4">
        <v>0.46478009259259828</v>
      </c>
      <c r="D409" s="4">
        <v>0.46495370370370942</v>
      </c>
      <c r="E409" s="2">
        <v>13.299999999999999</v>
      </c>
      <c r="F409" s="2">
        <v>13.309999999999999</v>
      </c>
      <c r="G409" s="1" t="s">
        <v>26</v>
      </c>
      <c r="H409" s="4">
        <f t="shared" si="28"/>
        <v>1.7361111111113825E-4</v>
      </c>
      <c r="I409">
        <f t="shared" si="29"/>
        <v>37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</row>
    <row r="410" spans="1:110" ht="14.25" customHeight="1" x14ac:dyDescent="0.3">
      <c r="A410" s="1">
        <f t="shared" si="20"/>
        <v>401</v>
      </c>
      <c r="B410" s="1" t="str">
        <f>"(7,"&amp;I410&amp;")"</f>
        <v>(7,37)</v>
      </c>
      <c r="C410" s="4">
        <v>0.46521990740741315</v>
      </c>
      <c r="D410" s="4">
        <v>0.46539351851852429</v>
      </c>
      <c r="E410" s="2">
        <v>13.299999999999999</v>
      </c>
      <c r="F410" s="2">
        <v>13.329999999999998</v>
      </c>
      <c r="G410" s="1" t="s">
        <v>26</v>
      </c>
      <c r="H410" s="4">
        <f t="shared" si="28"/>
        <v>1.7361111111113825E-4</v>
      </c>
      <c r="I410">
        <f t="shared" si="29"/>
        <v>37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</row>
    <row r="411" spans="1:110" ht="14.25" customHeight="1" x14ac:dyDescent="0.3">
      <c r="A411" s="1">
        <f t="shared" si="20"/>
        <v>402</v>
      </c>
      <c r="B411" s="1" t="str">
        <f>"(8,"&amp;I411&amp;")"</f>
        <v>(8,37)</v>
      </c>
      <c r="C411" s="4">
        <v>0.46567129629630205</v>
      </c>
      <c r="D411" s="4">
        <v>0.46584490740741319</v>
      </c>
      <c r="E411" s="2">
        <v>13.299999999999999</v>
      </c>
      <c r="F411" s="2">
        <v>13.319999999999999</v>
      </c>
      <c r="G411" s="1" t="s">
        <v>26</v>
      </c>
      <c r="H411" s="4">
        <f t="shared" si="28"/>
        <v>1.7361111111113825E-4</v>
      </c>
      <c r="I411">
        <f t="shared" si="29"/>
        <v>37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</row>
    <row r="412" spans="1:110" ht="14.25" customHeight="1" x14ac:dyDescent="0.3">
      <c r="A412" s="1">
        <f t="shared" si="20"/>
        <v>403</v>
      </c>
      <c r="B412" s="1" t="str">
        <f>"(9,"&amp;I412&amp;")"</f>
        <v>(9,37)</v>
      </c>
      <c r="C412" s="4">
        <v>0.46611111111111692</v>
      </c>
      <c r="D412" s="4">
        <v>0.46627314814815396</v>
      </c>
      <c r="E412" s="2">
        <v>13.299999999999999</v>
      </c>
      <c r="F412" s="2">
        <v>13.379999999999999</v>
      </c>
      <c r="G412" s="1" t="s">
        <v>26</v>
      </c>
      <c r="H412" s="4">
        <f t="shared" si="28"/>
        <v>1.6203703703704386E-4</v>
      </c>
      <c r="I412">
        <f t="shared" si="29"/>
        <v>37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</row>
    <row r="413" spans="1:110" ht="14.25" customHeight="1" x14ac:dyDescent="0.3">
      <c r="A413" s="1">
        <f t="shared" si="20"/>
        <v>404</v>
      </c>
      <c r="B413" s="1" t="str">
        <f>"(10,"&amp;I413&amp;")"</f>
        <v>(10,37)</v>
      </c>
      <c r="C413" s="4">
        <v>0.46652777777778359</v>
      </c>
      <c r="D413" s="4">
        <v>0.46667824074074654</v>
      </c>
      <c r="E413" s="2">
        <v>13.299999999999999</v>
      </c>
      <c r="F413" s="2">
        <v>13.309999999999999</v>
      </c>
      <c r="G413" s="1" t="s">
        <v>26</v>
      </c>
      <c r="H413" s="4">
        <f t="shared" si="28"/>
        <v>1.5046296296294948E-4</v>
      </c>
      <c r="I413">
        <f t="shared" si="29"/>
        <v>37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</row>
    <row r="414" spans="1:110" ht="14.25" customHeight="1" x14ac:dyDescent="0.3">
      <c r="A414" s="1">
        <f t="shared" si="20"/>
        <v>405</v>
      </c>
      <c r="B414" s="1" t="str">
        <f>"(11,"&amp;I414&amp;")"</f>
        <v>(11,37)</v>
      </c>
      <c r="C414" s="4">
        <v>0.46693287037037617</v>
      </c>
      <c r="D414" s="4">
        <v>0.46708333333333912</v>
      </c>
      <c r="E414" s="2">
        <v>13.299999999999999</v>
      </c>
      <c r="F414" s="2">
        <v>13.45</v>
      </c>
      <c r="G414" s="1" t="s">
        <v>26</v>
      </c>
      <c r="H414" s="4">
        <f t="shared" si="28"/>
        <v>1.5046296296294948E-4</v>
      </c>
      <c r="I414">
        <f t="shared" si="29"/>
        <v>37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</row>
    <row r="415" spans="1:110" ht="14.25" customHeight="1" x14ac:dyDescent="0.3">
      <c r="A415" s="1">
        <f t="shared" si="20"/>
        <v>406</v>
      </c>
      <c r="B415" s="1" t="str">
        <f>"(11,"&amp;I415&amp;")"</f>
        <v>(11,38)</v>
      </c>
      <c r="C415" s="4">
        <v>0.46732638888889466</v>
      </c>
      <c r="D415" s="4">
        <v>0.46748842592593171</v>
      </c>
      <c r="E415" s="2">
        <v>13.299999999999999</v>
      </c>
      <c r="F415" s="2">
        <v>13.319999999999999</v>
      </c>
      <c r="G415" s="1" t="s">
        <v>26</v>
      </c>
      <c r="H415" s="4">
        <f t="shared" si="28"/>
        <v>1.6203703703704386E-4</v>
      </c>
      <c r="I415">
        <f>I414+1</f>
        <v>38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</row>
    <row r="416" spans="1:110" ht="14.25" customHeight="1" x14ac:dyDescent="0.3">
      <c r="A416" s="1">
        <f t="shared" si="20"/>
        <v>407</v>
      </c>
      <c r="B416" s="1" t="str">
        <f>"(10,"&amp;I416&amp;")"</f>
        <v>(10,38)</v>
      </c>
      <c r="C416" s="4">
        <v>0.46774305555556134</v>
      </c>
      <c r="D416" s="4">
        <v>0.46791666666667248</v>
      </c>
      <c r="E416" s="2">
        <v>13.299999999999999</v>
      </c>
      <c r="F416" s="2">
        <v>13.319999999999999</v>
      </c>
      <c r="G416" s="1" t="s">
        <v>26</v>
      </c>
      <c r="H416" s="4">
        <f t="shared" si="28"/>
        <v>1.7361111111113825E-4</v>
      </c>
      <c r="I416">
        <f>I415</f>
        <v>38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</row>
    <row r="417" spans="1:110" ht="14.25" customHeight="1" x14ac:dyDescent="0.3">
      <c r="A417" s="1">
        <f t="shared" si="20"/>
        <v>408</v>
      </c>
      <c r="B417" s="1" t="str">
        <f>"(9,"&amp;I417&amp;")"</f>
        <v>(9,38)</v>
      </c>
      <c r="C417" s="4">
        <v>0.4681828703703762</v>
      </c>
      <c r="D417" s="4">
        <v>0.46834490740741325</v>
      </c>
      <c r="E417" s="2">
        <v>13.299999999999999</v>
      </c>
      <c r="F417" s="2">
        <v>13.36</v>
      </c>
      <c r="G417" s="1" t="s">
        <v>26</v>
      </c>
      <c r="H417" s="4">
        <f t="shared" si="28"/>
        <v>1.6203703703704386E-4</v>
      </c>
      <c r="I417">
        <f t="shared" ref="I417:I425" si="30">I416</f>
        <v>38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</row>
    <row r="418" spans="1:110" ht="14.25" customHeight="1" x14ac:dyDescent="0.3">
      <c r="A418" s="1">
        <f t="shared" si="20"/>
        <v>409</v>
      </c>
      <c r="B418" s="1" t="str">
        <f>"(8,"&amp;I418&amp;")"</f>
        <v>(8,38)</v>
      </c>
      <c r="C418" s="4">
        <v>0.46857638888889475</v>
      </c>
      <c r="D418" s="4">
        <v>0.46875000000000588</v>
      </c>
      <c r="E418" s="2">
        <v>13.299999999999999</v>
      </c>
      <c r="F418" s="2">
        <v>13.339999999999998</v>
      </c>
      <c r="G418" s="1" t="s">
        <v>26</v>
      </c>
      <c r="H418" s="4">
        <f t="shared" si="28"/>
        <v>1.7361111111113825E-4</v>
      </c>
      <c r="I418">
        <f t="shared" si="30"/>
        <v>38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</row>
    <row r="419" spans="1:110" ht="14.25" customHeight="1" x14ac:dyDescent="0.3">
      <c r="A419" s="1">
        <f t="shared" si="20"/>
        <v>410</v>
      </c>
      <c r="B419" s="1" t="str">
        <f>"(7,"&amp;I419&amp;")"</f>
        <v>(7,38)</v>
      </c>
      <c r="C419" s="4">
        <v>0.46900462962963552</v>
      </c>
      <c r="D419" s="4">
        <v>0.46914351851852443</v>
      </c>
      <c r="E419" s="2">
        <v>13.299999999999999</v>
      </c>
      <c r="F419" s="2">
        <v>13.399999999999999</v>
      </c>
      <c r="G419" s="1" t="s">
        <v>26</v>
      </c>
      <c r="H419" s="4">
        <f t="shared" si="28"/>
        <v>1.388888888889106E-4</v>
      </c>
      <c r="I419">
        <f t="shared" si="30"/>
        <v>38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</row>
    <row r="420" spans="1:110" ht="14.25" customHeight="1" x14ac:dyDescent="0.3">
      <c r="A420" s="1">
        <f t="shared" si="20"/>
        <v>411</v>
      </c>
      <c r="B420" s="1" t="str">
        <f>"(6,"&amp;I420&amp;")"</f>
        <v>(6,38)</v>
      </c>
      <c r="C420" s="4">
        <v>0.46942129629630219</v>
      </c>
      <c r="D420" s="4">
        <v>0.46959490740741333</v>
      </c>
      <c r="E420" s="2">
        <v>13.299999999999999</v>
      </c>
      <c r="F420" s="2">
        <v>13.409999999999998</v>
      </c>
      <c r="G420" s="1" t="s">
        <v>26</v>
      </c>
      <c r="H420" s="4">
        <f t="shared" si="28"/>
        <v>1.7361111111113825E-4</v>
      </c>
      <c r="I420">
        <f t="shared" si="30"/>
        <v>38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</row>
    <row r="421" spans="1:110" ht="14.25" customHeight="1" x14ac:dyDescent="0.3">
      <c r="A421" s="1">
        <f t="shared" si="20"/>
        <v>412</v>
      </c>
      <c r="B421" s="1" t="str">
        <f>"(5,"&amp;I421&amp;")"</f>
        <v>(5,38)</v>
      </c>
      <c r="C421" s="4">
        <v>0.46984953703704296</v>
      </c>
      <c r="D421" s="4">
        <v>0.46998842592593187</v>
      </c>
      <c r="E421" s="2">
        <v>13.299999999999999</v>
      </c>
      <c r="F421" s="2">
        <v>13.35</v>
      </c>
      <c r="G421" s="1" t="s">
        <v>26</v>
      </c>
      <c r="H421" s="4">
        <f t="shared" si="28"/>
        <v>1.388888888889106E-4</v>
      </c>
      <c r="I421">
        <f t="shared" si="30"/>
        <v>38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</row>
    <row r="422" spans="1:110" ht="14.25" customHeight="1" x14ac:dyDescent="0.3">
      <c r="A422" s="1">
        <f t="shared" si="20"/>
        <v>413</v>
      </c>
      <c r="B422" s="1" t="str">
        <f>"(4,"&amp;I422&amp;")"</f>
        <v>(4,38)</v>
      </c>
      <c r="C422" s="4">
        <v>0.47027777777778373</v>
      </c>
      <c r="D422" s="4">
        <v>0.47045138888889487</v>
      </c>
      <c r="E422" s="2">
        <v>13.299999999999999</v>
      </c>
      <c r="F422" s="2">
        <v>13.43</v>
      </c>
      <c r="G422" s="1" t="s">
        <v>26</v>
      </c>
      <c r="H422" s="4">
        <f t="shared" si="28"/>
        <v>1.7361111111113825E-4</v>
      </c>
      <c r="I422">
        <f t="shared" si="30"/>
        <v>38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</row>
    <row r="423" spans="1:110" ht="14.25" customHeight="1" x14ac:dyDescent="0.3">
      <c r="A423" s="1">
        <f t="shared" si="20"/>
        <v>414</v>
      </c>
      <c r="B423" s="1" t="str">
        <f>"(3,"&amp;I423&amp;")"</f>
        <v>(3,38)</v>
      </c>
      <c r="C423" s="4">
        <v>0.4707060185185245</v>
      </c>
      <c r="D423" s="4">
        <v>0.47086805555556155</v>
      </c>
      <c r="E423" s="2">
        <v>13.299999999999999</v>
      </c>
      <c r="F423" s="2">
        <v>13.379999999999999</v>
      </c>
      <c r="G423" s="1" t="s">
        <v>26</v>
      </c>
      <c r="H423" s="4">
        <f t="shared" si="28"/>
        <v>1.6203703703704386E-4</v>
      </c>
      <c r="I423">
        <f t="shared" si="30"/>
        <v>38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</row>
    <row r="424" spans="1:110" ht="14.25" customHeight="1" x14ac:dyDescent="0.3">
      <c r="A424" s="1">
        <f t="shared" si="20"/>
        <v>415</v>
      </c>
      <c r="B424" s="1" t="str">
        <f>"(2,"&amp;I424&amp;")"</f>
        <v>(2,38)</v>
      </c>
      <c r="C424" s="4">
        <v>0.47109953703704305</v>
      </c>
      <c r="D424" s="4">
        <v>0.47126157407408009</v>
      </c>
      <c r="E424" s="2">
        <v>13.299999999999999</v>
      </c>
      <c r="F424" s="2">
        <v>13.35</v>
      </c>
      <c r="G424" s="1" t="s">
        <v>26</v>
      </c>
      <c r="H424" s="4">
        <f t="shared" si="28"/>
        <v>1.6203703703704386E-4</v>
      </c>
      <c r="I424">
        <f t="shared" si="30"/>
        <v>38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</row>
    <row r="425" spans="1:110" ht="14.25" customHeight="1" x14ac:dyDescent="0.3">
      <c r="A425" s="1">
        <f t="shared" si="20"/>
        <v>416</v>
      </c>
      <c r="B425" s="1" t="str">
        <f>"(1,"&amp;I425&amp;")"</f>
        <v>(1,38)</v>
      </c>
      <c r="C425" s="4">
        <v>0.47152777777778382</v>
      </c>
      <c r="D425" s="4">
        <v>0.47170138888889496</v>
      </c>
      <c r="E425" s="2">
        <v>13.299999999999999</v>
      </c>
      <c r="F425" s="2">
        <v>13.37</v>
      </c>
      <c r="G425" s="1" t="s">
        <v>26</v>
      </c>
      <c r="H425" s="4">
        <f t="shared" si="28"/>
        <v>1.7361111111113825E-4</v>
      </c>
      <c r="I425">
        <f t="shared" si="30"/>
        <v>38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</row>
    <row r="426" spans="1:110" ht="14.25" customHeight="1" x14ac:dyDescent="0.3">
      <c r="A426" s="1">
        <f t="shared" si="20"/>
        <v>417</v>
      </c>
      <c r="B426" s="1" t="str">
        <f>"(1,"&amp;I426&amp;")"</f>
        <v>(1,39)</v>
      </c>
      <c r="C426" s="4">
        <v>0.47197916666667272</v>
      </c>
      <c r="D426" s="4">
        <v>0.47211805555556163</v>
      </c>
      <c r="E426" s="2">
        <v>13.299999999999999</v>
      </c>
      <c r="F426" s="2">
        <v>13.379999999999999</v>
      </c>
      <c r="G426" s="1" t="s">
        <v>26</v>
      </c>
      <c r="H426" s="4">
        <f t="shared" si="28"/>
        <v>1.388888888889106E-4</v>
      </c>
      <c r="I426">
        <f>I425+1</f>
        <v>39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</row>
    <row r="427" spans="1:110" ht="14.25" customHeight="1" x14ac:dyDescent="0.3">
      <c r="A427" s="1">
        <f t="shared" si="20"/>
        <v>418</v>
      </c>
      <c r="B427" s="1" t="str">
        <f>"(2,"&amp;I427&amp;")"</f>
        <v>(2,39)</v>
      </c>
      <c r="C427" s="4">
        <v>0.47238425925926536</v>
      </c>
      <c r="D427" s="4">
        <v>0.4725578703703765</v>
      </c>
      <c r="E427" s="2">
        <v>13.299999999999999</v>
      </c>
      <c r="F427" s="2">
        <v>13.339999999999998</v>
      </c>
      <c r="G427" s="1" t="s">
        <v>26</v>
      </c>
      <c r="H427" s="4">
        <f t="shared" si="28"/>
        <v>1.7361111111113825E-4</v>
      </c>
      <c r="I427">
        <f>I426</f>
        <v>39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</row>
    <row r="428" spans="1:110" ht="14.25" customHeight="1" x14ac:dyDescent="0.3">
      <c r="A428" s="1">
        <f t="shared" si="20"/>
        <v>419</v>
      </c>
      <c r="B428" s="1" t="str">
        <f>"(3,"&amp;I428&amp;")"</f>
        <v>(3,39)</v>
      </c>
      <c r="C428" s="4">
        <v>0.47284722222222836</v>
      </c>
      <c r="D428" s="4">
        <v>0.4730208333333395</v>
      </c>
      <c r="E428" s="2">
        <v>13.299999999999999</v>
      </c>
      <c r="F428" s="2">
        <v>13.389999999999999</v>
      </c>
      <c r="G428" s="1" t="s">
        <v>26</v>
      </c>
      <c r="H428" s="4">
        <f t="shared" si="28"/>
        <v>1.7361111111113825E-4</v>
      </c>
      <c r="I428">
        <f t="shared" ref="I428:I436" si="31">I427</f>
        <v>39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</row>
    <row r="429" spans="1:110" ht="14.25" customHeight="1" x14ac:dyDescent="0.3">
      <c r="A429" s="1">
        <f t="shared" si="20"/>
        <v>420</v>
      </c>
      <c r="B429" s="1" t="str">
        <f>"(4,"&amp;I429&amp;")"</f>
        <v>(4,39)</v>
      </c>
      <c r="C429" s="4">
        <v>0.473252314814821</v>
      </c>
      <c r="D429" s="4">
        <v>0.47340277777778395</v>
      </c>
      <c r="E429" s="2">
        <v>13.299999999999999</v>
      </c>
      <c r="F429" s="2">
        <v>13.36</v>
      </c>
      <c r="G429" s="1" t="s">
        <v>26</v>
      </c>
      <c r="H429" s="4">
        <f t="shared" si="28"/>
        <v>1.5046296296294948E-4</v>
      </c>
      <c r="I429">
        <f t="shared" si="31"/>
        <v>39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</row>
    <row r="430" spans="1:110" ht="14.25" customHeight="1" x14ac:dyDescent="0.3">
      <c r="A430" s="1">
        <f t="shared" si="20"/>
        <v>421</v>
      </c>
      <c r="B430" s="1" t="str">
        <f>"(5,"&amp;I430&amp;")"</f>
        <v>(5,39)</v>
      </c>
      <c r="C430" s="4">
        <v>0.47365740740741358</v>
      </c>
      <c r="D430" s="4">
        <v>0.47383101851852472</v>
      </c>
      <c r="E430" s="2">
        <v>13.299999999999999</v>
      </c>
      <c r="F430" s="2">
        <v>13.319999999999999</v>
      </c>
      <c r="G430" s="1" t="s">
        <v>26</v>
      </c>
      <c r="H430" s="4">
        <f t="shared" si="28"/>
        <v>1.7361111111113825E-4</v>
      </c>
      <c r="I430">
        <f t="shared" si="31"/>
        <v>39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</row>
    <row r="431" spans="1:110" ht="14.25" customHeight="1" x14ac:dyDescent="0.3">
      <c r="A431" s="1">
        <f t="shared" si="20"/>
        <v>422</v>
      </c>
      <c r="B431" s="1" t="str">
        <f>"(6,"&amp;I431&amp;")"</f>
        <v>(6,39)</v>
      </c>
      <c r="C431" s="4">
        <v>0.47410879629630248</v>
      </c>
      <c r="D431" s="4">
        <v>0.47424768518519139</v>
      </c>
      <c r="E431" s="2">
        <v>13.299999999999999</v>
      </c>
      <c r="F431" s="2">
        <v>13.319999999999999</v>
      </c>
      <c r="G431" s="1" t="s">
        <v>26</v>
      </c>
      <c r="H431" s="4">
        <f t="shared" si="28"/>
        <v>1.388888888889106E-4</v>
      </c>
      <c r="I431">
        <f t="shared" si="31"/>
        <v>39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</row>
    <row r="432" spans="1:110" ht="14.25" customHeight="1" x14ac:dyDescent="0.3">
      <c r="A432" s="1">
        <f t="shared" si="20"/>
        <v>423</v>
      </c>
      <c r="B432" s="1" t="str">
        <f>"(7,"&amp;I432&amp;")"</f>
        <v>(7,39)</v>
      </c>
      <c r="C432" s="4">
        <v>0.47450231481482102</v>
      </c>
      <c r="D432" s="4">
        <v>0.47465277777778397</v>
      </c>
      <c r="E432" s="2">
        <v>13.299999999999999</v>
      </c>
      <c r="F432" s="2">
        <v>13.45</v>
      </c>
      <c r="G432" s="1" t="s">
        <v>26</v>
      </c>
      <c r="H432" s="4">
        <f t="shared" si="28"/>
        <v>1.5046296296294948E-4</v>
      </c>
      <c r="I432">
        <f t="shared" si="31"/>
        <v>39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</row>
    <row r="433" spans="1:110" ht="14.25" customHeight="1" x14ac:dyDescent="0.3">
      <c r="A433" s="1">
        <f t="shared" si="20"/>
        <v>424</v>
      </c>
      <c r="B433" s="1" t="str">
        <f>"(8,"&amp;I433&amp;")"</f>
        <v>(8,39)</v>
      </c>
      <c r="C433" s="4">
        <v>0.4749189814814877</v>
      </c>
      <c r="D433" s="4">
        <v>0.47509259259259884</v>
      </c>
      <c r="E433" s="2">
        <v>13.299999999999999</v>
      </c>
      <c r="F433" s="2">
        <v>13.409999999999998</v>
      </c>
      <c r="G433" s="1" t="s">
        <v>26</v>
      </c>
      <c r="H433" s="4">
        <f t="shared" si="28"/>
        <v>1.7361111111113825E-4</v>
      </c>
      <c r="I433">
        <f t="shared" si="31"/>
        <v>39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</row>
    <row r="434" spans="1:110" ht="14.25" customHeight="1" x14ac:dyDescent="0.3">
      <c r="A434" s="1">
        <f t="shared" si="20"/>
        <v>425</v>
      </c>
      <c r="B434" s="1" t="str">
        <f>"(9,"&amp;I434&amp;")"</f>
        <v>(9,39)</v>
      </c>
      <c r="C434" s="4">
        <v>0.47535879629630257</v>
      </c>
      <c r="D434" s="4">
        <v>0.47549768518519148</v>
      </c>
      <c r="E434" s="2">
        <v>13.299999999999999</v>
      </c>
      <c r="F434" s="2">
        <v>13.419999999999998</v>
      </c>
      <c r="G434" s="1" t="s">
        <v>26</v>
      </c>
      <c r="H434" s="4">
        <f t="shared" si="28"/>
        <v>1.388888888889106E-4</v>
      </c>
      <c r="I434">
        <f t="shared" si="31"/>
        <v>39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</row>
    <row r="435" spans="1:110" ht="14.25" customHeight="1" x14ac:dyDescent="0.3">
      <c r="A435" s="1">
        <f t="shared" si="20"/>
        <v>426</v>
      </c>
      <c r="B435" s="1" t="str">
        <f>"(10,"&amp;I435&amp;")"</f>
        <v>(10,39)</v>
      </c>
      <c r="C435" s="4">
        <v>0.47574074074074701</v>
      </c>
      <c r="D435" s="4">
        <v>0.47587962962963593</v>
      </c>
      <c r="E435" s="2">
        <v>13.299999999999999</v>
      </c>
      <c r="F435" s="2">
        <v>13.36</v>
      </c>
      <c r="G435" s="1" t="s">
        <v>26</v>
      </c>
      <c r="H435" s="4">
        <f t="shared" si="28"/>
        <v>1.388888888889106E-4</v>
      </c>
      <c r="I435">
        <f t="shared" si="31"/>
        <v>39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</row>
    <row r="436" spans="1:110" ht="14.25" customHeight="1" x14ac:dyDescent="0.3">
      <c r="A436" s="1">
        <f t="shared" si="20"/>
        <v>427</v>
      </c>
      <c r="B436" s="1" t="str">
        <f>"(11,"&amp;I436&amp;")"</f>
        <v>(11,39)</v>
      </c>
      <c r="C436" s="4">
        <v>0.47612268518519146</v>
      </c>
      <c r="D436" s="4">
        <v>0.47627314814815441</v>
      </c>
      <c r="E436" s="2">
        <v>13.299999999999999</v>
      </c>
      <c r="F436" s="2">
        <v>13.36</v>
      </c>
      <c r="G436" s="1" t="s">
        <v>26</v>
      </c>
      <c r="H436" s="4">
        <f t="shared" si="28"/>
        <v>1.5046296296294948E-4</v>
      </c>
      <c r="I436">
        <f t="shared" si="31"/>
        <v>39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</row>
    <row r="437" spans="1:110" ht="14.25" customHeight="1" x14ac:dyDescent="0.3">
      <c r="A437" s="1">
        <f t="shared" si="20"/>
        <v>428</v>
      </c>
      <c r="B437" s="1" t="str">
        <f>"(11,"&amp;I437&amp;")"</f>
        <v>(11,40)</v>
      </c>
      <c r="C437" s="4">
        <v>0.47656250000000627</v>
      </c>
      <c r="D437" s="4">
        <v>0.47670138888889518</v>
      </c>
      <c r="E437" s="2">
        <v>13.299999999999999</v>
      </c>
      <c r="F437" s="2">
        <v>13.339999999999998</v>
      </c>
      <c r="G437" s="1" t="s">
        <v>26</v>
      </c>
      <c r="H437" s="4">
        <f t="shared" si="28"/>
        <v>1.388888888889106E-4</v>
      </c>
      <c r="I437">
        <f>I436+1</f>
        <v>40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</row>
    <row r="438" spans="1:110" ht="14.25" customHeight="1" x14ac:dyDescent="0.3">
      <c r="A438" s="1">
        <f t="shared" si="20"/>
        <v>429</v>
      </c>
      <c r="B438" s="1" t="str">
        <f>"(10,"&amp;I438&amp;")"</f>
        <v>(10,40)</v>
      </c>
      <c r="C438" s="4">
        <v>0.47699074074074704</v>
      </c>
      <c r="D438" s="4">
        <v>0.47712962962963595</v>
      </c>
      <c r="E438" s="2">
        <v>13.299999999999999</v>
      </c>
      <c r="F438" s="2">
        <v>13.339999999999998</v>
      </c>
      <c r="G438" s="1" t="s">
        <v>26</v>
      </c>
      <c r="H438" s="4">
        <f t="shared" si="28"/>
        <v>1.388888888889106E-4</v>
      </c>
      <c r="I438">
        <f>I437</f>
        <v>40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</row>
    <row r="439" spans="1:110" ht="14.25" customHeight="1" x14ac:dyDescent="0.3">
      <c r="A439" s="1">
        <f t="shared" si="20"/>
        <v>430</v>
      </c>
      <c r="B439" s="1" t="str">
        <f>"(9,"&amp;I439&amp;")"</f>
        <v>(9,40)</v>
      </c>
      <c r="C439" s="4">
        <v>0.47739583333333968</v>
      </c>
      <c r="D439" s="4">
        <v>0.47755787037037672</v>
      </c>
      <c r="E439" s="2">
        <v>13.299999999999999</v>
      </c>
      <c r="F439" s="2">
        <v>13.36</v>
      </c>
      <c r="G439" s="1" t="s">
        <v>26</v>
      </c>
      <c r="H439" s="4">
        <f t="shared" si="28"/>
        <v>1.6203703703704386E-4</v>
      </c>
      <c r="I439">
        <f t="shared" ref="I439:I447" si="32">I438</f>
        <v>40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</row>
    <row r="440" spans="1:110" ht="14.25" customHeight="1" x14ac:dyDescent="0.3">
      <c r="A440" s="1">
        <f t="shared" si="20"/>
        <v>431</v>
      </c>
      <c r="B440" s="1" t="str">
        <f>"(8,"&amp;I440&amp;")"</f>
        <v>(8,40)</v>
      </c>
      <c r="C440" s="4">
        <v>0.47781250000000636</v>
      </c>
      <c r="D440" s="4">
        <v>0.4779861111111175</v>
      </c>
      <c r="E440" s="2">
        <v>13.299999999999999</v>
      </c>
      <c r="F440" s="2">
        <v>13.409999999999998</v>
      </c>
      <c r="G440" s="1" t="s">
        <v>26</v>
      </c>
      <c r="H440" s="4">
        <f t="shared" si="28"/>
        <v>1.7361111111113825E-4</v>
      </c>
      <c r="I440">
        <f t="shared" si="32"/>
        <v>40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</row>
    <row r="441" spans="1:110" ht="14.25" customHeight="1" x14ac:dyDescent="0.3">
      <c r="A441" s="1">
        <f t="shared" si="20"/>
        <v>432</v>
      </c>
      <c r="B441" s="1" t="str">
        <f>"(7,"&amp;I441&amp;")"</f>
        <v>(7,40)</v>
      </c>
      <c r="C441" s="4">
        <v>0.47824074074074713</v>
      </c>
      <c r="D441" s="4">
        <v>0.47837962962963604</v>
      </c>
      <c r="E441" s="2">
        <v>13.299999999999999</v>
      </c>
      <c r="F441" s="2">
        <v>13.45</v>
      </c>
      <c r="G441" s="1" t="s">
        <v>26</v>
      </c>
      <c r="H441" s="4">
        <f t="shared" si="28"/>
        <v>1.388888888889106E-4</v>
      </c>
      <c r="I441">
        <f t="shared" si="32"/>
        <v>40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</row>
    <row r="442" spans="1:110" ht="14.25" customHeight="1" x14ac:dyDescent="0.3">
      <c r="A442" s="1">
        <f t="shared" si="20"/>
        <v>433</v>
      </c>
      <c r="B442" s="1" t="str">
        <f>"(6,"&amp;I442&amp;")"</f>
        <v>(6,40)</v>
      </c>
      <c r="C442" s="4">
        <v>0.47862268518519158</v>
      </c>
      <c r="D442" s="4">
        <v>0.47876157407408049</v>
      </c>
      <c r="E442" s="2">
        <v>13.299999999999999</v>
      </c>
      <c r="F442" s="2">
        <v>13.339999999999998</v>
      </c>
      <c r="G442" s="1" t="s">
        <v>26</v>
      </c>
      <c r="H442" s="4">
        <f t="shared" si="28"/>
        <v>1.388888888889106E-4</v>
      </c>
      <c r="I442">
        <f t="shared" si="32"/>
        <v>40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</row>
    <row r="443" spans="1:110" ht="14.25" customHeight="1" x14ac:dyDescent="0.3">
      <c r="A443" s="1">
        <f t="shared" si="20"/>
        <v>434</v>
      </c>
      <c r="B443" s="1" t="str">
        <f>"(5,"&amp;I443&amp;")"</f>
        <v>(5,40)</v>
      </c>
      <c r="C443" s="4">
        <v>0.47905092592593235</v>
      </c>
      <c r="D443" s="4">
        <v>0.47921296296296939</v>
      </c>
      <c r="E443" s="2">
        <v>13.299999999999999</v>
      </c>
      <c r="F443" s="2">
        <v>13.43</v>
      </c>
      <c r="G443" s="1" t="s">
        <v>26</v>
      </c>
      <c r="H443" s="4">
        <f t="shared" si="28"/>
        <v>1.6203703703704386E-4</v>
      </c>
      <c r="I443">
        <f t="shared" si="32"/>
        <v>40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</row>
    <row r="444" spans="1:110" ht="14.25" customHeight="1" x14ac:dyDescent="0.3">
      <c r="A444" s="1">
        <f t="shared" si="20"/>
        <v>435</v>
      </c>
      <c r="B444" s="1" t="str">
        <f>"(4,"&amp;I444&amp;")"</f>
        <v>(4,40)</v>
      </c>
      <c r="C444" s="4">
        <v>0.47949074074074716</v>
      </c>
      <c r="D444" s="4">
        <v>0.47962962962963607</v>
      </c>
      <c r="E444" s="2">
        <v>13.299999999999999</v>
      </c>
      <c r="F444" s="2">
        <v>13.329999999999998</v>
      </c>
      <c r="G444" s="1" t="s">
        <v>26</v>
      </c>
      <c r="H444" s="4">
        <f t="shared" si="28"/>
        <v>1.388888888889106E-4</v>
      </c>
      <c r="I444">
        <f t="shared" si="32"/>
        <v>40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</row>
    <row r="445" spans="1:110" ht="14.25" customHeight="1" x14ac:dyDescent="0.3">
      <c r="A445" s="1">
        <f t="shared" si="20"/>
        <v>436</v>
      </c>
      <c r="B445" s="1" t="str">
        <f>"(3,"&amp;I445&amp;")"</f>
        <v>(3,40)</v>
      </c>
      <c r="C445" s="4">
        <v>0.47990740740741383</v>
      </c>
      <c r="D445" s="4">
        <v>0.48008101851852497</v>
      </c>
      <c r="E445" s="2">
        <v>13.299999999999999</v>
      </c>
      <c r="F445" s="2">
        <v>13.43</v>
      </c>
      <c r="G445" s="1" t="s">
        <v>26</v>
      </c>
      <c r="H445" s="4">
        <f t="shared" si="28"/>
        <v>1.7361111111113825E-4</v>
      </c>
      <c r="I445">
        <f t="shared" si="32"/>
        <v>40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</row>
    <row r="446" spans="1:110" ht="14.25" customHeight="1" x14ac:dyDescent="0.3">
      <c r="A446" s="1">
        <f t="shared" si="20"/>
        <v>437</v>
      </c>
      <c r="B446" s="1" t="str">
        <f>"(2,"&amp;I446&amp;")"</f>
        <v>(2,40)</v>
      </c>
      <c r="C446" s="4">
        <v>0.4803472222222287</v>
      </c>
      <c r="D446" s="4">
        <v>0.48048611111111761</v>
      </c>
      <c r="E446" s="2">
        <v>13.299999999999999</v>
      </c>
      <c r="F446" s="2">
        <v>13.339999999999998</v>
      </c>
      <c r="G446" s="1" t="s">
        <v>26</v>
      </c>
      <c r="H446" s="4">
        <f t="shared" si="28"/>
        <v>1.388888888889106E-4</v>
      </c>
      <c r="I446">
        <f t="shared" si="32"/>
        <v>40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</row>
    <row r="447" spans="1:110" ht="14.25" customHeight="1" x14ac:dyDescent="0.3">
      <c r="A447" s="1">
        <f t="shared" si="20"/>
        <v>438</v>
      </c>
      <c r="B447" s="1" t="str">
        <f>"(1,"&amp;I447&amp;")"</f>
        <v>(1,40)</v>
      </c>
      <c r="C447" s="4">
        <v>0.48071759259259911</v>
      </c>
      <c r="D447" s="4">
        <v>0.48086805555556206</v>
      </c>
      <c r="E447" s="2">
        <v>13.299999999999999</v>
      </c>
      <c r="F447" s="2">
        <v>13.409999999999998</v>
      </c>
      <c r="G447" s="1" t="s">
        <v>26</v>
      </c>
      <c r="H447" s="4">
        <f t="shared" si="28"/>
        <v>1.5046296296294948E-4</v>
      </c>
      <c r="I447">
        <f t="shared" si="32"/>
        <v>40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</row>
    <row r="448" spans="1:110" ht="14.25" customHeight="1" x14ac:dyDescent="0.3">
      <c r="A448" s="1">
        <f t="shared" si="20"/>
        <v>439</v>
      </c>
      <c r="B448" s="1" t="str">
        <f>"(1,"&amp;I448&amp;")"</f>
        <v>(1,41)</v>
      </c>
      <c r="C448" s="4">
        <v>0.48112268518519169</v>
      </c>
      <c r="D448" s="4">
        <v>0.4812615740740806</v>
      </c>
      <c r="E448" s="2">
        <v>13.299999999999999</v>
      </c>
      <c r="F448" s="2">
        <v>13.399999999999999</v>
      </c>
      <c r="G448" s="1" t="s">
        <v>26</v>
      </c>
      <c r="H448" s="4">
        <f t="shared" si="28"/>
        <v>1.388888888889106E-4</v>
      </c>
      <c r="I448">
        <f>I447+1</f>
        <v>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</row>
    <row r="449" spans="1:110" ht="14.25" customHeight="1" x14ac:dyDescent="0.3">
      <c r="A449" s="1">
        <f t="shared" si="20"/>
        <v>440</v>
      </c>
      <c r="B449" s="1" t="str">
        <f>"(2,"&amp;I449&amp;")"</f>
        <v>(2,41)</v>
      </c>
      <c r="C449" s="4">
        <v>0.48152777777778433</v>
      </c>
      <c r="D449" s="4">
        <v>0.48166666666667324</v>
      </c>
      <c r="E449" s="2">
        <v>13.299999999999999</v>
      </c>
      <c r="F449" s="2">
        <v>13.309999999999999</v>
      </c>
      <c r="G449" s="1" t="s">
        <v>26</v>
      </c>
      <c r="H449" s="4">
        <f t="shared" si="28"/>
        <v>1.388888888889106E-4</v>
      </c>
      <c r="I449">
        <f>I448</f>
        <v>41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</row>
    <row r="450" spans="1:110" ht="14.25" customHeight="1" x14ac:dyDescent="0.3">
      <c r="A450" s="1">
        <f t="shared" si="20"/>
        <v>441</v>
      </c>
      <c r="B450" s="1" t="str">
        <f>"(3,"&amp;I450&amp;")"</f>
        <v>(3,41)</v>
      </c>
      <c r="C450" s="4">
        <v>0.48193287037037696</v>
      </c>
      <c r="D450" s="4">
        <v>0.48207175925926588</v>
      </c>
      <c r="E450" s="2">
        <v>13.299999999999999</v>
      </c>
      <c r="F450" s="2">
        <v>13.379999999999999</v>
      </c>
      <c r="G450" s="1" t="s">
        <v>26</v>
      </c>
      <c r="H450" s="4">
        <f t="shared" si="28"/>
        <v>1.388888888889106E-4</v>
      </c>
      <c r="I450">
        <f t="shared" ref="I450:I458" si="33">I449</f>
        <v>41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</row>
    <row r="451" spans="1:110" ht="14.25" customHeight="1" x14ac:dyDescent="0.3">
      <c r="A451" s="1">
        <f t="shared" si="20"/>
        <v>442</v>
      </c>
      <c r="B451" s="1" t="str">
        <f>"(4,"&amp;I451&amp;")"</f>
        <v>(4,41)</v>
      </c>
      <c r="C451" s="4">
        <v>0.48232638888889551</v>
      </c>
      <c r="D451" s="4">
        <v>0.48250000000000665</v>
      </c>
      <c r="E451" s="2">
        <v>13.299999999999999</v>
      </c>
      <c r="F451" s="2">
        <v>13.44</v>
      </c>
      <c r="G451" s="1" t="s">
        <v>26</v>
      </c>
      <c r="H451" s="4">
        <f t="shared" si="28"/>
        <v>1.7361111111113825E-4</v>
      </c>
      <c r="I451">
        <f t="shared" si="33"/>
        <v>41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</row>
    <row r="452" spans="1:110" ht="14.25" customHeight="1" x14ac:dyDescent="0.3">
      <c r="A452" s="1">
        <f t="shared" si="20"/>
        <v>443</v>
      </c>
      <c r="B452" s="1" t="str">
        <f>"(5,"&amp;I452&amp;")"</f>
        <v>(5,41)</v>
      </c>
      <c r="C452" s="4">
        <v>0.48277777777778441</v>
      </c>
      <c r="D452" s="4">
        <v>0.48293981481482146</v>
      </c>
      <c r="E452" s="2">
        <v>13.299999999999999</v>
      </c>
      <c r="F452" s="2">
        <v>13.419999999999998</v>
      </c>
      <c r="G452" s="1" t="s">
        <v>26</v>
      </c>
      <c r="H452" s="4">
        <f t="shared" si="28"/>
        <v>1.6203703703704386E-4</v>
      </c>
      <c r="I452">
        <f t="shared" si="33"/>
        <v>41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</row>
    <row r="453" spans="1:110" ht="14.25" customHeight="1" x14ac:dyDescent="0.3">
      <c r="A453" s="1">
        <f t="shared" si="20"/>
        <v>444</v>
      </c>
      <c r="B453" s="1" t="str">
        <f>"(6,"&amp;I453&amp;")"</f>
        <v>(6,41)</v>
      </c>
      <c r="C453" s="4">
        <v>0.48322916666667332</v>
      </c>
      <c r="D453" s="4">
        <v>0.48339120370371036</v>
      </c>
      <c r="E453" s="2">
        <v>13.299999999999999</v>
      </c>
      <c r="F453" s="2">
        <v>13.45</v>
      </c>
      <c r="G453" s="1" t="s">
        <v>26</v>
      </c>
      <c r="H453" s="4">
        <f t="shared" si="28"/>
        <v>1.6203703703704386E-4</v>
      </c>
      <c r="I453">
        <f t="shared" si="33"/>
        <v>41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</row>
    <row r="454" spans="1:110" ht="14.25" customHeight="1" x14ac:dyDescent="0.3">
      <c r="A454" s="1">
        <f t="shared" si="20"/>
        <v>445</v>
      </c>
      <c r="B454" s="1" t="str">
        <f>"(7,"&amp;I454&amp;")"</f>
        <v>(7,41)</v>
      </c>
      <c r="C454" s="4">
        <v>0.48364583333333999</v>
      </c>
      <c r="D454" s="4">
        <v>0.48381944444445113</v>
      </c>
      <c r="E454" s="2">
        <v>13.299999999999999</v>
      </c>
      <c r="F454" s="2">
        <v>13.419999999999998</v>
      </c>
      <c r="G454" s="1" t="s">
        <v>26</v>
      </c>
      <c r="H454" s="4">
        <f t="shared" si="28"/>
        <v>1.7361111111113825E-4</v>
      </c>
      <c r="I454">
        <f t="shared" si="33"/>
        <v>41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</row>
    <row r="455" spans="1:110" ht="14.25" customHeight="1" x14ac:dyDescent="0.3">
      <c r="A455" s="1">
        <f t="shared" si="20"/>
        <v>446</v>
      </c>
      <c r="B455" s="1" t="str">
        <f>"(8,"&amp;I455&amp;")"</f>
        <v>(8,41)</v>
      </c>
      <c r="C455" s="4">
        <v>0.48410879629630299</v>
      </c>
      <c r="D455" s="4">
        <v>0.48425925925926594</v>
      </c>
      <c r="E455" s="2">
        <v>13.299999999999999</v>
      </c>
      <c r="F455" s="2">
        <v>13.44</v>
      </c>
      <c r="G455" s="1" t="s">
        <v>26</v>
      </c>
      <c r="H455" s="4">
        <f t="shared" si="28"/>
        <v>1.5046296296294948E-4</v>
      </c>
      <c r="I455">
        <f t="shared" si="33"/>
        <v>41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</row>
    <row r="456" spans="1:110" ht="14.25" customHeight="1" x14ac:dyDescent="0.3">
      <c r="A456" s="1">
        <f t="shared" si="20"/>
        <v>447</v>
      </c>
      <c r="B456" s="1" t="str">
        <f>"(9,"&amp;I456&amp;")"</f>
        <v>(9,41)</v>
      </c>
      <c r="C456" s="4">
        <v>0.48452546296296967</v>
      </c>
      <c r="D456" s="4">
        <v>0.48467592592593262</v>
      </c>
      <c r="E456" s="2">
        <v>13.299999999999999</v>
      </c>
      <c r="F456" s="2">
        <v>13.339999999999998</v>
      </c>
      <c r="G456" s="1" t="s">
        <v>26</v>
      </c>
      <c r="H456" s="4">
        <f t="shared" si="28"/>
        <v>1.5046296296294948E-4</v>
      </c>
      <c r="I456">
        <f t="shared" si="33"/>
        <v>41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</row>
    <row r="457" spans="1:110" ht="14.25" customHeight="1" x14ac:dyDescent="0.3">
      <c r="A457" s="1">
        <f t="shared" si="20"/>
        <v>448</v>
      </c>
      <c r="B457" s="1" t="str">
        <f>"(10,"&amp;I457&amp;")"</f>
        <v>(10,41)</v>
      </c>
      <c r="C457" s="4">
        <v>0.54516203703703703</v>
      </c>
      <c r="D457" s="4">
        <v>0.54532407407407402</v>
      </c>
      <c r="E457" s="2">
        <v>13.299999999999999</v>
      </c>
      <c r="F457" s="2">
        <v>13.389999999999999</v>
      </c>
      <c r="G457" s="1" t="s">
        <v>26</v>
      </c>
      <c r="H457" s="4">
        <f t="shared" si="28"/>
        <v>1.6203703703698835E-4</v>
      </c>
      <c r="I457">
        <f t="shared" si="33"/>
        <v>41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</row>
    <row r="458" spans="1:110" ht="14.25" customHeight="1" x14ac:dyDescent="0.3">
      <c r="A458" s="1">
        <f t="shared" si="20"/>
        <v>449</v>
      </c>
      <c r="B458" s="1" t="str">
        <f>"(11,"&amp;I458&amp;")"</f>
        <v>(11,41)</v>
      </c>
      <c r="C458" s="4">
        <v>0.54556712962962961</v>
      </c>
      <c r="D458" s="4">
        <v>0.54574074074074075</v>
      </c>
      <c r="E458" s="2">
        <v>13.299999999999999</v>
      </c>
      <c r="F458" s="2">
        <v>13.44</v>
      </c>
      <c r="G458" s="1" t="s">
        <v>26</v>
      </c>
      <c r="H458" s="4">
        <f t="shared" si="28"/>
        <v>1.7361111111113825E-4</v>
      </c>
      <c r="I458">
        <f t="shared" si="33"/>
        <v>41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</row>
    <row r="459" spans="1:110" ht="14.25" customHeight="1" x14ac:dyDescent="0.3">
      <c r="A459" s="1">
        <f t="shared" si="20"/>
        <v>450</v>
      </c>
      <c r="B459" s="1" t="str">
        <f>"(11,"&amp;I459&amp;")"</f>
        <v>(11,42)</v>
      </c>
      <c r="C459" s="4">
        <v>0.54597222222222219</v>
      </c>
      <c r="D459" s="4">
        <v>0.54612268518518514</v>
      </c>
      <c r="E459" s="2">
        <v>13.299999999999999</v>
      </c>
      <c r="F459" s="2">
        <v>13.409999999999998</v>
      </c>
      <c r="G459" s="1" t="s">
        <v>26</v>
      </c>
      <c r="H459" s="4">
        <f t="shared" si="28"/>
        <v>1.5046296296294948E-4</v>
      </c>
      <c r="I459">
        <f>I458+1</f>
        <v>42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</row>
    <row r="460" spans="1:110" ht="14.25" customHeight="1" x14ac:dyDescent="0.3">
      <c r="A460" s="1">
        <f t="shared" si="20"/>
        <v>451</v>
      </c>
      <c r="B460" s="1" t="str">
        <f>"(10,"&amp;I460&amp;")"</f>
        <v>(10,42)</v>
      </c>
      <c r="C460" s="4">
        <v>0.54635416666666659</v>
      </c>
      <c r="D460" s="4">
        <v>0.54652777777777772</v>
      </c>
      <c r="E460" s="2">
        <v>13.299999999999999</v>
      </c>
      <c r="F460" s="2">
        <v>13.389999999999999</v>
      </c>
      <c r="G460" s="1" t="s">
        <v>26</v>
      </c>
      <c r="H460" s="4">
        <f t="shared" ref="H460:H523" si="34">D460-C460</f>
        <v>1.7361111111113825E-4</v>
      </c>
      <c r="I460">
        <f>I459</f>
        <v>42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</row>
    <row r="461" spans="1:110" ht="14.25" customHeight="1" x14ac:dyDescent="0.3">
      <c r="A461" s="1">
        <f t="shared" si="20"/>
        <v>452</v>
      </c>
      <c r="B461" s="1" t="str">
        <f>"(9,"&amp;I461&amp;")"</f>
        <v>(9,42)</v>
      </c>
      <c r="C461" s="4">
        <v>0.54681712962962958</v>
      </c>
      <c r="D461" s="4">
        <v>0.54697916666666657</v>
      </c>
      <c r="E461" s="2">
        <v>13.299999999999999</v>
      </c>
      <c r="F461" s="2">
        <v>13.319999999999999</v>
      </c>
      <c r="G461" s="1" t="s">
        <v>26</v>
      </c>
      <c r="H461" s="4">
        <f t="shared" si="34"/>
        <v>1.6203703703698835E-4</v>
      </c>
      <c r="I461">
        <f t="shared" ref="I461:I469" si="35">I460</f>
        <v>42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</row>
    <row r="462" spans="1:110" ht="14.25" customHeight="1" x14ac:dyDescent="0.3">
      <c r="A462" s="1">
        <f t="shared" si="20"/>
        <v>453</v>
      </c>
      <c r="B462" s="1" t="str">
        <f>"(8,"&amp;I462&amp;")"</f>
        <v>(8,42)</v>
      </c>
      <c r="C462" s="4">
        <v>0.54722222222222217</v>
      </c>
      <c r="D462" s="4">
        <v>0.54737268518518511</v>
      </c>
      <c r="E462" s="2">
        <v>13.299999999999999</v>
      </c>
      <c r="F462" s="2">
        <v>13.399999999999999</v>
      </c>
      <c r="G462" s="1" t="s">
        <v>26</v>
      </c>
      <c r="H462" s="4">
        <f t="shared" si="34"/>
        <v>1.5046296296294948E-4</v>
      </c>
      <c r="I462">
        <f t="shared" si="35"/>
        <v>42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</row>
    <row r="463" spans="1:110" ht="14.25" customHeight="1" x14ac:dyDescent="0.3">
      <c r="A463" s="1">
        <f t="shared" si="20"/>
        <v>454</v>
      </c>
      <c r="B463" s="1" t="str">
        <f>"(7,"&amp;I463&amp;")"</f>
        <v>(7,42)</v>
      </c>
      <c r="C463" s="4">
        <v>0.54761574074074071</v>
      </c>
      <c r="D463" s="4">
        <v>0.54775462962962962</v>
      </c>
      <c r="E463" s="2">
        <v>13.299999999999999</v>
      </c>
      <c r="F463" s="2">
        <v>13.35</v>
      </c>
      <c r="G463" s="1" t="s">
        <v>26</v>
      </c>
      <c r="H463" s="4">
        <f t="shared" si="34"/>
        <v>1.388888888889106E-4</v>
      </c>
      <c r="I463">
        <f t="shared" si="35"/>
        <v>42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</row>
    <row r="464" spans="1:110" ht="14.25" customHeight="1" x14ac:dyDescent="0.3">
      <c r="A464" s="1">
        <f t="shared" si="20"/>
        <v>455</v>
      </c>
      <c r="B464" s="1" t="str">
        <f>"(6,"&amp;I464&amp;")"</f>
        <v>(6,42)</v>
      </c>
      <c r="C464" s="4">
        <v>0.54799768518518521</v>
      </c>
      <c r="D464" s="4">
        <v>0.54813657407407412</v>
      </c>
      <c r="E464" s="2">
        <v>13.299999999999999</v>
      </c>
      <c r="F464" s="2">
        <v>13.399999999999999</v>
      </c>
      <c r="G464" s="1" t="s">
        <v>26</v>
      </c>
      <c r="H464" s="4">
        <f t="shared" si="34"/>
        <v>1.388888888889106E-4</v>
      </c>
      <c r="I464">
        <f t="shared" si="35"/>
        <v>42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</row>
    <row r="465" spans="1:110" ht="14.25" customHeight="1" x14ac:dyDescent="0.3">
      <c r="A465" s="1">
        <f t="shared" si="20"/>
        <v>456</v>
      </c>
      <c r="B465" s="1" t="str">
        <f>"(5,"&amp;I465&amp;")"</f>
        <v>(5,42)</v>
      </c>
      <c r="C465" s="4">
        <v>0.54836805555555557</v>
      </c>
      <c r="D465" s="4">
        <v>0.54854166666666671</v>
      </c>
      <c r="E465" s="2">
        <v>13.299999999999999</v>
      </c>
      <c r="F465" s="2">
        <v>13.45</v>
      </c>
      <c r="G465" s="1" t="s">
        <v>26</v>
      </c>
      <c r="H465" s="4">
        <f t="shared" si="34"/>
        <v>1.7361111111113825E-4</v>
      </c>
      <c r="I465">
        <f t="shared" si="35"/>
        <v>42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</row>
    <row r="466" spans="1:110" ht="14.25" customHeight="1" x14ac:dyDescent="0.3">
      <c r="A466" s="1">
        <f t="shared" si="20"/>
        <v>457</v>
      </c>
      <c r="B466" s="1" t="str">
        <f>"(4,"&amp;I466&amp;")"</f>
        <v>(4,42)</v>
      </c>
      <c r="C466" s="4">
        <v>0.54880787037037038</v>
      </c>
      <c r="D466" s="4">
        <v>0.54894675925925929</v>
      </c>
      <c r="E466" s="2">
        <v>13.299999999999999</v>
      </c>
      <c r="F466" s="2">
        <v>13.339999999999998</v>
      </c>
      <c r="G466" s="1" t="s">
        <v>26</v>
      </c>
      <c r="H466" s="4">
        <f t="shared" si="34"/>
        <v>1.388888888889106E-4</v>
      </c>
      <c r="I466">
        <f t="shared" si="35"/>
        <v>42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</row>
    <row r="467" spans="1:110" ht="14.25" customHeight="1" x14ac:dyDescent="0.3">
      <c r="A467" s="1">
        <f t="shared" si="20"/>
        <v>458</v>
      </c>
      <c r="B467" s="1" t="str">
        <f>"(3,"&amp;I467&amp;")"</f>
        <v>(3,42)</v>
      </c>
      <c r="C467" s="4">
        <v>0.54917824074074073</v>
      </c>
      <c r="D467" s="4">
        <v>0.54932870370370368</v>
      </c>
      <c r="E467" s="2">
        <v>13.299999999999999</v>
      </c>
      <c r="F467" s="2">
        <v>13.329999999999998</v>
      </c>
      <c r="G467" s="1" t="s">
        <v>26</v>
      </c>
      <c r="H467" s="4">
        <f t="shared" si="34"/>
        <v>1.5046296296294948E-4</v>
      </c>
      <c r="I467">
        <f t="shared" si="35"/>
        <v>42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</row>
    <row r="468" spans="1:110" ht="14.25" customHeight="1" x14ac:dyDescent="0.3">
      <c r="A468" s="1">
        <f t="shared" si="20"/>
        <v>459</v>
      </c>
      <c r="B468" s="1" t="str">
        <f>"(2,"&amp;I468&amp;")"</f>
        <v>(2,42)</v>
      </c>
      <c r="C468" s="4">
        <v>0.54961805555555554</v>
      </c>
      <c r="D468" s="4">
        <v>0.54975694444444445</v>
      </c>
      <c r="E468" s="2">
        <v>13.299999999999999</v>
      </c>
      <c r="F468" s="2">
        <v>13.36</v>
      </c>
      <c r="G468" s="1" t="s">
        <v>26</v>
      </c>
      <c r="H468" s="4">
        <f t="shared" si="34"/>
        <v>1.388888888889106E-4</v>
      </c>
      <c r="I468">
        <f t="shared" si="35"/>
        <v>42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</row>
    <row r="469" spans="1:110" ht="14.25" customHeight="1" x14ac:dyDescent="0.3">
      <c r="A469" s="1">
        <f t="shared" si="20"/>
        <v>460</v>
      </c>
      <c r="B469" s="1" t="str">
        <f>"(1,"&amp;I469&amp;")"</f>
        <v>(1,42)</v>
      </c>
      <c r="C469" s="4">
        <v>0.55002314814814812</v>
      </c>
      <c r="D469" s="4">
        <v>0.55017361111111107</v>
      </c>
      <c r="E469" s="2">
        <v>13.299999999999999</v>
      </c>
      <c r="F469" s="2">
        <v>13.409999999999998</v>
      </c>
      <c r="G469" s="1" t="s">
        <v>26</v>
      </c>
      <c r="H469" s="4">
        <f t="shared" si="34"/>
        <v>1.5046296296294948E-4</v>
      </c>
      <c r="I469">
        <f t="shared" si="35"/>
        <v>42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</row>
    <row r="470" spans="1:110" ht="14.25" customHeight="1" x14ac:dyDescent="0.3">
      <c r="A470" s="1">
        <f t="shared" si="20"/>
        <v>461</v>
      </c>
      <c r="B470" s="1" t="str">
        <f>"(1,"&amp;I470&amp;")"</f>
        <v>(1,43)</v>
      </c>
      <c r="C470" s="4">
        <v>0.55041666666666667</v>
      </c>
      <c r="D470" s="4">
        <v>0.55056712962962961</v>
      </c>
      <c r="E470" s="2">
        <v>13.299999999999999</v>
      </c>
      <c r="F470" s="2">
        <v>13.45</v>
      </c>
      <c r="G470" s="1" t="s">
        <v>26</v>
      </c>
      <c r="H470" s="4">
        <f t="shared" si="34"/>
        <v>1.5046296296294948E-4</v>
      </c>
      <c r="I470">
        <f>I469+1</f>
        <v>43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</row>
    <row r="471" spans="1:110" ht="14.25" customHeight="1" x14ac:dyDescent="0.3">
      <c r="A471" s="1">
        <f t="shared" si="20"/>
        <v>462</v>
      </c>
      <c r="B471" s="1" t="str">
        <f>"(2,"&amp;I471&amp;")"</f>
        <v>(2,43)</v>
      </c>
      <c r="C471" s="4">
        <v>0.55082175925925925</v>
      </c>
      <c r="D471" s="4">
        <v>0.55096064814814816</v>
      </c>
      <c r="E471" s="2">
        <v>13.299999999999999</v>
      </c>
      <c r="F471" s="2">
        <v>13.379999999999999</v>
      </c>
      <c r="G471" s="1" t="s">
        <v>26</v>
      </c>
      <c r="H471" s="4">
        <f t="shared" si="34"/>
        <v>1.388888888889106E-4</v>
      </c>
      <c r="I471">
        <f>I470</f>
        <v>43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</row>
    <row r="472" spans="1:110" ht="14.25" customHeight="1" x14ac:dyDescent="0.3">
      <c r="A472" s="1">
        <f t="shared" si="20"/>
        <v>463</v>
      </c>
      <c r="B472" s="1" t="str">
        <f>"(3,"&amp;I472&amp;")"</f>
        <v>(3,43)</v>
      </c>
      <c r="C472" s="4">
        <v>0.5511921296296296</v>
      </c>
      <c r="D472" s="4">
        <v>0.55134259259259255</v>
      </c>
      <c r="E472" s="2">
        <v>13.299999999999999</v>
      </c>
      <c r="F472" s="2">
        <v>13.389999999999999</v>
      </c>
      <c r="G472" s="1" t="s">
        <v>26</v>
      </c>
      <c r="H472" s="4">
        <f t="shared" si="34"/>
        <v>1.5046296296294948E-4</v>
      </c>
      <c r="I472">
        <f t="shared" ref="I472:I480" si="36">I471</f>
        <v>43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</row>
    <row r="473" spans="1:110" ht="14.25" customHeight="1" x14ac:dyDescent="0.3">
      <c r="A473" s="1">
        <f t="shared" si="20"/>
        <v>464</v>
      </c>
      <c r="B473" s="1" t="str">
        <f>"(4,"&amp;I473&amp;")"</f>
        <v>(4,43)</v>
      </c>
      <c r="C473" s="4">
        <v>0.55159722222222218</v>
      </c>
      <c r="D473" s="4">
        <v>0.55173611111111109</v>
      </c>
      <c r="E473" s="2">
        <v>13.299999999999999</v>
      </c>
      <c r="F473" s="2">
        <v>13.409999999999998</v>
      </c>
      <c r="G473" s="1" t="s">
        <v>26</v>
      </c>
      <c r="H473" s="4">
        <f t="shared" si="34"/>
        <v>1.388888888889106E-4</v>
      </c>
      <c r="I473">
        <f t="shared" si="36"/>
        <v>43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</row>
    <row r="474" spans="1:110" ht="14.25" customHeight="1" x14ac:dyDescent="0.3">
      <c r="A474" s="1">
        <f t="shared" si="20"/>
        <v>465</v>
      </c>
      <c r="B474" s="1" t="str">
        <f>"(5,"&amp;I474&amp;")"</f>
        <v>(5,43)</v>
      </c>
      <c r="C474" s="4">
        <v>0.55202546296296295</v>
      </c>
      <c r="D474" s="4">
        <v>0.55218749999999994</v>
      </c>
      <c r="E474" s="2">
        <v>13.299999999999999</v>
      </c>
      <c r="F474" s="2">
        <v>13.35</v>
      </c>
      <c r="G474" s="1" t="s">
        <v>26</v>
      </c>
      <c r="H474" s="4">
        <f t="shared" si="34"/>
        <v>1.6203703703698835E-4</v>
      </c>
      <c r="I474">
        <f t="shared" si="36"/>
        <v>43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</row>
    <row r="475" spans="1:110" ht="14.25" customHeight="1" x14ac:dyDescent="0.3">
      <c r="A475" s="1">
        <f t="shared" si="20"/>
        <v>466</v>
      </c>
      <c r="B475" s="1" t="str">
        <f>"(6,"&amp;I475&amp;")"</f>
        <v>(6,43)</v>
      </c>
      <c r="C475" s="4">
        <v>0.55243055555555554</v>
      </c>
      <c r="D475" s="4">
        <v>0.55260416666666667</v>
      </c>
      <c r="E475" s="2">
        <v>13.299999999999999</v>
      </c>
      <c r="F475" s="2">
        <v>13.35</v>
      </c>
      <c r="G475" s="1" t="s">
        <v>26</v>
      </c>
      <c r="H475" s="4">
        <f t="shared" si="34"/>
        <v>1.7361111111113825E-4</v>
      </c>
      <c r="I475">
        <f t="shared" si="36"/>
        <v>43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</row>
    <row r="476" spans="1:110" ht="14.25" customHeight="1" x14ac:dyDescent="0.3">
      <c r="A476" s="1">
        <f t="shared" si="20"/>
        <v>467</v>
      </c>
      <c r="B476" s="1" t="str">
        <f>"(7,"&amp;I476&amp;")"</f>
        <v>(7,43)</v>
      </c>
      <c r="C476" s="4">
        <v>0.55289351851851853</v>
      </c>
      <c r="D476" s="4">
        <v>0.55303240740740744</v>
      </c>
      <c r="E476" s="2">
        <v>13.299999999999999</v>
      </c>
      <c r="F476" s="2">
        <v>13.329999999999998</v>
      </c>
      <c r="G476" s="1" t="s">
        <v>26</v>
      </c>
      <c r="H476" s="4">
        <f t="shared" si="34"/>
        <v>1.388888888889106E-4</v>
      </c>
      <c r="I476">
        <f t="shared" si="36"/>
        <v>43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</row>
    <row r="477" spans="1:110" ht="14.25" customHeight="1" x14ac:dyDescent="0.3">
      <c r="A477" s="1">
        <f t="shared" si="20"/>
        <v>468</v>
      </c>
      <c r="B477" s="1" t="str">
        <f>"(8,"&amp;I477&amp;")"</f>
        <v>(8,43)</v>
      </c>
      <c r="C477" s="4">
        <v>0.55327546296296304</v>
      </c>
      <c r="D477" s="4">
        <v>0.55343750000000003</v>
      </c>
      <c r="E477" s="2">
        <v>13.299999999999999</v>
      </c>
      <c r="F477" s="2">
        <v>13.409999999999998</v>
      </c>
      <c r="G477" s="1" t="s">
        <v>26</v>
      </c>
      <c r="H477" s="4">
        <f t="shared" si="34"/>
        <v>1.6203703703698835E-4</v>
      </c>
      <c r="I477">
        <f t="shared" si="36"/>
        <v>43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</row>
    <row r="478" spans="1:110" ht="14.25" customHeight="1" x14ac:dyDescent="0.3">
      <c r="A478" s="1">
        <f t="shared" si="20"/>
        <v>469</v>
      </c>
      <c r="B478" s="1" t="str">
        <f>"(9,"&amp;I478&amp;")"</f>
        <v>(9,43)</v>
      </c>
      <c r="C478" s="4">
        <v>0.55371527777777785</v>
      </c>
      <c r="D478" s="4">
        <v>0.55387731481481484</v>
      </c>
      <c r="E478" s="2">
        <v>13.299999999999999</v>
      </c>
      <c r="F478" s="2">
        <v>13.339999999999998</v>
      </c>
      <c r="G478" s="1" t="s">
        <v>26</v>
      </c>
      <c r="H478" s="4">
        <f t="shared" si="34"/>
        <v>1.6203703703698835E-4</v>
      </c>
      <c r="I478">
        <f t="shared" si="36"/>
        <v>43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</row>
    <row r="479" spans="1:110" ht="14.25" customHeight="1" x14ac:dyDescent="0.3">
      <c r="A479" s="1">
        <f t="shared" si="20"/>
        <v>470</v>
      </c>
      <c r="B479" s="1" t="str">
        <f>"(10,"&amp;I479&amp;")"</f>
        <v>(10,43)</v>
      </c>
      <c r="C479" s="4">
        <v>0.55414351851851851</v>
      </c>
      <c r="D479" s="4">
        <v>0.55431712962962965</v>
      </c>
      <c r="E479" s="2">
        <v>13.299999999999999</v>
      </c>
      <c r="F479" s="2">
        <v>13.309999999999999</v>
      </c>
      <c r="G479" s="1" t="s">
        <v>26</v>
      </c>
      <c r="H479" s="4">
        <f t="shared" si="34"/>
        <v>1.7361111111113825E-4</v>
      </c>
      <c r="I479">
        <f t="shared" si="36"/>
        <v>43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</row>
    <row r="480" spans="1:110" ht="14.25" customHeight="1" x14ac:dyDescent="0.3">
      <c r="A480" s="1">
        <f t="shared" si="20"/>
        <v>471</v>
      </c>
      <c r="B480" s="1" t="str">
        <f>"(11,"&amp;I480&amp;")"</f>
        <v>(11,43)</v>
      </c>
      <c r="C480" s="4">
        <v>0.55457175925925928</v>
      </c>
      <c r="D480" s="4">
        <v>0.55473379629629627</v>
      </c>
      <c r="E480" s="2">
        <v>13.299999999999999</v>
      </c>
      <c r="F480" s="2">
        <v>13.37</v>
      </c>
      <c r="G480" s="1" t="s">
        <v>26</v>
      </c>
      <c r="H480" s="4">
        <f t="shared" si="34"/>
        <v>1.6203703703698835E-4</v>
      </c>
      <c r="I480">
        <f t="shared" si="36"/>
        <v>43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</row>
    <row r="481" spans="1:110" ht="14.25" customHeight="1" x14ac:dyDescent="0.3">
      <c r="A481" s="1">
        <f t="shared" si="20"/>
        <v>472</v>
      </c>
      <c r="B481" s="1" t="str">
        <f>"(11,"&amp;I481&amp;")"</f>
        <v>(11,44)</v>
      </c>
      <c r="C481" s="4">
        <v>0.55496527777777771</v>
      </c>
      <c r="D481" s="4">
        <v>0.55513888888888885</v>
      </c>
      <c r="E481" s="2">
        <v>13.299999999999999</v>
      </c>
      <c r="F481" s="2">
        <v>13.319999999999999</v>
      </c>
      <c r="G481" s="1" t="s">
        <v>26</v>
      </c>
      <c r="H481" s="4">
        <f t="shared" si="34"/>
        <v>1.7361111111113825E-4</v>
      </c>
      <c r="I481">
        <f>I480+1</f>
        <v>44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</row>
    <row r="482" spans="1:110" ht="14.25" customHeight="1" x14ac:dyDescent="0.3">
      <c r="A482" s="1">
        <f t="shared" si="20"/>
        <v>473</v>
      </c>
      <c r="B482" s="1" t="str">
        <f>"(10,"&amp;I482&amp;")"</f>
        <v>(10,44)</v>
      </c>
      <c r="C482" s="4">
        <v>0.55542824074074071</v>
      </c>
      <c r="D482" s="4">
        <v>0.55560185185185185</v>
      </c>
      <c r="E482" s="2">
        <v>13.299999999999999</v>
      </c>
      <c r="F482" s="2">
        <v>13.37</v>
      </c>
      <c r="G482" s="1" t="s">
        <v>26</v>
      </c>
      <c r="H482" s="4">
        <f t="shared" si="34"/>
        <v>1.7361111111113825E-4</v>
      </c>
      <c r="I482">
        <f>I481</f>
        <v>44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</row>
    <row r="483" spans="1:110" ht="14.25" customHeight="1" x14ac:dyDescent="0.3">
      <c r="A483" s="1">
        <f t="shared" si="20"/>
        <v>474</v>
      </c>
      <c r="B483" s="1" t="str">
        <f>"(9,"&amp;I483&amp;")"</f>
        <v>(9,44)</v>
      </c>
      <c r="C483" s="4">
        <v>0.55585648148148148</v>
      </c>
      <c r="D483" s="4">
        <v>0.55603009259259262</v>
      </c>
      <c r="E483" s="2">
        <v>13.299999999999999</v>
      </c>
      <c r="F483" s="2">
        <v>13.37</v>
      </c>
      <c r="G483" s="1" t="s">
        <v>26</v>
      </c>
      <c r="H483" s="4">
        <f t="shared" si="34"/>
        <v>1.7361111111113825E-4</v>
      </c>
      <c r="I483">
        <f t="shared" ref="I483:I491" si="37">I482</f>
        <v>44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</row>
    <row r="484" spans="1:110" ht="14.25" customHeight="1" x14ac:dyDescent="0.3">
      <c r="A484" s="1">
        <f t="shared" si="20"/>
        <v>475</v>
      </c>
      <c r="B484" s="1" t="str">
        <f>"(8,"&amp;I484&amp;")"</f>
        <v>(8,44)</v>
      </c>
      <c r="C484" s="4">
        <v>0.55626157407407406</v>
      </c>
      <c r="D484" s="4">
        <v>0.5564351851851852</v>
      </c>
      <c r="E484" s="2">
        <v>13.299999999999999</v>
      </c>
      <c r="F484" s="2">
        <v>13.43</v>
      </c>
      <c r="G484" s="1" t="s">
        <v>26</v>
      </c>
      <c r="H484" s="4">
        <f t="shared" si="34"/>
        <v>1.7361111111113825E-4</v>
      </c>
      <c r="I484">
        <f t="shared" si="37"/>
        <v>44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</row>
    <row r="485" spans="1:110" ht="14.25" customHeight="1" x14ac:dyDescent="0.3">
      <c r="A485" s="1">
        <f t="shared" si="20"/>
        <v>476</v>
      </c>
      <c r="B485" s="1" t="str">
        <f>"(7,"&amp;I485&amp;")"</f>
        <v>(7,44)</v>
      </c>
      <c r="C485" s="4">
        <v>0.55667824074074079</v>
      </c>
      <c r="D485" s="4">
        <v>0.55682870370370374</v>
      </c>
      <c r="E485" s="2">
        <v>13.299999999999999</v>
      </c>
      <c r="F485" s="2">
        <v>13.36</v>
      </c>
      <c r="G485" s="1" t="s">
        <v>26</v>
      </c>
      <c r="H485" s="4">
        <f t="shared" si="34"/>
        <v>1.5046296296294948E-4</v>
      </c>
      <c r="I485">
        <f t="shared" si="37"/>
        <v>44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</row>
    <row r="486" spans="1:110" ht="14.25" customHeight="1" x14ac:dyDescent="0.3">
      <c r="A486" s="1">
        <f t="shared" si="20"/>
        <v>477</v>
      </c>
      <c r="B486" s="1" t="str">
        <f>"(6,"&amp;I486&amp;")"</f>
        <v>(6,44)</v>
      </c>
      <c r="C486" s="4">
        <v>0.55709490740740741</v>
      </c>
      <c r="D486" s="4">
        <v>0.5572569444444444</v>
      </c>
      <c r="E486" s="2">
        <v>13.299999999999999</v>
      </c>
      <c r="F486" s="2">
        <v>13.319999999999999</v>
      </c>
      <c r="G486" s="1" t="s">
        <v>26</v>
      </c>
      <c r="H486" s="4">
        <f t="shared" si="34"/>
        <v>1.6203703703698835E-4</v>
      </c>
      <c r="I486">
        <f t="shared" si="37"/>
        <v>44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</row>
    <row r="487" spans="1:110" ht="14.25" customHeight="1" x14ac:dyDescent="0.3">
      <c r="A487" s="1">
        <f t="shared" si="20"/>
        <v>478</v>
      </c>
      <c r="B487" s="1" t="str">
        <f>"(5,"&amp;I487&amp;")"</f>
        <v>(5,44)</v>
      </c>
      <c r="C487" s="4">
        <v>0.55752314814814807</v>
      </c>
      <c r="D487" s="4">
        <v>0.55768518518518506</v>
      </c>
      <c r="E487" s="2">
        <v>13.299999999999999</v>
      </c>
      <c r="F487" s="2">
        <v>13.329999999999998</v>
      </c>
      <c r="G487" s="1" t="s">
        <v>26</v>
      </c>
      <c r="H487" s="4">
        <f t="shared" si="34"/>
        <v>1.6203703703698835E-4</v>
      </c>
      <c r="I487">
        <f t="shared" si="37"/>
        <v>44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</row>
    <row r="488" spans="1:110" ht="14.25" customHeight="1" x14ac:dyDescent="0.3">
      <c r="A488" s="1">
        <f t="shared" si="20"/>
        <v>479</v>
      </c>
      <c r="B488" s="1" t="str">
        <f>"(4,"&amp;I488&amp;")"</f>
        <v>(4,44)</v>
      </c>
      <c r="C488" s="4">
        <v>0.55795138888888873</v>
      </c>
      <c r="D488" s="4">
        <v>0.55810185185185168</v>
      </c>
      <c r="E488" s="2">
        <v>13.299999999999999</v>
      </c>
      <c r="F488" s="2">
        <v>13.409999999999998</v>
      </c>
      <c r="G488" s="1" t="s">
        <v>26</v>
      </c>
      <c r="H488" s="4">
        <f t="shared" si="34"/>
        <v>1.5046296296294948E-4</v>
      </c>
      <c r="I488">
        <f t="shared" si="37"/>
        <v>44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</row>
    <row r="489" spans="1:110" ht="14.25" customHeight="1" x14ac:dyDescent="0.3">
      <c r="A489" s="1">
        <f t="shared" si="20"/>
        <v>480</v>
      </c>
      <c r="B489" s="1" t="str">
        <f>"(3,"&amp;I489&amp;")"</f>
        <v>(3,44)</v>
      </c>
      <c r="C489" s="4">
        <v>0.55836805555555535</v>
      </c>
      <c r="D489" s="4">
        <v>0.5585185185185183</v>
      </c>
      <c r="E489" s="2">
        <v>13.299999999999999</v>
      </c>
      <c r="F489" s="2">
        <v>13.319999999999999</v>
      </c>
      <c r="G489" s="1" t="s">
        <v>26</v>
      </c>
      <c r="H489" s="4">
        <f t="shared" si="34"/>
        <v>1.5046296296294948E-4</v>
      </c>
      <c r="I489">
        <f t="shared" si="37"/>
        <v>44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</row>
    <row r="490" spans="1:110" ht="14.25" customHeight="1" x14ac:dyDescent="0.3">
      <c r="A490" s="1">
        <f t="shared" si="20"/>
        <v>481</v>
      </c>
      <c r="B490" s="1" t="str">
        <f>"(2,"&amp;I490&amp;")"</f>
        <v>(2,44)</v>
      </c>
      <c r="C490" s="4">
        <v>0.5587615740740739</v>
      </c>
      <c r="D490" s="4">
        <v>0.55893518518518504</v>
      </c>
      <c r="E490" s="2">
        <v>13.299999999999999</v>
      </c>
      <c r="F490" s="2">
        <v>13.389999999999999</v>
      </c>
      <c r="G490" s="1" t="s">
        <v>26</v>
      </c>
      <c r="H490" s="4">
        <f t="shared" si="34"/>
        <v>1.7361111111113825E-4</v>
      </c>
      <c r="I490">
        <f t="shared" si="37"/>
        <v>44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</row>
    <row r="491" spans="1:110" ht="14.25" customHeight="1" x14ac:dyDescent="0.3">
      <c r="A491" s="1">
        <f t="shared" si="20"/>
        <v>482</v>
      </c>
      <c r="B491" s="1" t="str">
        <f>"(1,"&amp;I491&amp;")"</f>
        <v>(1,44)</v>
      </c>
      <c r="C491" s="4">
        <v>0.55917824074074063</v>
      </c>
      <c r="D491" s="4">
        <v>0.55934027777777762</v>
      </c>
      <c r="E491" s="2">
        <v>13.299999999999999</v>
      </c>
      <c r="F491" s="2">
        <v>13.399999999999999</v>
      </c>
      <c r="G491" s="1" t="s">
        <v>26</v>
      </c>
      <c r="H491" s="4">
        <f t="shared" si="34"/>
        <v>1.6203703703698835E-4</v>
      </c>
      <c r="I491">
        <f t="shared" si="37"/>
        <v>44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</row>
    <row r="492" spans="1:110" ht="14.25" customHeight="1" x14ac:dyDescent="0.3">
      <c r="A492" s="1">
        <f t="shared" si="20"/>
        <v>483</v>
      </c>
      <c r="B492" s="1" t="str">
        <f>"(1,"&amp;I492&amp;")"</f>
        <v>(1,45)</v>
      </c>
      <c r="C492" s="4">
        <v>0.55962962962962948</v>
      </c>
      <c r="D492" s="4">
        <v>0.55978009259259243</v>
      </c>
      <c r="E492" s="2">
        <v>13.299999999999999</v>
      </c>
      <c r="F492" s="2">
        <v>13.339999999999998</v>
      </c>
      <c r="G492" s="1" t="s">
        <v>26</v>
      </c>
      <c r="H492" s="4">
        <f t="shared" si="34"/>
        <v>1.5046296296294948E-4</v>
      </c>
      <c r="I492">
        <f>I491+1</f>
        <v>45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</row>
    <row r="493" spans="1:110" ht="14.25" customHeight="1" x14ac:dyDescent="0.3">
      <c r="A493" s="1">
        <f t="shared" si="20"/>
        <v>484</v>
      </c>
      <c r="B493" s="1" t="str">
        <f>"(2,"&amp;I493&amp;")"</f>
        <v>(2,45)</v>
      </c>
      <c r="C493" s="4">
        <v>0.56005787037037025</v>
      </c>
      <c r="D493" s="4">
        <v>0.56023148148148139</v>
      </c>
      <c r="E493" s="2">
        <v>13.299999999999999</v>
      </c>
      <c r="F493" s="2">
        <v>13.45</v>
      </c>
      <c r="G493" s="1" t="s">
        <v>26</v>
      </c>
      <c r="H493" s="4">
        <f t="shared" si="34"/>
        <v>1.7361111111113825E-4</v>
      </c>
      <c r="I493">
        <f>I492</f>
        <v>45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</row>
    <row r="494" spans="1:110" ht="14.25" customHeight="1" x14ac:dyDescent="0.3">
      <c r="A494" s="1">
        <f t="shared" si="20"/>
        <v>485</v>
      </c>
      <c r="B494" s="1" t="str">
        <f>"(3,"&amp;I494&amp;")"</f>
        <v>(3,45)</v>
      </c>
      <c r="C494" s="4">
        <v>0.56049768518518506</v>
      </c>
      <c r="D494" s="4">
        <v>0.56063657407407397</v>
      </c>
      <c r="E494" s="2">
        <v>13.299999999999999</v>
      </c>
      <c r="F494" s="2">
        <v>13.37</v>
      </c>
      <c r="G494" s="1" t="s">
        <v>26</v>
      </c>
      <c r="H494" s="4">
        <f t="shared" si="34"/>
        <v>1.388888888889106E-4</v>
      </c>
      <c r="I494">
        <f t="shared" ref="I494:I502" si="38">I493</f>
        <v>45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</row>
    <row r="495" spans="1:110" ht="14.25" customHeight="1" x14ac:dyDescent="0.3">
      <c r="A495" s="1">
        <f t="shared" si="20"/>
        <v>486</v>
      </c>
      <c r="B495" s="1" t="str">
        <f>"(4,"&amp;I495&amp;")"</f>
        <v>(4,45)</v>
      </c>
      <c r="C495" s="4">
        <v>0.5608912037037036</v>
      </c>
      <c r="D495" s="4">
        <v>0.56106481481481474</v>
      </c>
      <c r="E495" s="2">
        <v>13.299999999999999</v>
      </c>
      <c r="F495" s="2">
        <v>13.36</v>
      </c>
      <c r="G495" s="1" t="s">
        <v>26</v>
      </c>
      <c r="H495" s="4">
        <f t="shared" si="34"/>
        <v>1.7361111111113825E-4</v>
      </c>
      <c r="I495">
        <f t="shared" si="38"/>
        <v>45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</row>
    <row r="496" spans="1:110" ht="14.25" customHeight="1" x14ac:dyDescent="0.3">
      <c r="A496" s="1">
        <f t="shared" si="20"/>
        <v>487</v>
      </c>
      <c r="B496" s="1" t="str">
        <f>"(5,"&amp;I496&amp;")"</f>
        <v>(5,45)</v>
      </c>
      <c r="C496" s="4">
        <v>0.5613541666666666</v>
      </c>
      <c r="D496" s="4">
        <v>0.56151620370370359</v>
      </c>
      <c r="E496" s="2">
        <v>13.299999999999999</v>
      </c>
      <c r="F496" s="2">
        <v>13.409999999999998</v>
      </c>
      <c r="G496" s="1" t="s">
        <v>26</v>
      </c>
      <c r="H496" s="4">
        <f t="shared" si="34"/>
        <v>1.6203703703698835E-4</v>
      </c>
      <c r="I496">
        <f t="shared" si="38"/>
        <v>45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</row>
    <row r="497" spans="1:110" ht="14.25" customHeight="1" x14ac:dyDescent="0.3">
      <c r="A497" s="1">
        <f t="shared" si="20"/>
        <v>488</v>
      </c>
      <c r="B497" s="1" t="str">
        <f>"(6,"&amp;I497&amp;")"</f>
        <v>(6,45)</v>
      </c>
      <c r="C497" s="4">
        <v>0.56177083333333322</v>
      </c>
      <c r="D497" s="4">
        <v>0.56190972222222213</v>
      </c>
      <c r="E497" s="2">
        <v>13.299999999999999</v>
      </c>
      <c r="F497" s="2">
        <v>13.379999999999999</v>
      </c>
      <c r="G497" s="1" t="s">
        <v>26</v>
      </c>
      <c r="H497" s="4">
        <f t="shared" si="34"/>
        <v>1.388888888889106E-4</v>
      </c>
      <c r="I497">
        <f t="shared" si="38"/>
        <v>45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</row>
    <row r="498" spans="1:110" ht="14.25" customHeight="1" x14ac:dyDescent="0.3">
      <c r="A498" s="1">
        <f t="shared" si="20"/>
        <v>489</v>
      </c>
      <c r="B498" s="1" t="str">
        <f>"(7,"&amp;I498&amp;")"</f>
        <v>(7,45)</v>
      </c>
      <c r="C498" s="4">
        <v>0.56214120370370357</v>
      </c>
      <c r="D498" s="4">
        <v>0.56231481481481471</v>
      </c>
      <c r="E498" s="2">
        <v>13.299999999999999</v>
      </c>
      <c r="F498" s="2">
        <v>13.35</v>
      </c>
      <c r="G498" s="1" t="s">
        <v>26</v>
      </c>
      <c r="H498" s="4">
        <f t="shared" si="34"/>
        <v>1.7361111111113825E-4</v>
      </c>
      <c r="I498">
        <f t="shared" si="38"/>
        <v>45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</row>
    <row r="499" spans="1:110" ht="14.25" customHeight="1" x14ac:dyDescent="0.3">
      <c r="A499" s="1">
        <f t="shared" si="20"/>
        <v>490</v>
      </c>
      <c r="B499" s="1" t="str">
        <f>"(8,"&amp;I499&amp;")"</f>
        <v>(8,45)</v>
      </c>
      <c r="C499" s="4">
        <v>0.56259259259259253</v>
      </c>
      <c r="D499" s="4">
        <v>0.56276620370370367</v>
      </c>
      <c r="E499" s="2">
        <v>13.299999999999999</v>
      </c>
      <c r="F499" s="2">
        <v>13.36</v>
      </c>
      <c r="G499" s="1" t="s">
        <v>26</v>
      </c>
      <c r="H499" s="4">
        <f t="shared" si="34"/>
        <v>1.7361111111113825E-4</v>
      </c>
      <c r="I499">
        <f t="shared" si="38"/>
        <v>45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</row>
    <row r="500" spans="1:110" ht="14.25" customHeight="1" x14ac:dyDescent="0.3">
      <c r="A500" s="1">
        <f t="shared" si="20"/>
        <v>491</v>
      </c>
      <c r="B500" s="1" t="str">
        <f>"(9,"&amp;I500&amp;")"</f>
        <v>(9,45)</v>
      </c>
      <c r="C500" s="4">
        <v>0.56304398148148149</v>
      </c>
      <c r="D500" s="4">
        <v>0.56319444444444444</v>
      </c>
      <c r="E500" s="2">
        <v>13.299999999999999</v>
      </c>
      <c r="F500" s="2">
        <v>13.35</v>
      </c>
      <c r="G500" s="1" t="s">
        <v>26</v>
      </c>
      <c r="H500" s="4">
        <f t="shared" si="34"/>
        <v>1.5046296296294948E-4</v>
      </c>
      <c r="I500">
        <f t="shared" si="38"/>
        <v>45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</row>
    <row r="501" spans="1:110" ht="14.25" customHeight="1" x14ac:dyDescent="0.3">
      <c r="A501" s="1">
        <f t="shared" si="20"/>
        <v>492</v>
      </c>
      <c r="B501" s="1" t="str">
        <f>"(10,"&amp;I501&amp;")"</f>
        <v>(10,45)</v>
      </c>
      <c r="C501" s="4">
        <v>0.56342592592592589</v>
      </c>
      <c r="D501" s="4">
        <v>0.56358796296296287</v>
      </c>
      <c r="E501" s="2">
        <v>13.299999999999999</v>
      </c>
      <c r="F501" s="2">
        <v>13.329999999999998</v>
      </c>
      <c r="G501" s="1" t="s">
        <v>26</v>
      </c>
      <c r="H501" s="4">
        <f t="shared" si="34"/>
        <v>1.6203703703698835E-4</v>
      </c>
      <c r="I501">
        <f t="shared" si="38"/>
        <v>45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</row>
    <row r="502" spans="1:110" ht="14.25" customHeight="1" x14ac:dyDescent="0.3">
      <c r="A502" s="1">
        <f t="shared" si="20"/>
        <v>493</v>
      </c>
      <c r="B502" s="1" t="str">
        <f>"(11,"&amp;I502&amp;")"</f>
        <v>(11,45)</v>
      </c>
      <c r="C502" s="4">
        <v>0.56384259259259251</v>
      </c>
      <c r="D502" s="4">
        <v>0.56400462962962949</v>
      </c>
      <c r="E502" s="2">
        <v>13.299999999999999</v>
      </c>
      <c r="F502" s="2">
        <v>13.399999999999999</v>
      </c>
      <c r="G502" s="1" t="s">
        <v>26</v>
      </c>
      <c r="H502" s="4">
        <f t="shared" si="34"/>
        <v>1.6203703703698835E-4</v>
      </c>
      <c r="I502">
        <f t="shared" si="38"/>
        <v>45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</row>
    <row r="503" spans="1:110" ht="14.25" customHeight="1" x14ac:dyDescent="0.3">
      <c r="A503" s="1">
        <f t="shared" si="20"/>
        <v>494</v>
      </c>
      <c r="B503" s="1" t="str">
        <f>"(11,"&amp;I503&amp;")"</f>
        <v>(11,46)</v>
      </c>
      <c r="C503" s="4">
        <v>0.56425925925925913</v>
      </c>
      <c r="D503" s="4">
        <v>0.56443287037037027</v>
      </c>
      <c r="E503" s="2">
        <v>13.299999999999999</v>
      </c>
      <c r="F503" s="2">
        <v>13.37</v>
      </c>
      <c r="G503" s="1" t="s">
        <v>26</v>
      </c>
      <c r="H503" s="4">
        <f t="shared" si="34"/>
        <v>1.7361111111113825E-4</v>
      </c>
      <c r="I503">
        <f>I502+1</f>
        <v>46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</row>
    <row r="504" spans="1:110" ht="14.25" customHeight="1" x14ac:dyDescent="0.3">
      <c r="A504" s="1">
        <f t="shared" si="20"/>
        <v>495</v>
      </c>
      <c r="B504" s="1" t="str">
        <f>"(10,"&amp;I504&amp;")"</f>
        <v>(10,46)</v>
      </c>
      <c r="C504" s="4">
        <v>0.56471064814814809</v>
      </c>
      <c r="D504" s="4">
        <v>0.56488425925925922</v>
      </c>
      <c r="E504" s="2">
        <v>13.299999999999999</v>
      </c>
      <c r="F504" s="2">
        <v>13.389999999999999</v>
      </c>
      <c r="G504" s="1" t="s">
        <v>26</v>
      </c>
      <c r="H504" s="4">
        <f t="shared" si="34"/>
        <v>1.7361111111113825E-4</v>
      </c>
      <c r="I504">
        <f>I503</f>
        <v>46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</row>
    <row r="505" spans="1:110" ht="14.25" customHeight="1" x14ac:dyDescent="0.3">
      <c r="A505" s="1">
        <f t="shared" si="20"/>
        <v>496</v>
      </c>
      <c r="B505" s="1" t="str">
        <f>"(9,"&amp;I505&amp;")"</f>
        <v>(9,46)</v>
      </c>
      <c r="C505" s="4">
        <v>0.56516203703703705</v>
      </c>
      <c r="D505" s="4">
        <v>0.56532407407407403</v>
      </c>
      <c r="E505" s="2">
        <v>13.299999999999999</v>
      </c>
      <c r="F505" s="2">
        <v>13.36</v>
      </c>
      <c r="G505" s="1" t="s">
        <v>26</v>
      </c>
      <c r="H505" s="4">
        <f t="shared" si="34"/>
        <v>1.6203703703698835E-4</v>
      </c>
      <c r="I505">
        <f t="shared" ref="I505:I513" si="39">I504</f>
        <v>46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</row>
    <row r="506" spans="1:110" ht="14.25" customHeight="1" x14ac:dyDescent="0.3">
      <c r="A506" s="1">
        <f t="shared" si="20"/>
        <v>497</v>
      </c>
      <c r="B506" s="1" t="str">
        <f>"(8,"&amp;I506&amp;")"</f>
        <v>(8,46)</v>
      </c>
      <c r="C506" s="4">
        <v>0.56559027777777771</v>
      </c>
      <c r="D506" s="4">
        <v>0.56575231481481469</v>
      </c>
      <c r="E506" s="2">
        <v>13.299999999999999</v>
      </c>
      <c r="F506" s="2">
        <v>13.379999999999999</v>
      </c>
      <c r="G506" s="1" t="s">
        <v>26</v>
      </c>
      <c r="H506" s="4">
        <f t="shared" si="34"/>
        <v>1.6203703703698835E-4</v>
      </c>
      <c r="I506">
        <f t="shared" si="39"/>
        <v>46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</row>
    <row r="507" spans="1:110" ht="14.25" customHeight="1" x14ac:dyDescent="0.3">
      <c r="A507" s="1">
        <f t="shared" si="20"/>
        <v>498</v>
      </c>
      <c r="B507" s="1" t="str">
        <f>"(7,"&amp;I507&amp;")"</f>
        <v>(7,46)</v>
      </c>
      <c r="C507" s="4">
        <v>0.56604166666666655</v>
      </c>
      <c r="D507" s="4">
        <v>0.5661921296296295</v>
      </c>
      <c r="E507" s="2">
        <v>13.299999999999999</v>
      </c>
      <c r="F507" s="2">
        <v>13.309999999999999</v>
      </c>
      <c r="G507" s="1" t="s">
        <v>26</v>
      </c>
      <c r="H507" s="4">
        <f t="shared" si="34"/>
        <v>1.5046296296294948E-4</v>
      </c>
      <c r="I507">
        <f t="shared" si="39"/>
        <v>46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</row>
    <row r="508" spans="1:110" ht="14.25" customHeight="1" x14ac:dyDescent="0.3">
      <c r="A508" s="1">
        <f t="shared" si="20"/>
        <v>499</v>
      </c>
      <c r="B508" s="1" t="str">
        <f>"(6,"&amp;I508&amp;")"</f>
        <v>(6,46)</v>
      </c>
      <c r="C508" s="4">
        <v>0.56645833333333317</v>
      </c>
      <c r="D508" s="4">
        <v>0.56663194444444431</v>
      </c>
      <c r="E508" s="2">
        <v>13.299999999999999</v>
      </c>
      <c r="F508" s="2">
        <v>13.44</v>
      </c>
      <c r="G508" s="1" t="s">
        <v>26</v>
      </c>
      <c r="H508" s="4">
        <f t="shared" si="34"/>
        <v>1.7361111111113825E-4</v>
      </c>
      <c r="I508">
        <f t="shared" si="39"/>
        <v>46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</row>
    <row r="509" spans="1:110" ht="14.25" customHeight="1" x14ac:dyDescent="0.3">
      <c r="A509" s="1">
        <f t="shared" si="20"/>
        <v>500</v>
      </c>
      <c r="B509" s="1" t="str">
        <f>"(5,"&amp;I509&amp;")"</f>
        <v>(5,46)</v>
      </c>
      <c r="C509" s="4">
        <v>0.56688657407407395</v>
      </c>
      <c r="D509" s="4">
        <v>0.56706018518518508</v>
      </c>
      <c r="E509" s="2">
        <v>13.299999999999999</v>
      </c>
      <c r="F509" s="2">
        <v>13.399999999999999</v>
      </c>
      <c r="G509" s="1" t="s">
        <v>26</v>
      </c>
      <c r="H509" s="4">
        <f t="shared" si="34"/>
        <v>1.7361111111113825E-4</v>
      </c>
      <c r="I509">
        <f t="shared" si="39"/>
        <v>46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</row>
    <row r="510" spans="1:110" ht="14.25" customHeight="1" x14ac:dyDescent="0.3">
      <c r="A510" s="1">
        <f t="shared" ref="A510:A710" si="40">A509+1</f>
        <v>501</v>
      </c>
      <c r="B510" s="1" t="str">
        <f>"(4,"&amp;I510&amp;")"</f>
        <v>(4,46)</v>
      </c>
      <c r="C510" s="4">
        <v>0.56733796296296291</v>
      </c>
      <c r="D510" s="4">
        <v>0.56751157407407404</v>
      </c>
      <c r="E510" s="2">
        <v>13.299999999999999</v>
      </c>
      <c r="F510" s="2">
        <v>13.389999999999999</v>
      </c>
      <c r="G510" s="1" t="s">
        <v>26</v>
      </c>
      <c r="H510" s="4">
        <f t="shared" si="34"/>
        <v>1.7361111111113825E-4</v>
      </c>
      <c r="I510">
        <f t="shared" si="39"/>
        <v>46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</row>
    <row r="511" spans="1:110" ht="14.25" customHeight="1" x14ac:dyDescent="0.3">
      <c r="A511" s="1">
        <f t="shared" si="40"/>
        <v>502</v>
      </c>
      <c r="B511" s="1" t="str">
        <f>"(3,"&amp;I511&amp;")"</f>
        <v>(3,46)</v>
      </c>
      <c r="C511" s="4">
        <v>0.56776620370370368</v>
      </c>
      <c r="D511" s="4">
        <v>0.56793981481481481</v>
      </c>
      <c r="E511" s="2">
        <v>13.299999999999999</v>
      </c>
      <c r="F511" s="2">
        <v>13.44</v>
      </c>
      <c r="G511" s="1" t="s">
        <v>26</v>
      </c>
      <c r="H511" s="4">
        <f t="shared" si="34"/>
        <v>1.7361111111113825E-4</v>
      </c>
      <c r="I511">
        <f t="shared" si="39"/>
        <v>46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</row>
    <row r="512" spans="1:110" ht="14.25" customHeight="1" x14ac:dyDescent="0.3">
      <c r="A512" s="1">
        <f t="shared" si="40"/>
        <v>503</v>
      </c>
      <c r="B512" s="1" t="str">
        <f>"(2,"&amp;I512&amp;")"</f>
        <v>(2,46)</v>
      </c>
      <c r="C512" s="4">
        <v>0.56817129629629626</v>
      </c>
      <c r="D512" s="4">
        <v>0.5683449074074074</v>
      </c>
      <c r="E512" s="2">
        <v>13.299999999999999</v>
      </c>
      <c r="F512" s="2">
        <v>13.37</v>
      </c>
      <c r="G512" s="1" t="s">
        <v>26</v>
      </c>
      <c r="H512" s="4">
        <f t="shared" si="34"/>
        <v>1.7361111111113825E-4</v>
      </c>
      <c r="I512">
        <f t="shared" si="39"/>
        <v>46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</row>
    <row r="513" spans="1:110" ht="14.25" customHeight="1" x14ac:dyDescent="0.3">
      <c r="A513" s="1">
        <f t="shared" si="40"/>
        <v>504</v>
      </c>
      <c r="B513" s="1" t="str">
        <f>"(1,"&amp;I513&amp;")"</f>
        <v>(1,46)</v>
      </c>
      <c r="C513" s="4">
        <v>0.56859953703703703</v>
      </c>
      <c r="D513" s="4">
        <v>0.56874999999999998</v>
      </c>
      <c r="E513" s="2">
        <v>13.299999999999999</v>
      </c>
      <c r="F513" s="2">
        <v>13.45</v>
      </c>
      <c r="G513" s="1" t="s">
        <v>26</v>
      </c>
      <c r="H513" s="4">
        <f t="shared" si="34"/>
        <v>1.5046296296294948E-4</v>
      </c>
      <c r="I513">
        <f t="shared" si="39"/>
        <v>46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</row>
    <row r="514" spans="1:110" ht="14.25" customHeight="1" x14ac:dyDescent="0.3">
      <c r="A514" s="1">
        <f t="shared" si="40"/>
        <v>505</v>
      </c>
      <c r="B514" s="1" t="str">
        <f>"(1,"&amp;I514&amp;")"</f>
        <v>(1,47)</v>
      </c>
      <c r="C514" s="4">
        <v>0.56900462962962961</v>
      </c>
      <c r="D514" s="4">
        <v>0.56917824074074075</v>
      </c>
      <c r="E514" s="2">
        <v>13.299999999999999</v>
      </c>
      <c r="F514" s="2">
        <v>13.409999999999998</v>
      </c>
      <c r="G514" s="1" t="s">
        <v>26</v>
      </c>
      <c r="H514" s="4">
        <f t="shared" si="34"/>
        <v>1.7361111111113825E-4</v>
      </c>
      <c r="I514">
        <f>I513+1</f>
        <v>47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</row>
    <row r="515" spans="1:110" ht="14.25" customHeight="1" x14ac:dyDescent="0.3">
      <c r="A515" s="1">
        <f t="shared" si="40"/>
        <v>506</v>
      </c>
      <c r="B515" s="1" t="str">
        <f>"(2,"&amp;I515&amp;")"</f>
        <v>(2,47)</v>
      </c>
      <c r="C515" s="4">
        <v>0.56943287037037038</v>
      </c>
      <c r="D515" s="4">
        <v>0.56958333333333333</v>
      </c>
      <c r="E515" s="2">
        <v>13.299999999999999</v>
      </c>
      <c r="F515" s="2">
        <v>13.339999999999998</v>
      </c>
      <c r="G515" s="1" t="s">
        <v>26</v>
      </c>
      <c r="H515" s="4">
        <f t="shared" si="34"/>
        <v>1.5046296296294948E-4</v>
      </c>
      <c r="I515">
        <f>I514</f>
        <v>47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</row>
    <row r="516" spans="1:110" ht="14.25" customHeight="1" x14ac:dyDescent="0.3">
      <c r="A516" s="1">
        <f t="shared" si="40"/>
        <v>507</v>
      </c>
      <c r="B516" s="1" t="str">
        <f>"(3,"&amp;I516&amp;")"</f>
        <v>(3,47)</v>
      </c>
      <c r="C516" s="4">
        <v>0.569849537037037</v>
      </c>
      <c r="D516" s="4">
        <v>0.56998842592592591</v>
      </c>
      <c r="E516" s="2">
        <v>13.299999999999999</v>
      </c>
      <c r="F516" s="2">
        <v>13.379999999999999</v>
      </c>
      <c r="G516" s="1" t="s">
        <v>26</v>
      </c>
      <c r="H516" s="4">
        <f t="shared" si="34"/>
        <v>1.388888888889106E-4</v>
      </c>
      <c r="I516">
        <f t="shared" ref="I516:I524" si="41">I515</f>
        <v>47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</row>
    <row r="517" spans="1:110" ht="14.25" customHeight="1" x14ac:dyDescent="0.3">
      <c r="A517" s="1">
        <f t="shared" si="40"/>
        <v>508</v>
      </c>
      <c r="B517" s="1" t="str">
        <f>"(4,"&amp;I517&amp;")"</f>
        <v>(4,47)</v>
      </c>
      <c r="C517" s="4">
        <v>0.57021990740740736</v>
      </c>
      <c r="D517" s="4">
        <v>0.57038194444444434</v>
      </c>
      <c r="E517" s="2">
        <v>13.299999999999999</v>
      </c>
      <c r="F517" s="2">
        <v>13.44</v>
      </c>
      <c r="G517" s="1" t="s">
        <v>26</v>
      </c>
      <c r="H517" s="4">
        <f t="shared" si="34"/>
        <v>1.6203703703698835E-4</v>
      </c>
      <c r="I517">
        <f t="shared" si="41"/>
        <v>47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</row>
    <row r="518" spans="1:110" ht="14.25" customHeight="1" x14ac:dyDescent="0.3">
      <c r="A518" s="1">
        <f t="shared" si="40"/>
        <v>509</v>
      </c>
      <c r="B518" s="1" t="str">
        <f>"(5,"&amp;I518&amp;")"</f>
        <v>(5,47)</v>
      </c>
      <c r="C518" s="4">
        <v>0.57062499999999994</v>
      </c>
      <c r="D518" s="4">
        <v>0.57076388888888885</v>
      </c>
      <c r="E518" s="2">
        <v>13.299999999999999</v>
      </c>
      <c r="F518" s="2">
        <v>13.36</v>
      </c>
      <c r="G518" s="1" t="s">
        <v>26</v>
      </c>
      <c r="H518" s="4">
        <f t="shared" si="34"/>
        <v>1.388888888889106E-4</v>
      </c>
      <c r="I518">
        <f t="shared" si="41"/>
        <v>47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</row>
    <row r="519" spans="1:110" ht="14.25" customHeight="1" x14ac:dyDescent="0.3">
      <c r="A519" s="1">
        <f t="shared" si="40"/>
        <v>510</v>
      </c>
      <c r="B519" s="1" t="str">
        <f>"(6,"&amp;I519&amp;")"</f>
        <v>(6,47)</v>
      </c>
      <c r="C519" s="4">
        <v>0.57100694444444444</v>
      </c>
      <c r="D519" s="4">
        <v>0.57114583333333335</v>
      </c>
      <c r="E519" s="2">
        <v>13.299999999999999</v>
      </c>
      <c r="F519" s="2">
        <v>13.409999999999998</v>
      </c>
      <c r="G519" s="1" t="s">
        <v>26</v>
      </c>
      <c r="H519" s="4">
        <f t="shared" si="34"/>
        <v>1.388888888889106E-4</v>
      </c>
      <c r="I519">
        <f t="shared" si="41"/>
        <v>47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</row>
    <row r="520" spans="1:110" ht="14.25" customHeight="1" x14ac:dyDescent="0.3">
      <c r="A520" s="1">
        <f t="shared" si="40"/>
        <v>511</v>
      </c>
      <c r="B520" s="1" t="str">
        <f>"(7,"&amp;I520&amp;")"</f>
        <v>(7,47)</v>
      </c>
      <c r="C520" s="4">
        <v>0.57142361111111117</v>
      </c>
      <c r="D520" s="4">
        <v>0.57159722222222231</v>
      </c>
      <c r="E520" s="2">
        <v>13.299999999999999</v>
      </c>
      <c r="F520" s="2">
        <v>13.35</v>
      </c>
      <c r="G520" s="1" t="s">
        <v>26</v>
      </c>
      <c r="H520" s="4">
        <f t="shared" si="34"/>
        <v>1.7361111111113825E-4</v>
      </c>
      <c r="I520">
        <f t="shared" si="41"/>
        <v>47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</row>
    <row r="521" spans="1:110" ht="14.25" customHeight="1" x14ac:dyDescent="0.3">
      <c r="A521" s="1">
        <f t="shared" si="40"/>
        <v>512</v>
      </c>
      <c r="B521" s="1" t="str">
        <f>"(8,"&amp;I521&amp;")"</f>
        <v>(8,47)</v>
      </c>
      <c r="C521" s="4">
        <v>0.57188657407407417</v>
      </c>
      <c r="D521" s="4">
        <v>0.57206018518518531</v>
      </c>
      <c r="E521" s="2">
        <v>13.299999999999999</v>
      </c>
      <c r="F521" s="2">
        <v>13.35</v>
      </c>
      <c r="G521" s="1" t="s">
        <v>26</v>
      </c>
      <c r="H521" s="4">
        <f t="shared" si="34"/>
        <v>1.7361111111113825E-4</v>
      </c>
      <c r="I521">
        <f t="shared" si="41"/>
        <v>47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</row>
    <row r="522" spans="1:110" ht="14.25" customHeight="1" x14ac:dyDescent="0.3">
      <c r="A522" s="1">
        <f t="shared" si="40"/>
        <v>513</v>
      </c>
      <c r="B522" s="1" t="str">
        <f>"(9,"&amp;I522&amp;")"</f>
        <v>(9,47)</v>
      </c>
      <c r="C522" s="4">
        <v>0.57234953703703717</v>
      </c>
      <c r="D522" s="4">
        <v>0.57250000000000012</v>
      </c>
      <c r="E522" s="2">
        <v>13.299999999999999</v>
      </c>
      <c r="F522" s="2">
        <v>13.309999999999999</v>
      </c>
      <c r="G522" s="1" t="s">
        <v>26</v>
      </c>
      <c r="H522" s="4">
        <f t="shared" si="34"/>
        <v>1.5046296296294948E-4</v>
      </c>
      <c r="I522">
        <f t="shared" si="41"/>
        <v>47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</row>
    <row r="523" spans="1:110" ht="14.25" customHeight="1" x14ac:dyDescent="0.3">
      <c r="A523" s="1">
        <f t="shared" si="40"/>
        <v>514</v>
      </c>
      <c r="B523" s="1" t="str">
        <f>"(10,"&amp;I523&amp;")"</f>
        <v>(10,47)</v>
      </c>
      <c r="C523" s="4">
        <v>0.57276620370370379</v>
      </c>
      <c r="D523" s="4">
        <v>0.5729050925925927</v>
      </c>
      <c r="E523" s="2">
        <v>13.299999999999999</v>
      </c>
      <c r="F523" s="2">
        <v>13.399999999999999</v>
      </c>
      <c r="G523" s="1" t="s">
        <v>26</v>
      </c>
      <c r="H523" s="4">
        <f t="shared" si="34"/>
        <v>1.388888888889106E-4</v>
      </c>
      <c r="I523">
        <f t="shared" si="41"/>
        <v>47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</row>
    <row r="524" spans="1:110" ht="14.25" customHeight="1" x14ac:dyDescent="0.3">
      <c r="A524" s="1">
        <f t="shared" si="40"/>
        <v>515</v>
      </c>
      <c r="B524" s="1" t="str">
        <f>"(11,"&amp;I524&amp;")"</f>
        <v>(11,47)</v>
      </c>
      <c r="C524" s="4">
        <v>0.57317129629629637</v>
      </c>
      <c r="D524" s="4">
        <v>0.57332175925925932</v>
      </c>
      <c r="E524" s="2">
        <v>13.299999999999999</v>
      </c>
      <c r="F524" s="2">
        <v>13.389999999999999</v>
      </c>
      <c r="G524" s="1" t="s">
        <v>26</v>
      </c>
      <c r="H524" s="4">
        <f t="shared" ref="H524:H587" si="42">D524-C524</f>
        <v>1.5046296296294948E-4</v>
      </c>
      <c r="I524">
        <f t="shared" si="41"/>
        <v>47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</row>
    <row r="525" spans="1:110" ht="14.25" customHeight="1" x14ac:dyDescent="0.3">
      <c r="A525" s="1">
        <f t="shared" si="40"/>
        <v>516</v>
      </c>
      <c r="B525" s="1" t="str">
        <f>"(11,"&amp;I525&amp;")"</f>
        <v>(11,48)</v>
      </c>
      <c r="C525" s="4">
        <v>0.57358796296296299</v>
      </c>
      <c r="D525" s="4">
        <v>0.57376157407407413</v>
      </c>
      <c r="E525" s="2">
        <v>13.299999999999999</v>
      </c>
      <c r="F525" s="2">
        <v>13.319999999999999</v>
      </c>
      <c r="G525" s="1" t="s">
        <v>26</v>
      </c>
      <c r="H525" s="4">
        <f t="shared" si="42"/>
        <v>1.7361111111113825E-4</v>
      </c>
      <c r="I525">
        <f>I524+1</f>
        <v>48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</row>
    <row r="526" spans="1:110" ht="14.25" customHeight="1" x14ac:dyDescent="0.3">
      <c r="A526" s="1">
        <f t="shared" si="40"/>
        <v>517</v>
      </c>
      <c r="B526" s="1" t="str">
        <f>"(10,"&amp;I526&amp;")"</f>
        <v>(10,48)</v>
      </c>
      <c r="C526" s="4">
        <v>0.57403935185185195</v>
      </c>
      <c r="D526" s="4">
        <v>0.57417824074074086</v>
      </c>
      <c r="E526" s="2">
        <v>13.299999999999999</v>
      </c>
      <c r="F526" s="2">
        <v>13.309999999999999</v>
      </c>
      <c r="G526" s="1" t="s">
        <v>26</v>
      </c>
      <c r="H526" s="4">
        <f t="shared" si="42"/>
        <v>1.388888888889106E-4</v>
      </c>
      <c r="I526">
        <f>I525</f>
        <v>48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</row>
    <row r="527" spans="1:110" ht="14.25" customHeight="1" x14ac:dyDescent="0.3">
      <c r="A527" s="1">
        <f t="shared" si="40"/>
        <v>518</v>
      </c>
      <c r="B527" s="1" t="str">
        <f>"(9,"&amp;I527&amp;")"</f>
        <v>(9,48)</v>
      </c>
      <c r="C527" s="4">
        <v>0.57445601851851869</v>
      </c>
      <c r="D527" s="4">
        <v>0.5745949074074076</v>
      </c>
      <c r="E527" s="2">
        <v>13.299999999999999</v>
      </c>
      <c r="F527" s="2">
        <v>13.309999999999999</v>
      </c>
      <c r="G527" s="1" t="s">
        <v>26</v>
      </c>
      <c r="H527" s="4">
        <f t="shared" si="42"/>
        <v>1.388888888889106E-4</v>
      </c>
      <c r="I527">
        <f t="shared" ref="I527:I535" si="43">I526</f>
        <v>48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</row>
    <row r="528" spans="1:110" ht="14.25" customHeight="1" x14ac:dyDescent="0.3">
      <c r="A528" s="1">
        <f t="shared" si="40"/>
        <v>519</v>
      </c>
      <c r="B528" s="1" t="str">
        <f>"(8,"&amp;I528&amp;")"</f>
        <v>(8,48)</v>
      </c>
      <c r="C528" s="4">
        <v>0.57484953703703723</v>
      </c>
      <c r="D528" s="4">
        <v>0.57501157407407422</v>
      </c>
      <c r="E528" s="2">
        <v>13.299999999999999</v>
      </c>
      <c r="F528" s="2">
        <v>13.399999999999999</v>
      </c>
      <c r="G528" s="1" t="s">
        <v>26</v>
      </c>
      <c r="H528" s="4">
        <f t="shared" si="42"/>
        <v>1.6203703703698835E-4</v>
      </c>
      <c r="I528">
        <f t="shared" si="43"/>
        <v>48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</row>
    <row r="529" spans="1:110" ht="14.25" customHeight="1" x14ac:dyDescent="0.3">
      <c r="A529" s="1">
        <f t="shared" si="40"/>
        <v>520</v>
      </c>
      <c r="B529" s="1" t="str">
        <f>"(7,"&amp;I529&amp;")"</f>
        <v>(7,48)</v>
      </c>
      <c r="C529" s="4">
        <v>0.57525462962962981</v>
      </c>
      <c r="D529" s="4">
        <v>0.57542824074074095</v>
      </c>
      <c r="E529" s="2">
        <v>13.299999999999999</v>
      </c>
      <c r="F529" s="2">
        <v>13.309999999999999</v>
      </c>
      <c r="G529" s="1" t="s">
        <v>26</v>
      </c>
      <c r="H529" s="4">
        <f t="shared" si="42"/>
        <v>1.7361111111113825E-4</v>
      </c>
      <c r="I529">
        <f t="shared" si="43"/>
        <v>48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</row>
    <row r="530" spans="1:110" ht="14.25" customHeight="1" x14ac:dyDescent="0.3">
      <c r="A530" s="1">
        <f t="shared" si="40"/>
        <v>521</v>
      </c>
      <c r="B530" s="1" t="str">
        <f>"(6,"&amp;I530&amp;")"</f>
        <v>(6,48)</v>
      </c>
      <c r="C530" s="4">
        <v>0.57565972222222239</v>
      </c>
      <c r="D530" s="4">
        <v>0.57583333333333353</v>
      </c>
      <c r="E530" s="2">
        <v>13.299999999999999</v>
      </c>
      <c r="F530" s="2">
        <v>13.45</v>
      </c>
      <c r="G530" s="1" t="s">
        <v>26</v>
      </c>
      <c r="H530" s="4">
        <f t="shared" si="42"/>
        <v>1.7361111111113825E-4</v>
      </c>
      <c r="I530">
        <f t="shared" si="43"/>
        <v>48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</row>
    <row r="531" spans="1:110" ht="14.25" customHeight="1" x14ac:dyDescent="0.3">
      <c r="A531" s="1">
        <f t="shared" si="40"/>
        <v>522</v>
      </c>
      <c r="B531" s="1" t="str">
        <f>"(5,"&amp;I531&amp;")"</f>
        <v>(5,48)</v>
      </c>
      <c r="C531" s="4">
        <v>0.57612268518518539</v>
      </c>
      <c r="D531" s="4">
        <v>0.57629629629629653</v>
      </c>
      <c r="E531" s="2">
        <v>13.299999999999999</v>
      </c>
      <c r="F531" s="2">
        <v>13.389999999999999</v>
      </c>
      <c r="G531" s="1" t="s">
        <v>26</v>
      </c>
      <c r="H531" s="4">
        <f t="shared" si="42"/>
        <v>1.7361111111113825E-4</v>
      </c>
      <c r="I531">
        <f t="shared" si="43"/>
        <v>48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</row>
    <row r="532" spans="1:110" ht="14.25" customHeight="1" x14ac:dyDescent="0.3">
      <c r="A532" s="1">
        <f t="shared" si="40"/>
        <v>523</v>
      </c>
      <c r="B532" s="1" t="str">
        <f>"(4,"&amp;I532&amp;")"</f>
        <v>(4,48)</v>
      </c>
      <c r="C532" s="4">
        <v>0.57655092592592616</v>
      </c>
      <c r="D532" s="4">
        <v>0.57671296296296315</v>
      </c>
      <c r="E532" s="2">
        <v>13.299999999999999</v>
      </c>
      <c r="F532" s="2">
        <v>13.309999999999999</v>
      </c>
      <c r="G532" s="1" t="s">
        <v>26</v>
      </c>
      <c r="H532" s="4">
        <f t="shared" si="42"/>
        <v>1.6203703703698835E-4</v>
      </c>
      <c r="I532">
        <f t="shared" si="43"/>
        <v>48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</row>
    <row r="533" spans="1:110" ht="14.25" customHeight="1" x14ac:dyDescent="0.3">
      <c r="A533" s="1">
        <f t="shared" si="40"/>
        <v>524</v>
      </c>
      <c r="B533" s="1" t="str">
        <f>"(3,"&amp;I533&amp;")"</f>
        <v>(3,48)</v>
      </c>
      <c r="C533" s="4">
        <v>0.57694444444444459</v>
      </c>
      <c r="D533" s="4">
        <v>0.5770833333333335</v>
      </c>
      <c r="E533" s="2">
        <v>13.299999999999999</v>
      </c>
      <c r="F533" s="2">
        <v>13.45</v>
      </c>
      <c r="G533" s="1" t="s">
        <v>26</v>
      </c>
      <c r="H533" s="4">
        <f t="shared" si="42"/>
        <v>1.388888888889106E-4</v>
      </c>
      <c r="I533">
        <f t="shared" si="43"/>
        <v>48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</row>
    <row r="534" spans="1:110" ht="14.25" customHeight="1" x14ac:dyDescent="0.3">
      <c r="A534" s="1">
        <f t="shared" si="40"/>
        <v>525</v>
      </c>
      <c r="B534" s="1" t="str">
        <f>"(2,"&amp;I534&amp;")"</f>
        <v>(2,48)</v>
      </c>
      <c r="C534" s="4">
        <v>0.57733796296296314</v>
      </c>
      <c r="D534" s="4">
        <v>0.57750000000000012</v>
      </c>
      <c r="E534" s="2">
        <v>13.299999999999999</v>
      </c>
      <c r="F534" s="2">
        <v>13.35</v>
      </c>
      <c r="G534" s="1" t="s">
        <v>26</v>
      </c>
      <c r="H534" s="4">
        <f t="shared" si="42"/>
        <v>1.6203703703698835E-4</v>
      </c>
      <c r="I534">
        <f t="shared" si="43"/>
        <v>48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</row>
    <row r="535" spans="1:110" ht="14.25" customHeight="1" x14ac:dyDescent="0.3">
      <c r="A535" s="1">
        <f t="shared" si="40"/>
        <v>526</v>
      </c>
      <c r="B535" s="1" t="str">
        <f>"(1,"&amp;I535&amp;")"</f>
        <v>(1,48)</v>
      </c>
      <c r="C535" s="4">
        <v>0.57775462962962976</v>
      </c>
      <c r="D535" s="4">
        <v>0.57790509259259271</v>
      </c>
      <c r="E535" s="2">
        <v>13.299999999999999</v>
      </c>
      <c r="F535" s="2">
        <v>13.329999999999998</v>
      </c>
      <c r="G535" s="1" t="s">
        <v>26</v>
      </c>
      <c r="H535" s="4">
        <f t="shared" si="42"/>
        <v>1.5046296296294948E-4</v>
      </c>
      <c r="I535">
        <f t="shared" si="43"/>
        <v>48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</row>
    <row r="536" spans="1:110" ht="14.25" customHeight="1" x14ac:dyDescent="0.3">
      <c r="A536" s="1">
        <f t="shared" si="40"/>
        <v>527</v>
      </c>
      <c r="B536" s="1" t="str">
        <f>"(1,"&amp;I536&amp;")"</f>
        <v>(1,49)</v>
      </c>
      <c r="C536" s="4">
        <v>0.57818287037037053</v>
      </c>
      <c r="D536" s="4">
        <v>0.57833333333333348</v>
      </c>
      <c r="E536" s="2">
        <v>13.299999999999999</v>
      </c>
      <c r="F536" s="2">
        <v>13.319999999999999</v>
      </c>
      <c r="G536" s="1" t="s">
        <v>26</v>
      </c>
      <c r="H536" s="4">
        <f t="shared" si="42"/>
        <v>1.5046296296294948E-4</v>
      </c>
      <c r="I536">
        <f>I535+1</f>
        <v>49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</row>
    <row r="537" spans="1:110" ht="14.25" customHeight="1" x14ac:dyDescent="0.3">
      <c r="A537" s="1">
        <f t="shared" si="40"/>
        <v>528</v>
      </c>
      <c r="B537" s="1" t="str">
        <f>"(2,"&amp;I537&amp;")"</f>
        <v>(2,49)</v>
      </c>
      <c r="C537" s="4">
        <v>0.5786111111111113</v>
      </c>
      <c r="D537" s="4">
        <v>0.57877314814814829</v>
      </c>
      <c r="E537" s="2">
        <v>13.299999999999999</v>
      </c>
      <c r="F537" s="2">
        <v>13.37</v>
      </c>
      <c r="G537" s="1" t="s">
        <v>26</v>
      </c>
      <c r="H537" s="4">
        <f t="shared" si="42"/>
        <v>1.6203703703698835E-4</v>
      </c>
      <c r="I537">
        <f>I536</f>
        <v>49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</row>
    <row r="538" spans="1:110" ht="14.25" customHeight="1" x14ac:dyDescent="0.3">
      <c r="A538" s="1">
        <f t="shared" si="40"/>
        <v>529</v>
      </c>
      <c r="B538" s="1" t="str">
        <f>"(3,"&amp;I538&amp;")"</f>
        <v>(3,49)</v>
      </c>
      <c r="C538" s="4">
        <v>0.57906250000000015</v>
      </c>
      <c r="D538" s="4">
        <v>0.57922453703703713</v>
      </c>
      <c r="E538" s="2">
        <v>13.299999999999999</v>
      </c>
      <c r="F538" s="2">
        <v>13.309999999999999</v>
      </c>
      <c r="G538" s="1" t="s">
        <v>26</v>
      </c>
      <c r="H538" s="4">
        <f t="shared" si="42"/>
        <v>1.6203703703698835E-4</v>
      </c>
      <c r="I538">
        <f t="shared" ref="I538:I546" si="44">I537</f>
        <v>49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</row>
    <row r="539" spans="1:110" ht="14.25" customHeight="1" x14ac:dyDescent="0.3">
      <c r="A539" s="1">
        <f t="shared" si="40"/>
        <v>530</v>
      </c>
      <c r="B539" s="1" t="str">
        <f>"(4,"&amp;I539&amp;")"</f>
        <v>(4,49)</v>
      </c>
      <c r="C539" s="4">
        <v>0.57949074074074081</v>
      </c>
      <c r="D539" s="4">
        <v>0.57965277777777779</v>
      </c>
      <c r="E539" s="2">
        <v>13.299999999999999</v>
      </c>
      <c r="F539" s="2">
        <v>13.419999999999998</v>
      </c>
      <c r="G539" s="1" t="s">
        <v>26</v>
      </c>
      <c r="H539" s="4">
        <f t="shared" si="42"/>
        <v>1.6203703703698835E-4</v>
      </c>
      <c r="I539">
        <f t="shared" si="44"/>
        <v>49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</row>
    <row r="540" spans="1:110" ht="14.25" customHeight="1" x14ac:dyDescent="0.3">
      <c r="A540" s="1">
        <f t="shared" si="40"/>
        <v>531</v>
      </c>
      <c r="B540" s="1" t="str">
        <f>"(5,"&amp;I540&amp;")"</f>
        <v>(5,49)</v>
      </c>
      <c r="C540" s="4">
        <v>0.57993055555555562</v>
      </c>
      <c r="D540" s="4">
        <v>0.58006944444444453</v>
      </c>
      <c r="E540" s="2">
        <v>13.299999999999999</v>
      </c>
      <c r="F540" s="2">
        <v>13.389999999999999</v>
      </c>
      <c r="G540" s="1" t="s">
        <v>26</v>
      </c>
      <c r="H540" s="4">
        <f t="shared" si="42"/>
        <v>1.388888888889106E-4</v>
      </c>
      <c r="I540">
        <f t="shared" si="44"/>
        <v>49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</row>
    <row r="541" spans="1:110" ht="14.25" customHeight="1" x14ac:dyDescent="0.3">
      <c r="A541" s="1">
        <f t="shared" si="40"/>
        <v>532</v>
      </c>
      <c r="B541" s="1" t="str">
        <f>"(6,"&amp;I541&amp;")"</f>
        <v>(6,49)</v>
      </c>
      <c r="C541" s="4">
        <v>0.58034722222222235</v>
      </c>
      <c r="D541" s="4">
        <v>0.58052083333333349</v>
      </c>
      <c r="E541" s="2">
        <v>13.299999999999999</v>
      </c>
      <c r="F541" s="2">
        <v>13.389999999999999</v>
      </c>
      <c r="G541" s="1" t="s">
        <v>26</v>
      </c>
      <c r="H541" s="4">
        <f t="shared" si="42"/>
        <v>1.7361111111113825E-4</v>
      </c>
      <c r="I541">
        <f t="shared" si="44"/>
        <v>49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</row>
    <row r="542" spans="1:110" ht="14.25" customHeight="1" x14ac:dyDescent="0.3">
      <c r="A542" s="1">
        <f t="shared" si="40"/>
        <v>533</v>
      </c>
      <c r="B542" s="1" t="str">
        <f>"(7,"&amp;I542&amp;")"</f>
        <v>(7,49)</v>
      </c>
      <c r="C542" s="4">
        <v>0.58076388888888908</v>
      </c>
      <c r="D542" s="4">
        <v>0.58091435185185203</v>
      </c>
      <c r="E542" s="2">
        <v>13.299999999999999</v>
      </c>
      <c r="F542" s="2">
        <v>13.329999999999998</v>
      </c>
      <c r="G542" s="1" t="s">
        <v>26</v>
      </c>
      <c r="H542" s="4">
        <f t="shared" si="42"/>
        <v>1.5046296296294948E-4</v>
      </c>
      <c r="I542">
        <f t="shared" si="44"/>
        <v>49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</row>
    <row r="543" spans="1:110" ht="14.25" customHeight="1" x14ac:dyDescent="0.3">
      <c r="A543" s="1">
        <f t="shared" si="40"/>
        <v>534</v>
      </c>
      <c r="B543" s="1" t="str">
        <f>"(8,"&amp;I543&amp;")"</f>
        <v>(8,49)</v>
      </c>
      <c r="C543" s="4">
        <v>0.58119212962962985</v>
      </c>
      <c r="D543" s="4">
        <v>0.58136574074074099</v>
      </c>
      <c r="E543" s="2">
        <v>13.299999999999999</v>
      </c>
      <c r="F543" s="2">
        <v>13.409999999999998</v>
      </c>
      <c r="G543" s="1" t="s">
        <v>26</v>
      </c>
      <c r="H543" s="4">
        <f t="shared" si="42"/>
        <v>1.7361111111113825E-4</v>
      </c>
      <c r="I543">
        <f t="shared" si="44"/>
        <v>49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</row>
    <row r="544" spans="1:110" ht="14.25" customHeight="1" x14ac:dyDescent="0.3">
      <c r="A544" s="1">
        <f t="shared" si="40"/>
        <v>535</v>
      </c>
      <c r="B544" s="1" t="str">
        <f>"(9,"&amp;I544&amp;")"</f>
        <v>(9,49)</v>
      </c>
      <c r="C544" s="4">
        <v>0.58163194444444466</v>
      </c>
      <c r="D544" s="4">
        <v>0.58177083333333357</v>
      </c>
      <c r="E544" s="2">
        <v>13.299999999999999</v>
      </c>
      <c r="F544" s="2">
        <v>13.419999999999998</v>
      </c>
      <c r="G544" s="1" t="s">
        <v>26</v>
      </c>
      <c r="H544" s="4">
        <f t="shared" si="42"/>
        <v>1.388888888889106E-4</v>
      </c>
      <c r="I544">
        <f t="shared" si="44"/>
        <v>49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</row>
    <row r="545" spans="1:110" ht="14.25" customHeight="1" x14ac:dyDescent="0.3">
      <c r="A545" s="1">
        <f t="shared" si="40"/>
        <v>536</v>
      </c>
      <c r="B545" s="1" t="str">
        <f>"(10,"&amp;I545&amp;")"</f>
        <v>(10,49)</v>
      </c>
      <c r="C545" s="4">
        <v>0.58203703703703724</v>
      </c>
      <c r="D545" s="4">
        <v>0.58218750000000019</v>
      </c>
      <c r="E545" s="2">
        <v>13.299999999999999</v>
      </c>
      <c r="F545" s="2">
        <v>13.37</v>
      </c>
      <c r="G545" s="1" t="s">
        <v>26</v>
      </c>
      <c r="H545" s="4">
        <f t="shared" si="42"/>
        <v>1.5046296296294948E-4</v>
      </c>
      <c r="I545">
        <f t="shared" si="44"/>
        <v>49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</row>
    <row r="546" spans="1:110" ht="14.25" customHeight="1" x14ac:dyDescent="0.3">
      <c r="A546" s="1">
        <f t="shared" si="40"/>
        <v>537</v>
      </c>
      <c r="B546" s="1" t="str">
        <f>"(11,"&amp;I546&amp;")"</f>
        <v>(11,49)</v>
      </c>
      <c r="C546" s="4">
        <v>0.58244212962962982</v>
      </c>
      <c r="D546" s="4">
        <v>0.58258101851851873</v>
      </c>
      <c r="E546" s="2">
        <v>13.299999999999999</v>
      </c>
      <c r="F546" s="2">
        <v>13.36</v>
      </c>
      <c r="G546" s="1" t="s">
        <v>26</v>
      </c>
      <c r="H546" s="4">
        <f t="shared" si="42"/>
        <v>1.388888888889106E-4</v>
      </c>
      <c r="I546">
        <f t="shared" si="44"/>
        <v>49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</row>
    <row r="547" spans="1:110" ht="14.25" customHeight="1" x14ac:dyDescent="0.3">
      <c r="A547" s="1">
        <f t="shared" si="40"/>
        <v>538</v>
      </c>
      <c r="B547" s="1" t="str">
        <f>"(11,"&amp;I547&amp;")"</f>
        <v>(11,50)</v>
      </c>
      <c r="C547" s="4">
        <v>0.58284722222222241</v>
      </c>
      <c r="D547" s="4">
        <v>0.58299768518518535</v>
      </c>
      <c r="E547" s="2">
        <v>13.299999999999999</v>
      </c>
      <c r="F547" s="2">
        <v>13.319999999999999</v>
      </c>
      <c r="G547" s="1" t="s">
        <v>26</v>
      </c>
      <c r="H547" s="4">
        <f t="shared" si="42"/>
        <v>1.5046296296294948E-4</v>
      </c>
      <c r="I547">
        <f>I546+1</f>
        <v>50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</row>
    <row r="548" spans="1:110" ht="14.25" customHeight="1" x14ac:dyDescent="0.3">
      <c r="A548" s="1">
        <f t="shared" si="40"/>
        <v>539</v>
      </c>
      <c r="B548" s="1" t="str">
        <f>"(10,"&amp;I548&amp;")"</f>
        <v>(10,50)</v>
      </c>
      <c r="C548" s="4">
        <v>0.58324074074074095</v>
      </c>
      <c r="D548" s="4">
        <v>0.58340277777777794</v>
      </c>
      <c r="E548" s="2">
        <v>13.299999999999999</v>
      </c>
      <c r="F548" s="2">
        <v>13.45</v>
      </c>
      <c r="G548" s="1" t="s">
        <v>26</v>
      </c>
      <c r="H548" s="4">
        <f t="shared" si="42"/>
        <v>1.6203703703698835E-4</v>
      </c>
      <c r="I548">
        <f>I547</f>
        <v>50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</row>
    <row r="549" spans="1:110" ht="14.25" customHeight="1" x14ac:dyDescent="0.3">
      <c r="A549" s="1">
        <f t="shared" si="40"/>
        <v>540</v>
      </c>
      <c r="B549" s="1" t="str">
        <f>"(9,"&amp;I549&amp;")"</f>
        <v>(9,50)</v>
      </c>
      <c r="C549" s="4">
        <v>0.5836921296296298</v>
      </c>
      <c r="D549" s="4">
        <v>0.58384259259259275</v>
      </c>
      <c r="E549" s="2">
        <v>13.299999999999999</v>
      </c>
      <c r="F549" s="2">
        <v>13.43</v>
      </c>
      <c r="G549" s="1" t="s">
        <v>26</v>
      </c>
      <c r="H549" s="4">
        <f t="shared" si="42"/>
        <v>1.5046296296294948E-4</v>
      </c>
      <c r="I549">
        <f t="shared" ref="I549:I557" si="45">I548</f>
        <v>50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</row>
    <row r="550" spans="1:110" ht="14.25" customHeight="1" x14ac:dyDescent="0.3">
      <c r="A550" s="1">
        <f t="shared" si="40"/>
        <v>541</v>
      </c>
      <c r="B550" s="1" t="str">
        <f>"(8,"&amp;I550&amp;")"</f>
        <v>(8,50)</v>
      </c>
      <c r="C550" s="4">
        <v>0.58412037037037057</v>
      </c>
      <c r="D550" s="4">
        <v>0.58425925925925948</v>
      </c>
      <c r="E550" s="2">
        <v>13.299999999999999</v>
      </c>
      <c r="F550" s="2">
        <v>13.339999999999998</v>
      </c>
      <c r="G550" s="1" t="s">
        <v>26</v>
      </c>
      <c r="H550" s="4">
        <f t="shared" si="42"/>
        <v>1.388888888889106E-4</v>
      </c>
      <c r="I550">
        <f t="shared" si="45"/>
        <v>50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</row>
    <row r="551" spans="1:110" ht="14.25" customHeight="1" x14ac:dyDescent="0.3">
      <c r="A551" s="1">
        <f t="shared" si="40"/>
        <v>542</v>
      </c>
      <c r="B551" s="1" t="str">
        <f>"(7,"&amp;I551&amp;")"</f>
        <v>(7,50)</v>
      </c>
      <c r="C551" s="4">
        <v>0.58450231481481507</v>
      </c>
      <c r="D551" s="4">
        <v>0.58467592592592621</v>
      </c>
      <c r="E551" s="2">
        <v>13.299999999999999</v>
      </c>
      <c r="F551" s="2">
        <v>13.309999999999999</v>
      </c>
      <c r="G551" s="1" t="s">
        <v>26</v>
      </c>
      <c r="H551" s="4">
        <f t="shared" si="42"/>
        <v>1.7361111111113825E-4</v>
      </c>
      <c r="I551">
        <f t="shared" si="45"/>
        <v>50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</row>
    <row r="552" spans="1:110" ht="14.25" customHeight="1" x14ac:dyDescent="0.3">
      <c r="A552" s="1">
        <f t="shared" si="40"/>
        <v>543</v>
      </c>
      <c r="B552" s="1" t="str">
        <f>"(6,"&amp;I552&amp;")"</f>
        <v>(6,50)</v>
      </c>
      <c r="C552" s="4">
        <v>0.5849189814814818</v>
      </c>
      <c r="D552" s="4">
        <v>0.58506944444444475</v>
      </c>
      <c r="E552" s="2">
        <v>13.299999999999999</v>
      </c>
      <c r="F552" s="2">
        <v>13.35</v>
      </c>
      <c r="G552" s="1" t="s">
        <v>26</v>
      </c>
      <c r="H552" s="4">
        <f t="shared" si="42"/>
        <v>1.5046296296294948E-4</v>
      </c>
      <c r="I552">
        <f t="shared" si="45"/>
        <v>50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</row>
    <row r="553" spans="1:110" ht="14.25" customHeight="1" x14ac:dyDescent="0.3">
      <c r="A553" s="1">
        <f t="shared" si="40"/>
        <v>544</v>
      </c>
      <c r="B553" s="1" t="str">
        <f>"(5,"&amp;I553&amp;")"</f>
        <v>(5,50)</v>
      </c>
      <c r="C553" s="4">
        <v>0.5853009259259262</v>
      </c>
      <c r="D553" s="4">
        <v>0.58546296296296318</v>
      </c>
      <c r="E553" s="2">
        <v>13.299999999999999</v>
      </c>
      <c r="F553" s="2">
        <v>13.36</v>
      </c>
      <c r="G553" s="1" t="s">
        <v>26</v>
      </c>
      <c r="H553" s="4">
        <f t="shared" si="42"/>
        <v>1.6203703703698835E-4</v>
      </c>
      <c r="I553">
        <f t="shared" si="45"/>
        <v>50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</row>
    <row r="554" spans="1:110" ht="14.25" customHeight="1" x14ac:dyDescent="0.3">
      <c r="A554" s="1">
        <f t="shared" si="40"/>
        <v>545</v>
      </c>
      <c r="B554" s="1" t="str">
        <f>"(4,"&amp;I554&amp;")"</f>
        <v>(4,50)</v>
      </c>
      <c r="C554" s="4">
        <v>0.58574074074074101</v>
      </c>
      <c r="D554" s="4">
        <v>0.58591435185185214</v>
      </c>
      <c r="E554" s="2">
        <v>13.299999999999999</v>
      </c>
      <c r="F554" s="2">
        <v>13.36</v>
      </c>
      <c r="G554" s="1" t="s">
        <v>26</v>
      </c>
      <c r="H554" s="4">
        <f t="shared" si="42"/>
        <v>1.7361111111113825E-4</v>
      </c>
      <c r="I554">
        <f t="shared" si="45"/>
        <v>50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</row>
    <row r="555" spans="1:110" ht="14.25" customHeight="1" x14ac:dyDescent="0.3">
      <c r="A555" s="1">
        <f t="shared" si="40"/>
        <v>546</v>
      </c>
      <c r="B555" s="1" t="str">
        <f>"(3,"&amp;I555&amp;")"</f>
        <v>(3,50)</v>
      </c>
      <c r="C555" s="4">
        <v>0.58618055555555582</v>
      </c>
      <c r="D555" s="4">
        <v>0.58633101851851877</v>
      </c>
      <c r="E555" s="2">
        <v>13.299999999999999</v>
      </c>
      <c r="F555" s="2">
        <v>13.399999999999999</v>
      </c>
      <c r="G555" s="1" t="s">
        <v>26</v>
      </c>
      <c r="H555" s="4">
        <f t="shared" si="42"/>
        <v>1.5046296296294948E-4</v>
      </c>
      <c r="I555">
        <f t="shared" si="45"/>
        <v>50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</row>
    <row r="556" spans="1:110" ht="14.25" customHeight="1" x14ac:dyDescent="0.3">
      <c r="A556" s="1">
        <f t="shared" si="40"/>
        <v>547</v>
      </c>
      <c r="B556" s="1" t="str">
        <f>"(2,"&amp;I556&amp;")"</f>
        <v>(2,50)</v>
      </c>
      <c r="C556" s="4">
        <v>0.5865856481481484</v>
      </c>
      <c r="D556" s="4">
        <v>0.58673611111111135</v>
      </c>
      <c r="E556" s="2">
        <v>13.299999999999999</v>
      </c>
      <c r="F556" s="2">
        <v>13.339999999999998</v>
      </c>
      <c r="G556" s="1" t="s">
        <v>26</v>
      </c>
      <c r="H556" s="4">
        <f t="shared" si="42"/>
        <v>1.5046296296294948E-4</v>
      </c>
      <c r="I556">
        <f t="shared" si="45"/>
        <v>50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</row>
    <row r="557" spans="1:110" ht="14.25" customHeight="1" x14ac:dyDescent="0.3">
      <c r="A557" s="1">
        <f t="shared" si="40"/>
        <v>548</v>
      </c>
      <c r="B557" s="1" t="str">
        <f>"(1,"&amp;I557&amp;")"</f>
        <v>(1,50)</v>
      </c>
      <c r="C557" s="4">
        <v>0.58699074074074098</v>
      </c>
      <c r="D557" s="4">
        <v>0.58714120370370393</v>
      </c>
      <c r="E557" s="2">
        <v>13.299999999999999</v>
      </c>
      <c r="F557" s="2">
        <v>13.309999999999999</v>
      </c>
      <c r="G557" s="1" t="s">
        <v>26</v>
      </c>
      <c r="H557" s="4">
        <f t="shared" si="42"/>
        <v>1.5046296296294948E-4</v>
      </c>
      <c r="I557">
        <f t="shared" si="45"/>
        <v>50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</row>
    <row r="558" spans="1:110" ht="14.25" customHeight="1" x14ac:dyDescent="0.3">
      <c r="A558" s="1">
        <f t="shared" si="40"/>
        <v>549</v>
      </c>
      <c r="B558" s="1" t="str">
        <f>"(1,"&amp;I558&amp;")"</f>
        <v>(1,51)</v>
      </c>
      <c r="C558" s="4">
        <v>0.58738425925925952</v>
      </c>
      <c r="D558" s="4">
        <v>0.58753472222222247</v>
      </c>
      <c r="E558" s="2">
        <v>13.299999999999999</v>
      </c>
      <c r="F558" s="2">
        <v>13.43</v>
      </c>
      <c r="G558" s="1" t="s">
        <v>26</v>
      </c>
      <c r="H558" s="4">
        <f t="shared" si="42"/>
        <v>1.5046296296294948E-4</v>
      </c>
      <c r="I558">
        <f>I557+1</f>
        <v>51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</row>
    <row r="559" spans="1:110" ht="14.25" customHeight="1" x14ac:dyDescent="0.3">
      <c r="A559" s="1">
        <f t="shared" si="40"/>
        <v>550</v>
      </c>
      <c r="B559" s="1" t="str">
        <f>"(2,"&amp;I559&amp;")"</f>
        <v>(2,51)</v>
      </c>
      <c r="C559" s="4">
        <v>0.58781250000000029</v>
      </c>
      <c r="D559" s="4">
        <v>0.58798611111111143</v>
      </c>
      <c r="E559" s="2">
        <v>13.299999999999999</v>
      </c>
      <c r="F559" s="2">
        <v>13.419999999999998</v>
      </c>
      <c r="G559" s="1" t="s">
        <v>26</v>
      </c>
      <c r="H559" s="4">
        <f t="shared" si="42"/>
        <v>1.7361111111113825E-4</v>
      </c>
      <c r="I559">
        <f>I558</f>
        <v>51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</row>
    <row r="560" spans="1:110" ht="14.25" customHeight="1" x14ac:dyDescent="0.3">
      <c r="A560" s="1">
        <f t="shared" si="40"/>
        <v>551</v>
      </c>
      <c r="B560" s="1" t="str">
        <f>"(3,"&amp;I560&amp;")"</f>
        <v>(3,51)</v>
      </c>
      <c r="C560" s="4">
        <v>0.5882523148148151</v>
      </c>
      <c r="D560" s="4">
        <v>0.58842592592592624</v>
      </c>
      <c r="E560" s="2">
        <v>13.299999999999999</v>
      </c>
      <c r="F560" s="2">
        <v>13.35</v>
      </c>
      <c r="G560" s="1" t="s">
        <v>26</v>
      </c>
      <c r="H560" s="4">
        <f t="shared" si="42"/>
        <v>1.7361111111113825E-4</v>
      </c>
      <c r="I560">
        <f t="shared" ref="I560:I568" si="46">I559</f>
        <v>51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</row>
    <row r="561" spans="1:110" ht="14.25" customHeight="1" x14ac:dyDescent="0.3">
      <c r="A561" s="1">
        <f t="shared" si="40"/>
        <v>552</v>
      </c>
      <c r="B561" s="1" t="str">
        <f>"(4,"&amp;I561&amp;")"</f>
        <v>(4,51)</v>
      </c>
      <c r="C561" s="4">
        <v>0.58870370370370406</v>
      </c>
      <c r="D561" s="4">
        <v>0.5888773148148152</v>
      </c>
      <c r="E561" s="2">
        <v>13.299999999999999</v>
      </c>
      <c r="F561" s="2">
        <v>13.37</v>
      </c>
      <c r="G561" s="1" t="s">
        <v>26</v>
      </c>
      <c r="H561" s="4">
        <f t="shared" si="42"/>
        <v>1.7361111111113825E-4</v>
      </c>
      <c r="I561">
        <f t="shared" si="46"/>
        <v>51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</row>
    <row r="562" spans="1:110" ht="14.25" customHeight="1" x14ac:dyDescent="0.3">
      <c r="A562" s="1">
        <f t="shared" si="40"/>
        <v>553</v>
      </c>
      <c r="B562" s="1" t="str">
        <f>"(5,"&amp;I562&amp;")"</f>
        <v>(5,51)</v>
      </c>
      <c r="C562" s="4">
        <v>0.58916666666666706</v>
      </c>
      <c r="D562" s="4">
        <v>0.58930555555555597</v>
      </c>
      <c r="E562" s="2">
        <v>13.299999999999999</v>
      </c>
      <c r="F562" s="2">
        <v>13.44</v>
      </c>
      <c r="G562" s="1" t="s">
        <v>26</v>
      </c>
      <c r="H562" s="4">
        <f t="shared" si="42"/>
        <v>1.388888888889106E-4</v>
      </c>
      <c r="I562">
        <f t="shared" si="46"/>
        <v>51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</row>
    <row r="563" spans="1:110" ht="14.25" customHeight="1" x14ac:dyDescent="0.3">
      <c r="A563" s="1">
        <f t="shared" si="40"/>
        <v>554</v>
      </c>
      <c r="B563" s="1" t="str">
        <f>"(6,"&amp;I563&amp;")"</f>
        <v>(6,51)</v>
      </c>
      <c r="C563" s="4">
        <v>0.58954861111111156</v>
      </c>
      <c r="D563" s="4">
        <v>0.58971064814814855</v>
      </c>
      <c r="E563" s="2">
        <v>13.299999999999999</v>
      </c>
      <c r="F563" s="2">
        <v>13.339999999999998</v>
      </c>
      <c r="G563" s="1" t="s">
        <v>26</v>
      </c>
      <c r="H563" s="4">
        <f t="shared" si="42"/>
        <v>1.6203703703698835E-4</v>
      </c>
      <c r="I563">
        <f t="shared" si="46"/>
        <v>51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</row>
    <row r="564" spans="1:110" ht="14.25" customHeight="1" x14ac:dyDescent="0.3">
      <c r="A564" s="1">
        <f t="shared" si="40"/>
        <v>555</v>
      </c>
      <c r="B564" s="1" t="str">
        <f>"(7,"&amp;I564&amp;")"</f>
        <v>(7,51)</v>
      </c>
      <c r="C564" s="4">
        <v>0.59000000000000041</v>
      </c>
      <c r="D564" s="4">
        <v>0.59013888888888932</v>
      </c>
      <c r="E564" s="2">
        <v>13.299999999999999</v>
      </c>
      <c r="F564" s="2">
        <v>13.329999999999998</v>
      </c>
      <c r="G564" s="1" t="s">
        <v>26</v>
      </c>
      <c r="H564" s="4">
        <f t="shared" si="42"/>
        <v>1.388888888889106E-4</v>
      </c>
      <c r="I564">
        <f t="shared" si="46"/>
        <v>51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</row>
    <row r="565" spans="1:110" ht="14.25" customHeight="1" x14ac:dyDescent="0.3">
      <c r="A565" s="1">
        <f t="shared" si="40"/>
        <v>556</v>
      </c>
      <c r="B565" s="1" t="str">
        <f>"(8,"&amp;I565&amp;")"</f>
        <v>(8,51)</v>
      </c>
      <c r="C565" s="4">
        <v>0.59038194444444492</v>
      </c>
      <c r="D565" s="4">
        <v>0.59054398148148191</v>
      </c>
      <c r="E565" s="2">
        <v>13.299999999999999</v>
      </c>
      <c r="F565" s="2">
        <v>13.389999999999999</v>
      </c>
      <c r="G565" s="1" t="s">
        <v>26</v>
      </c>
      <c r="H565" s="4">
        <f t="shared" si="42"/>
        <v>1.6203703703698835E-4</v>
      </c>
      <c r="I565">
        <f t="shared" si="46"/>
        <v>51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</row>
    <row r="566" spans="1:110" ht="14.25" customHeight="1" x14ac:dyDescent="0.3">
      <c r="A566" s="1">
        <f t="shared" si="40"/>
        <v>557</v>
      </c>
      <c r="B566" s="1" t="str">
        <f>"(9,"&amp;I566&amp;")"</f>
        <v>(9,51)</v>
      </c>
      <c r="C566" s="4">
        <v>0.59081018518518558</v>
      </c>
      <c r="D566" s="4">
        <v>0.59097222222222257</v>
      </c>
      <c r="E566" s="2">
        <v>13.299999999999999</v>
      </c>
      <c r="F566" s="2">
        <v>13.309999999999999</v>
      </c>
      <c r="G566" s="1" t="s">
        <v>26</v>
      </c>
      <c r="H566" s="4">
        <f t="shared" si="42"/>
        <v>1.6203703703698835E-4</v>
      </c>
      <c r="I566">
        <f t="shared" si="46"/>
        <v>51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</row>
    <row r="567" spans="1:110" ht="14.25" customHeight="1" x14ac:dyDescent="0.3">
      <c r="A567" s="1">
        <f t="shared" si="40"/>
        <v>558</v>
      </c>
      <c r="B567" s="1" t="str">
        <f>"(10,"&amp;I567&amp;")"</f>
        <v>(10,51)</v>
      </c>
      <c r="C567" s="4">
        <v>0.59125000000000039</v>
      </c>
      <c r="D567" s="4">
        <v>0.59140046296296334</v>
      </c>
      <c r="E567" s="2">
        <v>13.299999999999999</v>
      </c>
      <c r="F567" s="2">
        <v>13.329999999999998</v>
      </c>
      <c r="G567" s="1" t="s">
        <v>26</v>
      </c>
      <c r="H567" s="4">
        <f t="shared" si="42"/>
        <v>1.5046296296294948E-4</v>
      </c>
      <c r="I567">
        <f t="shared" si="46"/>
        <v>51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</row>
    <row r="568" spans="1:110" ht="14.25" customHeight="1" x14ac:dyDescent="0.3">
      <c r="A568" s="1">
        <f t="shared" si="40"/>
        <v>559</v>
      </c>
      <c r="B568" s="1" t="str">
        <f>"(11,"&amp;I568&amp;")"</f>
        <v>(11,51)</v>
      </c>
      <c r="C568" s="4">
        <v>0.59167824074074116</v>
      </c>
      <c r="D568" s="4">
        <v>0.5918518518518523</v>
      </c>
      <c r="E568" s="2">
        <v>13.299999999999999</v>
      </c>
      <c r="F568" s="2">
        <v>13.44</v>
      </c>
      <c r="G568" s="1" t="s">
        <v>26</v>
      </c>
      <c r="H568" s="4">
        <f t="shared" si="42"/>
        <v>1.7361111111113825E-4</v>
      </c>
      <c r="I568">
        <f t="shared" si="46"/>
        <v>51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</row>
    <row r="569" spans="1:110" ht="14.25" customHeight="1" x14ac:dyDescent="0.3">
      <c r="A569" s="1">
        <f t="shared" si="40"/>
        <v>560</v>
      </c>
      <c r="B569" s="1" t="str">
        <f>"(11,"&amp;I569&amp;")"</f>
        <v>(11,52)</v>
      </c>
      <c r="C569" s="4">
        <v>0.59210648148148193</v>
      </c>
      <c r="D569" s="4">
        <v>0.59225694444444488</v>
      </c>
      <c r="E569" s="2">
        <v>13.299999999999999</v>
      </c>
      <c r="F569" s="2">
        <v>13.43</v>
      </c>
      <c r="G569" s="1" t="s">
        <v>26</v>
      </c>
      <c r="H569" s="4">
        <f t="shared" si="42"/>
        <v>1.5046296296294948E-4</v>
      </c>
      <c r="I569">
        <f>I568+1</f>
        <v>52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</row>
    <row r="570" spans="1:110" ht="14.25" customHeight="1" x14ac:dyDescent="0.3">
      <c r="A570" s="1">
        <f t="shared" si="40"/>
        <v>561</v>
      </c>
      <c r="B570" s="1" t="str">
        <f>"(10,"&amp;I570&amp;")"</f>
        <v>(10,52)</v>
      </c>
      <c r="C570" s="4">
        <v>0.59251157407407451</v>
      </c>
      <c r="D570" s="4">
        <v>0.5926736111111115</v>
      </c>
      <c r="E570" s="2">
        <v>13.299999999999999</v>
      </c>
      <c r="F570" s="2">
        <v>13.309999999999999</v>
      </c>
      <c r="G570" s="1" t="s">
        <v>26</v>
      </c>
      <c r="H570" s="4">
        <f t="shared" si="42"/>
        <v>1.6203703703698835E-4</v>
      </c>
      <c r="I570">
        <f>I569</f>
        <v>52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</row>
    <row r="571" spans="1:110" ht="14.25" customHeight="1" x14ac:dyDescent="0.3">
      <c r="A571" s="1">
        <f t="shared" si="40"/>
        <v>562</v>
      </c>
      <c r="B571" s="1" t="str">
        <f>"(9,"&amp;I571&amp;")"</f>
        <v>(9,52)</v>
      </c>
      <c r="C571" s="4">
        <v>0.59290509259259294</v>
      </c>
      <c r="D571" s="4">
        <v>0.59305555555555589</v>
      </c>
      <c r="E571" s="2">
        <v>13.299999999999999</v>
      </c>
      <c r="F571" s="2">
        <v>13.339999999999998</v>
      </c>
      <c r="G571" s="1" t="s">
        <v>26</v>
      </c>
      <c r="H571" s="4">
        <f t="shared" si="42"/>
        <v>1.5046296296294948E-4</v>
      </c>
      <c r="I571">
        <f t="shared" ref="I571:I579" si="47">I570</f>
        <v>52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</row>
    <row r="572" spans="1:110" ht="14.25" customHeight="1" x14ac:dyDescent="0.3">
      <c r="A572" s="1">
        <f t="shared" si="40"/>
        <v>563</v>
      </c>
      <c r="B572" s="1" t="str">
        <f>"(8,"&amp;I572&amp;")"</f>
        <v>(8,52)</v>
      </c>
      <c r="C572" s="4">
        <v>0.59333333333333371</v>
      </c>
      <c r="D572" s="4">
        <v>0.59348379629629666</v>
      </c>
      <c r="E572" s="2">
        <v>13.299999999999999</v>
      </c>
      <c r="F572" s="2">
        <v>13.36</v>
      </c>
      <c r="G572" s="1" t="s">
        <v>26</v>
      </c>
      <c r="H572" s="4">
        <f t="shared" si="42"/>
        <v>1.5046296296294948E-4</v>
      </c>
      <c r="I572">
        <f t="shared" si="47"/>
        <v>52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</row>
    <row r="573" spans="1:110" ht="14.25" customHeight="1" x14ac:dyDescent="0.3">
      <c r="A573" s="1">
        <f t="shared" si="40"/>
        <v>564</v>
      </c>
      <c r="B573" s="1" t="str">
        <f>"(7,"&amp;I573&amp;")"</f>
        <v>(7,52)</v>
      </c>
      <c r="C573" s="4">
        <v>0.59371527777777811</v>
      </c>
      <c r="D573" s="4">
        <v>0.59388888888888924</v>
      </c>
      <c r="E573" s="2">
        <v>13.299999999999999</v>
      </c>
      <c r="F573" s="2">
        <v>13.37</v>
      </c>
      <c r="G573" s="1" t="s">
        <v>26</v>
      </c>
      <c r="H573" s="4">
        <f t="shared" si="42"/>
        <v>1.7361111111113825E-4</v>
      </c>
      <c r="I573">
        <f t="shared" si="47"/>
        <v>52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</row>
    <row r="574" spans="1:110" ht="14.25" customHeight="1" x14ac:dyDescent="0.3">
      <c r="A574" s="1">
        <f t="shared" si="40"/>
        <v>565</v>
      </c>
      <c r="B574" s="1" t="str">
        <f>"(6,"&amp;I574&amp;")"</f>
        <v>(6,52)</v>
      </c>
      <c r="C574" s="4">
        <v>0.59416666666666706</v>
      </c>
      <c r="D574" s="4">
        <v>0.5943402777777782</v>
      </c>
      <c r="E574" s="2">
        <v>13.299999999999999</v>
      </c>
      <c r="F574" s="2">
        <v>13.35</v>
      </c>
      <c r="G574" s="1" t="s">
        <v>26</v>
      </c>
      <c r="H574" s="4">
        <f t="shared" si="42"/>
        <v>1.7361111111113825E-4</v>
      </c>
      <c r="I574">
        <f t="shared" si="47"/>
        <v>52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</row>
    <row r="575" spans="1:110" ht="14.25" customHeight="1" x14ac:dyDescent="0.3">
      <c r="A575" s="1">
        <f t="shared" si="40"/>
        <v>566</v>
      </c>
      <c r="B575" s="1" t="str">
        <f>"(5,"&amp;I575&amp;")"</f>
        <v>(5,52)</v>
      </c>
      <c r="C575" s="4">
        <v>0.59462962962963006</v>
      </c>
      <c r="D575" s="4">
        <v>0.59479166666666705</v>
      </c>
      <c r="E575" s="2">
        <v>13.299999999999999</v>
      </c>
      <c r="F575" s="2">
        <v>13.419999999999998</v>
      </c>
      <c r="G575" s="1" t="s">
        <v>26</v>
      </c>
      <c r="H575" s="4">
        <f t="shared" si="42"/>
        <v>1.6203703703698835E-4</v>
      </c>
      <c r="I575">
        <f t="shared" si="47"/>
        <v>52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</row>
    <row r="576" spans="1:110" ht="14.25" customHeight="1" x14ac:dyDescent="0.3">
      <c r="A576" s="1">
        <f t="shared" si="40"/>
        <v>567</v>
      </c>
      <c r="B576" s="1" t="str">
        <f>"(4,"&amp;I576&amp;")"</f>
        <v>(4,52)</v>
      </c>
      <c r="C576" s="4">
        <v>0.59506944444444487</v>
      </c>
      <c r="D576" s="4">
        <v>0.59521990740740782</v>
      </c>
      <c r="E576" s="2">
        <v>13.299999999999999</v>
      </c>
      <c r="F576" s="2">
        <v>13.319999999999999</v>
      </c>
      <c r="G576" s="1" t="s">
        <v>26</v>
      </c>
      <c r="H576" s="4">
        <f t="shared" si="42"/>
        <v>1.5046296296294948E-4</v>
      </c>
      <c r="I576">
        <f t="shared" si="47"/>
        <v>52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</row>
    <row r="577" spans="1:110" ht="14.25" customHeight="1" x14ac:dyDescent="0.3">
      <c r="A577" s="1">
        <f t="shared" si="40"/>
        <v>568</v>
      </c>
      <c r="B577" s="1" t="str">
        <f>"(3,"&amp;I577&amp;")"</f>
        <v>(3,52)</v>
      </c>
      <c r="C577" s="4">
        <v>0.59545138888888927</v>
      </c>
      <c r="D577" s="4">
        <v>0.59561342592592625</v>
      </c>
      <c r="E577" s="2">
        <v>13.299999999999999</v>
      </c>
      <c r="F577" s="2">
        <v>13.309999999999999</v>
      </c>
      <c r="G577" s="1" t="s">
        <v>26</v>
      </c>
      <c r="H577" s="4">
        <f t="shared" si="42"/>
        <v>1.6203703703698835E-4</v>
      </c>
      <c r="I577">
        <f t="shared" si="47"/>
        <v>52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</row>
    <row r="578" spans="1:110" ht="14.25" customHeight="1" x14ac:dyDescent="0.3">
      <c r="A578" s="1">
        <f t="shared" si="40"/>
        <v>569</v>
      </c>
      <c r="B578" s="1" t="str">
        <f>"(2,"&amp;I578&amp;")"</f>
        <v>(2,52)</v>
      </c>
      <c r="C578" s="4">
        <v>0.59590277777777811</v>
      </c>
      <c r="D578" s="4">
        <v>0.59604166666666702</v>
      </c>
      <c r="E578" s="2">
        <v>13.299999999999999</v>
      </c>
      <c r="F578" s="2">
        <v>13.35</v>
      </c>
      <c r="G578" s="1" t="s">
        <v>26</v>
      </c>
      <c r="H578" s="4">
        <f t="shared" si="42"/>
        <v>1.388888888889106E-4</v>
      </c>
      <c r="I578">
        <f t="shared" si="47"/>
        <v>52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</row>
    <row r="579" spans="1:110" ht="14.25" customHeight="1" x14ac:dyDescent="0.3">
      <c r="A579" s="1">
        <f t="shared" si="40"/>
        <v>570</v>
      </c>
      <c r="B579" s="1" t="str">
        <f>"(1,"&amp;I579&amp;")"</f>
        <v>(1,52)</v>
      </c>
      <c r="C579" s="4">
        <v>0.59627314814814847</v>
      </c>
      <c r="D579" s="4">
        <v>0.59644675925925961</v>
      </c>
      <c r="E579" s="2">
        <v>13.299999999999999</v>
      </c>
      <c r="F579" s="2">
        <v>13.329999999999998</v>
      </c>
      <c r="G579" s="1" t="s">
        <v>26</v>
      </c>
      <c r="H579" s="4">
        <f t="shared" si="42"/>
        <v>1.7361111111113825E-4</v>
      </c>
      <c r="I579">
        <f t="shared" si="47"/>
        <v>52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</row>
    <row r="580" spans="1:110" ht="14.25" customHeight="1" x14ac:dyDescent="0.3">
      <c r="A580" s="1">
        <f t="shared" si="40"/>
        <v>571</v>
      </c>
      <c r="B580" s="1" t="str">
        <f>"(1,"&amp;I580&amp;")"</f>
        <v>(1,53)</v>
      </c>
      <c r="C580" s="4">
        <v>0.5966898148148152</v>
      </c>
      <c r="D580" s="4">
        <v>0.59682870370370411</v>
      </c>
      <c r="E580" s="2">
        <v>13.299999999999999</v>
      </c>
      <c r="F580" s="2">
        <v>13.45</v>
      </c>
      <c r="G580" s="1" t="s">
        <v>26</v>
      </c>
      <c r="H580" s="4">
        <f t="shared" si="42"/>
        <v>1.388888888889106E-4</v>
      </c>
      <c r="I580">
        <f>I579+1</f>
        <v>53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</row>
    <row r="581" spans="1:110" ht="14.25" customHeight="1" x14ac:dyDescent="0.3">
      <c r="A581" s="1">
        <f t="shared" si="40"/>
        <v>572</v>
      </c>
      <c r="B581" s="1" t="str">
        <f>"(2,"&amp;I581&amp;")"</f>
        <v>(2,53)</v>
      </c>
      <c r="C581" s="4">
        <v>0.59710648148148193</v>
      </c>
      <c r="D581" s="4">
        <v>0.59728009259259307</v>
      </c>
      <c r="E581" s="2">
        <v>13.299999999999999</v>
      </c>
      <c r="F581" s="2">
        <v>13.389999999999999</v>
      </c>
      <c r="G581" s="1" t="s">
        <v>26</v>
      </c>
      <c r="H581" s="4">
        <f t="shared" si="42"/>
        <v>1.7361111111113825E-4</v>
      </c>
      <c r="I581">
        <f>I580</f>
        <v>53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</row>
    <row r="582" spans="1:110" ht="14.25" customHeight="1" x14ac:dyDescent="0.3">
      <c r="A582" s="1">
        <f t="shared" si="40"/>
        <v>573</v>
      </c>
      <c r="B582" s="1" t="str">
        <f>"(3,"&amp;I582&amp;")"</f>
        <v>(3,53)</v>
      </c>
      <c r="C582" s="4">
        <v>0.59756944444444493</v>
      </c>
      <c r="D582" s="4">
        <v>0.59770833333333384</v>
      </c>
      <c r="E582" s="2">
        <v>13.299999999999999</v>
      </c>
      <c r="F582" s="2">
        <v>13.419999999999998</v>
      </c>
      <c r="G582" s="1" t="s">
        <v>26</v>
      </c>
      <c r="H582" s="4">
        <f t="shared" si="42"/>
        <v>1.388888888889106E-4</v>
      </c>
      <c r="I582">
        <f t="shared" ref="I582:I590" si="48">I581</f>
        <v>53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</row>
    <row r="583" spans="1:110" ht="14.25" customHeight="1" x14ac:dyDescent="0.3">
      <c r="A583" s="1">
        <f t="shared" si="40"/>
        <v>574</v>
      </c>
      <c r="B583" s="1" t="str">
        <f>"(4,"&amp;I583&amp;")"</f>
        <v>(4,53)</v>
      </c>
      <c r="C583" s="4">
        <v>0.59797453703703751</v>
      </c>
      <c r="D583" s="4">
        <v>0.59812500000000046</v>
      </c>
      <c r="E583" s="2">
        <v>13.299999999999999</v>
      </c>
      <c r="F583" s="2">
        <v>13.45</v>
      </c>
      <c r="G583" s="1" t="s">
        <v>26</v>
      </c>
      <c r="H583" s="4">
        <f t="shared" si="42"/>
        <v>1.5046296296294948E-4</v>
      </c>
      <c r="I583">
        <f t="shared" si="48"/>
        <v>53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</row>
    <row r="584" spans="1:110" ht="14.25" customHeight="1" x14ac:dyDescent="0.3">
      <c r="A584" s="1">
        <f t="shared" si="40"/>
        <v>575</v>
      </c>
      <c r="B584" s="1" t="str">
        <f>"(5,"&amp;I584&amp;")"</f>
        <v>(5,53)</v>
      </c>
      <c r="C584" s="4">
        <v>0.59839120370370413</v>
      </c>
      <c r="D584" s="4">
        <v>0.59853009259259304</v>
      </c>
      <c r="E584" s="2">
        <v>13.299999999999999</v>
      </c>
      <c r="F584" s="2">
        <v>13.36</v>
      </c>
      <c r="G584" s="1" t="s">
        <v>26</v>
      </c>
      <c r="H584" s="4">
        <f t="shared" si="42"/>
        <v>1.388888888889106E-4</v>
      </c>
      <c r="I584">
        <f t="shared" si="48"/>
        <v>53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</row>
    <row r="585" spans="1:110" ht="14.25" customHeight="1" x14ac:dyDescent="0.3">
      <c r="A585" s="1">
        <f t="shared" si="40"/>
        <v>576</v>
      </c>
      <c r="B585" s="1" t="str">
        <f>"(6,"&amp;I585&amp;")"</f>
        <v>(6,53)</v>
      </c>
      <c r="C585" s="4">
        <v>0.59879629629629672</v>
      </c>
      <c r="D585" s="4">
        <v>0.59893518518518563</v>
      </c>
      <c r="E585" s="2">
        <v>13.299999999999999</v>
      </c>
      <c r="F585" s="2">
        <v>13.399999999999999</v>
      </c>
      <c r="G585" s="1" t="s">
        <v>26</v>
      </c>
      <c r="H585" s="4">
        <f t="shared" si="42"/>
        <v>1.388888888889106E-4</v>
      </c>
      <c r="I585">
        <f t="shared" si="48"/>
        <v>53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</row>
    <row r="586" spans="1:110" ht="14.25" customHeight="1" x14ac:dyDescent="0.3">
      <c r="A586" s="1">
        <f t="shared" si="40"/>
        <v>577</v>
      </c>
      <c r="B586" s="1" t="str">
        <f>"(7,"&amp;I586&amp;")"</f>
        <v>(7,53)</v>
      </c>
      <c r="C586" s="4">
        <v>0.59916666666666707</v>
      </c>
      <c r="D586" s="4">
        <v>0.59934027777777821</v>
      </c>
      <c r="E586" s="2">
        <v>13.299999999999999</v>
      </c>
      <c r="F586" s="2">
        <v>13.319999999999999</v>
      </c>
      <c r="G586" s="1" t="s">
        <v>26</v>
      </c>
      <c r="H586" s="4">
        <f t="shared" si="42"/>
        <v>1.7361111111113825E-4</v>
      </c>
      <c r="I586">
        <f t="shared" si="48"/>
        <v>53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</row>
    <row r="587" spans="1:110" ht="14.25" customHeight="1" x14ac:dyDescent="0.3">
      <c r="A587" s="1">
        <f t="shared" si="40"/>
        <v>578</v>
      </c>
      <c r="B587" s="1" t="str">
        <f>"(8,"&amp;I587&amp;")"</f>
        <v>(8,53)</v>
      </c>
      <c r="C587" s="4">
        <v>0.59962962962963007</v>
      </c>
      <c r="D587" s="4">
        <v>0.59978009259259302</v>
      </c>
      <c r="E587" s="2">
        <v>13.299999999999999</v>
      </c>
      <c r="F587" s="2">
        <v>13.419999999999998</v>
      </c>
      <c r="G587" s="1" t="s">
        <v>26</v>
      </c>
      <c r="H587" s="4">
        <f t="shared" si="42"/>
        <v>1.5046296296294948E-4</v>
      </c>
      <c r="I587">
        <f t="shared" si="48"/>
        <v>53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</row>
    <row r="588" spans="1:110" ht="14.25" customHeight="1" x14ac:dyDescent="0.3">
      <c r="A588" s="1">
        <f t="shared" si="40"/>
        <v>579</v>
      </c>
      <c r="B588" s="1" t="str">
        <f>"(9,"&amp;I588&amp;")"</f>
        <v>(9,53)</v>
      </c>
      <c r="C588" s="4">
        <v>0.60006944444444488</v>
      </c>
      <c r="D588" s="4">
        <v>0.60024305555555602</v>
      </c>
      <c r="E588" s="2">
        <v>13.299999999999999</v>
      </c>
      <c r="F588" s="2">
        <v>13.45</v>
      </c>
      <c r="G588" s="1" t="s">
        <v>26</v>
      </c>
      <c r="H588" s="4">
        <f t="shared" ref="H588:H651" si="49">D588-C588</f>
        <v>1.7361111111113825E-4</v>
      </c>
      <c r="I588">
        <f t="shared" si="48"/>
        <v>53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</row>
    <row r="589" spans="1:110" ht="14.25" customHeight="1" x14ac:dyDescent="0.3">
      <c r="A589" s="1">
        <f t="shared" si="40"/>
        <v>580</v>
      </c>
      <c r="B589" s="1" t="str">
        <f>"(10,"&amp;I589&amp;")"</f>
        <v>(10,53)</v>
      </c>
      <c r="C589" s="4">
        <v>0.60048611111111161</v>
      </c>
      <c r="D589" s="4">
        <v>0.60065972222222275</v>
      </c>
      <c r="E589" s="2">
        <v>13.299999999999999</v>
      </c>
      <c r="F589" s="2">
        <v>13.43</v>
      </c>
      <c r="G589" s="1" t="s">
        <v>26</v>
      </c>
      <c r="H589" s="4">
        <f t="shared" si="49"/>
        <v>1.7361111111113825E-4</v>
      </c>
      <c r="I589">
        <f t="shared" si="48"/>
        <v>53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</row>
    <row r="590" spans="1:110" ht="14.25" customHeight="1" x14ac:dyDescent="0.3">
      <c r="A590" s="1">
        <f t="shared" si="40"/>
        <v>581</v>
      </c>
      <c r="B590" s="1" t="str">
        <f>"(11,"&amp;I590&amp;")"</f>
        <v>(11,53)</v>
      </c>
      <c r="C590" s="4">
        <v>0.60091435185185238</v>
      </c>
      <c r="D590" s="4">
        <v>0.60108796296296352</v>
      </c>
      <c r="E590" s="2">
        <v>13.299999999999999</v>
      </c>
      <c r="F590" s="2">
        <v>13.389999999999999</v>
      </c>
      <c r="G590" s="1" t="s">
        <v>26</v>
      </c>
      <c r="H590" s="4">
        <f t="shared" si="49"/>
        <v>1.7361111111113825E-4</v>
      </c>
      <c r="I590">
        <f t="shared" si="48"/>
        <v>53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</row>
    <row r="591" spans="1:110" ht="14.25" customHeight="1" x14ac:dyDescent="0.3">
      <c r="A591" s="1">
        <f t="shared" si="40"/>
        <v>582</v>
      </c>
      <c r="B591" s="1" t="str">
        <f>"(11,"&amp;I591&amp;")"</f>
        <v>(11,54)</v>
      </c>
      <c r="C591" s="4">
        <v>0.60135416666666719</v>
      </c>
      <c r="D591" s="4">
        <v>0.6014930555555561</v>
      </c>
      <c r="E591" s="2">
        <v>13.299999999999999</v>
      </c>
      <c r="F591" s="2">
        <v>13.419999999999998</v>
      </c>
      <c r="G591" s="1" t="s">
        <v>26</v>
      </c>
      <c r="H591" s="4">
        <f t="shared" si="49"/>
        <v>1.388888888889106E-4</v>
      </c>
      <c r="I591">
        <f>I590+1</f>
        <v>54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</row>
    <row r="592" spans="1:110" ht="14.25" customHeight="1" x14ac:dyDescent="0.3">
      <c r="A592" s="1">
        <f t="shared" si="40"/>
        <v>583</v>
      </c>
      <c r="B592" s="1" t="str">
        <f>"(10,"&amp;I592&amp;")"</f>
        <v>(10,54)</v>
      </c>
      <c r="C592" s="4">
        <v>0.60172453703703754</v>
      </c>
      <c r="D592" s="4">
        <v>0.60186342592592645</v>
      </c>
      <c r="E592" s="2">
        <v>13.299999999999999</v>
      </c>
      <c r="F592" s="2">
        <v>13.44</v>
      </c>
      <c r="G592" s="1" t="s">
        <v>26</v>
      </c>
      <c r="H592" s="4">
        <f t="shared" si="49"/>
        <v>1.388888888889106E-4</v>
      </c>
      <c r="I592">
        <f>I591</f>
        <v>54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</row>
    <row r="593" spans="1:110" ht="14.25" customHeight="1" x14ac:dyDescent="0.3">
      <c r="A593" s="1">
        <f t="shared" si="40"/>
        <v>584</v>
      </c>
      <c r="B593" s="1" t="str">
        <f>"(9,"&amp;I593&amp;")"</f>
        <v>(9,54)</v>
      </c>
      <c r="C593" s="4">
        <v>0.60212962962963013</v>
      </c>
      <c r="D593" s="4">
        <v>0.60229166666666711</v>
      </c>
      <c r="E593" s="2">
        <v>13.299999999999999</v>
      </c>
      <c r="F593" s="2">
        <v>13.44</v>
      </c>
      <c r="G593" s="1" t="s">
        <v>26</v>
      </c>
      <c r="H593" s="4">
        <f t="shared" si="49"/>
        <v>1.6203703703698835E-4</v>
      </c>
      <c r="I593">
        <f t="shared" ref="I593:I601" si="50">I592</f>
        <v>54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</row>
    <row r="594" spans="1:110" ht="14.25" customHeight="1" x14ac:dyDescent="0.3">
      <c r="A594" s="1">
        <f t="shared" si="40"/>
        <v>585</v>
      </c>
      <c r="B594" s="1" t="str">
        <f>"(8,"&amp;I594&amp;")"</f>
        <v>(8,54)</v>
      </c>
      <c r="C594" s="4">
        <v>0.60254629629629675</v>
      </c>
      <c r="D594" s="4">
        <v>0.6026967592592597</v>
      </c>
      <c r="E594" s="2">
        <v>13.299999999999999</v>
      </c>
      <c r="F594" s="2">
        <v>13.44</v>
      </c>
      <c r="G594" s="1" t="s">
        <v>26</v>
      </c>
      <c r="H594" s="4">
        <f t="shared" si="49"/>
        <v>1.5046296296294948E-4</v>
      </c>
      <c r="I594">
        <f t="shared" si="50"/>
        <v>54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</row>
    <row r="595" spans="1:110" ht="14.25" customHeight="1" x14ac:dyDescent="0.3">
      <c r="A595" s="1">
        <f t="shared" si="40"/>
        <v>586</v>
      </c>
      <c r="B595" s="1" t="str">
        <f>"(7,"&amp;I595&amp;")"</f>
        <v>(7,54)</v>
      </c>
      <c r="C595" s="4">
        <v>0.60292824074074114</v>
      </c>
      <c r="D595" s="4">
        <v>0.60306712962963005</v>
      </c>
      <c r="E595" s="2">
        <v>13.299999999999999</v>
      </c>
      <c r="F595" s="2">
        <v>13.43</v>
      </c>
      <c r="G595" s="1" t="s">
        <v>26</v>
      </c>
      <c r="H595" s="4">
        <f t="shared" si="49"/>
        <v>1.388888888889106E-4</v>
      </c>
      <c r="I595">
        <f t="shared" si="50"/>
        <v>54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</row>
    <row r="596" spans="1:110" ht="14.25" customHeight="1" x14ac:dyDescent="0.3">
      <c r="A596" s="1">
        <f t="shared" si="40"/>
        <v>587</v>
      </c>
      <c r="B596" s="1" t="str">
        <f>"(6,"&amp;I596&amp;")"</f>
        <v>(6,54)</v>
      </c>
      <c r="C596" s="4">
        <v>0.60334490740740787</v>
      </c>
      <c r="D596" s="4">
        <v>0.60349537037037082</v>
      </c>
      <c r="E596" s="2">
        <v>13.299999999999999</v>
      </c>
      <c r="F596" s="2">
        <v>13.35</v>
      </c>
      <c r="G596" s="1" t="s">
        <v>26</v>
      </c>
      <c r="H596" s="4">
        <f t="shared" si="49"/>
        <v>1.5046296296294948E-4</v>
      </c>
      <c r="I596">
        <f t="shared" si="50"/>
        <v>54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</row>
    <row r="597" spans="1:110" ht="14.25" customHeight="1" x14ac:dyDescent="0.3">
      <c r="A597" s="1">
        <f t="shared" si="40"/>
        <v>588</v>
      </c>
      <c r="B597" s="1" t="str">
        <f>"(5,"&amp;I597&amp;")"</f>
        <v>(5,54)</v>
      </c>
      <c r="C597" s="4">
        <v>0.60376157407407449</v>
      </c>
      <c r="D597" s="4">
        <v>0.60393518518518563</v>
      </c>
      <c r="E597" s="2">
        <v>13.299999999999999</v>
      </c>
      <c r="F597" s="2">
        <v>13.329999999999998</v>
      </c>
      <c r="G597" s="1" t="s">
        <v>26</v>
      </c>
      <c r="H597" s="4">
        <f t="shared" si="49"/>
        <v>1.7361111111113825E-4</v>
      </c>
      <c r="I597">
        <f t="shared" si="50"/>
        <v>54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</row>
    <row r="598" spans="1:110" ht="14.25" customHeight="1" x14ac:dyDescent="0.3">
      <c r="A598" s="1">
        <f t="shared" si="40"/>
        <v>589</v>
      </c>
      <c r="B598" s="1" t="str">
        <f>"(4,"&amp;I598&amp;")"</f>
        <v>(4,54)</v>
      </c>
      <c r="C598" s="4">
        <v>0.60422453703703749</v>
      </c>
      <c r="D598" s="4">
        <v>0.60438657407407448</v>
      </c>
      <c r="E598" s="2">
        <v>13.299999999999999</v>
      </c>
      <c r="F598" s="2">
        <v>13.319999999999999</v>
      </c>
      <c r="G598" s="1" t="s">
        <v>26</v>
      </c>
      <c r="H598" s="4">
        <f t="shared" si="49"/>
        <v>1.6203703703698835E-4</v>
      </c>
      <c r="I598">
        <f t="shared" si="50"/>
        <v>54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</row>
    <row r="599" spans="1:110" ht="14.25" customHeight="1" x14ac:dyDescent="0.3">
      <c r="A599" s="1">
        <f t="shared" si="40"/>
        <v>590</v>
      </c>
      <c r="B599" s="1" t="str">
        <f>"(3,"&amp;I599&amp;")"</f>
        <v>(3,54)</v>
      </c>
      <c r="C599" s="4">
        <v>0.60465277777777815</v>
      </c>
      <c r="D599" s="4">
        <v>0.6048032407407411</v>
      </c>
      <c r="E599" s="2">
        <v>13.299999999999999</v>
      </c>
      <c r="F599" s="2">
        <v>13.399999999999999</v>
      </c>
      <c r="G599" s="1" t="s">
        <v>26</v>
      </c>
      <c r="H599" s="4">
        <f t="shared" si="49"/>
        <v>1.5046296296294948E-4</v>
      </c>
      <c r="I599">
        <f t="shared" si="50"/>
        <v>54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</row>
    <row r="600" spans="1:110" ht="14.25" customHeight="1" x14ac:dyDescent="0.3">
      <c r="A600" s="1">
        <f t="shared" si="40"/>
        <v>591</v>
      </c>
      <c r="B600" s="1" t="str">
        <f>"(2,"&amp;I600&amp;")"</f>
        <v>(2,54)</v>
      </c>
      <c r="C600" s="4">
        <v>0.60505787037037073</v>
      </c>
      <c r="D600" s="4">
        <v>0.60521990740740772</v>
      </c>
      <c r="E600" s="2">
        <v>13.299999999999999</v>
      </c>
      <c r="F600" s="2">
        <v>13.319999999999999</v>
      </c>
      <c r="G600" s="1" t="s">
        <v>26</v>
      </c>
      <c r="H600" s="4">
        <f t="shared" si="49"/>
        <v>1.6203703703698835E-4</v>
      </c>
      <c r="I600">
        <f t="shared" si="50"/>
        <v>54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</row>
    <row r="601" spans="1:110" ht="14.25" customHeight="1" x14ac:dyDescent="0.3">
      <c r="A601" s="1">
        <f t="shared" si="40"/>
        <v>592</v>
      </c>
      <c r="B601" s="1" t="str">
        <f>"(1,"&amp;I601&amp;")"</f>
        <v>(1,54)</v>
      </c>
      <c r="C601" s="4">
        <v>0.60549768518518554</v>
      </c>
      <c r="D601" s="4">
        <v>0.60567129629629668</v>
      </c>
      <c r="E601" s="2">
        <v>13.299999999999999</v>
      </c>
      <c r="F601" s="2">
        <v>13.399999999999999</v>
      </c>
      <c r="G601" s="1" t="s">
        <v>26</v>
      </c>
      <c r="H601" s="4">
        <f t="shared" si="49"/>
        <v>1.7361111111113825E-4</v>
      </c>
      <c r="I601">
        <f t="shared" si="50"/>
        <v>54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</row>
    <row r="602" spans="1:110" ht="14.25" customHeight="1" x14ac:dyDescent="0.3">
      <c r="A602" s="1">
        <f t="shared" si="40"/>
        <v>593</v>
      </c>
      <c r="B602" s="1" t="str">
        <f>"(1,"&amp;I602&amp;")"</f>
        <v>(1,55)</v>
      </c>
      <c r="C602" s="4">
        <v>0.60591435185185227</v>
      </c>
      <c r="D602" s="4">
        <v>0.60606481481481522</v>
      </c>
      <c r="E602" s="2">
        <v>13.299999999999999</v>
      </c>
      <c r="F602" s="2">
        <v>13.399999999999999</v>
      </c>
      <c r="G602" s="1" t="s">
        <v>26</v>
      </c>
      <c r="H602" s="4">
        <f t="shared" si="49"/>
        <v>1.5046296296294948E-4</v>
      </c>
      <c r="I602">
        <f>I601+1</f>
        <v>55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</row>
    <row r="603" spans="1:110" ht="14.25" customHeight="1" x14ac:dyDescent="0.3">
      <c r="A603" s="1">
        <f t="shared" si="40"/>
        <v>594</v>
      </c>
      <c r="B603" s="1" t="str">
        <f>"(2,"&amp;I603&amp;")"</f>
        <v>(2,55)</v>
      </c>
      <c r="C603" s="4">
        <v>0.60634259259259304</v>
      </c>
      <c r="D603" s="4">
        <v>0.60650462962963003</v>
      </c>
      <c r="E603" s="2">
        <v>13.299999999999999</v>
      </c>
      <c r="F603" s="2">
        <v>13.399999999999999</v>
      </c>
      <c r="G603" s="1" t="s">
        <v>26</v>
      </c>
      <c r="H603" s="4">
        <f t="shared" si="49"/>
        <v>1.6203703703698835E-4</v>
      </c>
      <c r="I603">
        <f>I602</f>
        <v>55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</row>
    <row r="604" spans="1:110" ht="14.25" customHeight="1" x14ac:dyDescent="0.3">
      <c r="A604" s="1">
        <f t="shared" si="40"/>
        <v>595</v>
      </c>
      <c r="B604" s="1" t="str">
        <f>"(3,"&amp;I604&amp;")"</f>
        <v>(3,55)</v>
      </c>
      <c r="C604" s="4">
        <v>0.60675925925925966</v>
      </c>
      <c r="D604" s="4">
        <v>0.6069328703703708</v>
      </c>
      <c r="E604" s="2">
        <v>13.299999999999999</v>
      </c>
      <c r="F604" s="2">
        <v>13.339999999999998</v>
      </c>
      <c r="G604" s="1" t="s">
        <v>26</v>
      </c>
      <c r="H604" s="4">
        <f t="shared" si="49"/>
        <v>1.7361111111113825E-4</v>
      </c>
      <c r="I604">
        <f t="shared" ref="I604:I612" si="51">I603</f>
        <v>55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</row>
    <row r="605" spans="1:110" ht="14.25" customHeight="1" x14ac:dyDescent="0.3">
      <c r="A605" s="1">
        <f t="shared" si="40"/>
        <v>596</v>
      </c>
      <c r="B605" s="1" t="str">
        <f>"(4,"&amp;I605&amp;")"</f>
        <v>(4,55)</v>
      </c>
      <c r="C605" s="4">
        <v>0.60721064814814862</v>
      </c>
      <c r="D605" s="4">
        <v>0.60738425925925976</v>
      </c>
      <c r="E605" s="2">
        <v>13.299999999999999</v>
      </c>
      <c r="F605" s="2">
        <v>13.399999999999999</v>
      </c>
      <c r="G605" s="1" t="s">
        <v>26</v>
      </c>
      <c r="H605" s="4">
        <f t="shared" si="49"/>
        <v>1.7361111111113825E-4</v>
      </c>
      <c r="I605">
        <f t="shared" si="51"/>
        <v>55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</row>
    <row r="606" spans="1:110" ht="14.25" customHeight="1" x14ac:dyDescent="0.3">
      <c r="A606" s="1">
        <f t="shared" si="40"/>
        <v>597</v>
      </c>
      <c r="B606" s="1" t="str">
        <f>"(5,"&amp;I606&amp;")"</f>
        <v>(5,55)</v>
      </c>
      <c r="C606" s="4">
        <v>0.60762731481481536</v>
      </c>
      <c r="D606" s="4">
        <v>0.60777777777777831</v>
      </c>
      <c r="E606" s="2">
        <v>13.299999999999999</v>
      </c>
      <c r="F606" s="2">
        <v>13.399999999999999</v>
      </c>
      <c r="G606" s="1" t="s">
        <v>26</v>
      </c>
      <c r="H606" s="4">
        <f t="shared" si="49"/>
        <v>1.5046296296294948E-4</v>
      </c>
      <c r="I606">
        <f t="shared" si="51"/>
        <v>55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</row>
    <row r="607" spans="1:110" ht="14.25" customHeight="1" x14ac:dyDescent="0.3">
      <c r="A607" s="1">
        <f t="shared" si="40"/>
        <v>598</v>
      </c>
      <c r="B607" s="1" t="str">
        <f>"(6,"&amp;I607&amp;")"</f>
        <v>(6,55)</v>
      </c>
      <c r="C607" s="4">
        <v>0.60803240740740794</v>
      </c>
      <c r="D607" s="4">
        <v>0.60818287037037089</v>
      </c>
      <c r="E607" s="2">
        <v>13.299999999999999</v>
      </c>
      <c r="F607" s="2">
        <v>13.389999999999999</v>
      </c>
      <c r="G607" s="1" t="s">
        <v>26</v>
      </c>
      <c r="H607" s="4">
        <f t="shared" si="49"/>
        <v>1.5046296296294948E-4</v>
      </c>
      <c r="I607">
        <f t="shared" si="51"/>
        <v>55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</row>
    <row r="608" spans="1:110" ht="14.25" customHeight="1" x14ac:dyDescent="0.3">
      <c r="A608" s="1">
        <f t="shared" si="40"/>
        <v>599</v>
      </c>
      <c r="B608" s="1" t="str">
        <f>"(7,"&amp;I608&amp;")"</f>
        <v>(7,55)</v>
      </c>
      <c r="C608" s="4">
        <v>0.60846064814814871</v>
      </c>
      <c r="D608" s="4">
        <v>0.60863425925925985</v>
      </c>
      <c r="E608" s="2">
        <v>13.299999999999999</v>
      </c>
      <c r="F608" s="2">
        <v>13.45</v>
      </c>
      <c r="G608" s="1" t="s">
        <v>26</v>
      </c>
      <c r="H608" s="4">
        <f t="shared" si="49"/>
        <v>1.7361111111113825E-4</v>
      </c>
      <c r="I608">
        <f t="shared" si="51"/>
        <v>55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</row>
    <row r="609" spans="1:110" ht="14.25" customHeight="1" x14ac:dyDescent="0.3">
      <c r="A609" s="1">
        <f t="shared" si="40"/>
        <v>600</v>
      </c>
      <c r="B609" s="1" t="str">
        <f>"(8,"&amp;I609&amp;")"</f>
        <v>(8,55)</v>
      </c>
      <c r="C609" s="4">
        <v>0.60890046296296352</v>
      </c>
      <c r="D609" s="4">
        <v>0.60905092592592647</v>
      </c>
      <c r="E609" s="2">
        <v>13.299999999999999</v>
      </c>
      <c r="F609" s="2">
        <v>13.339999999999998</v>
      </c>
      <c r="G609" s="1" t="s">
        <v>26</v>
      </c>
      <c r="H609" s="4">
        <f t="shared" si="49"/>
        <v>1.5046296296294948E-4</v>
      </c>
      <c r="I609">
        <f t="shared" si="51"/>
        <v>55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</row>
    <row r="610" spans="1:110" ht="14.25" customHeight="1" x14ac:dyDescent="0.3">
      <c r="A610" s="1">
        <f t="shared" si="40"/>
        <v>601</v>
      </c>
      <c r="B610" s="1" t="str">
        <f>"(9,"&amp;I610&amp;")"</f>
        <v>(9,55)</v>
      </c>
      <c r="C610" s="4">
        <v>0.60932870370370429</v>
      </c>
      <c r="D610" s="4">
        <v>0.6094675925925932</v>
      </c>
      <c r="E610" s="2">
        <v>13.299999999999999</v>
      </c>
      <c r="F610" s="2">
        <v>13.36</v>
      </c>
      <c r="G610" s="1" t="s">
        <v>26</v>
      </c>
      <c r="H610" s="4">
        <f t="shared" si="49"/>
        <v>1.388888888889106E-4</v>
      </c>
      <c r="I610">
        <f t="shared" si="51"/>
        <v>55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</row>
    <row r="611" spans="1:110" ht="14.25" customHeight="1" x14ac:dyDescent="0.3">
      <c r="A611" s="1">
        <f t="shared" si="40"/>
        <v>602</v>
      </c>
      <c r="B611" s="1" t="str">
        <f>"(10,"&amp;I611&amp;")"</f>
        <v>(10,55)</v>
      </c>
      <c r="C611" s="4">
        <v>0.60971064814814879</v>
      </c>
      <c r="D611" s="4">
        <v>0.6098495370370377</v>
      </c>
      <c r="E611" s="2">
        <v>13.299999999999999</v>
      </c>
      <c r="F611" s="2">
        <v>13.309999999999999</v>
      </c>
      <c r="G611" s="1" t="s">
        <v>26</v>
      </c>
      <c r="H611" s="4">
        <f t="shared" si="49"/>
        <v>1.388888888889106E-4</v>
      </c>
      <c r="I611">
        <f t="shared" si="51"/>
        <v>55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</row>
    <row r="612" spans="1:110" ht="14.25" customHeight="1" x14ac:dyDescent="0.3">
      <c r="A612" s="1">
        <f t="shared" si="40"/>
        <v>603</v>
      </c>
      <c r="B612" s="1" t="str">
        <f>"(11,"&amp;I612&amp;")"</f>
        <v>(11,55)</v>
      </c>
      <c r="C612" s="4">
        <v>0.61012731481481552</v>
      </c>
      <c r="D612" s="4">
        <v>0.61027777777777847</v>
      </c>
      <c r="E612" s="2">
        <v>13.299999999999999</v>
      </c>
      <c r="F612" s="2">
        <v>13.399999999999999</v>
      </c>
      <c r="G612" s="1" t="s">
        <v>26</v>
      </c>
      <c r="H612" s="4">
        <f t="shared" si="49"/>
        <v>1.5046296296294948E-4</v>
      </c>
      <c r="I612">
        <f t="shared" si="51"/>
        <v>55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</row>
    <row r="613" spans="1:110" ht="14.25" customHeight="1" x14ac:dyDescent="0.3">
      <c r="A613" s="1">
        <f t="shared" si="40"/>
        <v>604</v>
      </c>
      <c r="B613" s="1" t="str">
        <f>"(11,"&amp;I613&amp;")"</f>
        <v>(11,56)</v>
      </c>
      <c r="C613" s="4">
        <v>0.61053240740740811</v>
      </c>
      <c r="D613" s="4">
        <v>0.61069444444444509</v>
      </c>
      <c r="E613" s="2">
        <v>13.299999999999999</v>
      </c>
      <c r="F613" s="2">
        <v>13.319999999999999</v>
      </c>
      <c r="G613" s="1" t="s">
        <v>26</v>
      </c>
      <c r="H613" s="4">
        <f t="shared" si="49"/>
        <v>1.6203703703698835E-4</v>
      </c>
      <c r="I613">
        <f>I612+1</f>
        <v>56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</row>
    <row r="614" spans="1:110" ht="14.25" customHeight="1" x14ac:dyDescent="0.3">
      <c r="A614" s="1">
        <f t="shared" si="40"/>
        <v>605</v>
      </c>
      <c r="B614" s="1" t="str">
        <f>"(10,"&amp;I614&amp;")"</f>
        <v>(10,56)</v>
      </c>
      <c r="C614" s="4">
        <v>0.61098379629629695</v>
      </c>
      <c r="D614" s="4">
        <v>0.61115740740740809</v>
      </c>
      <c r="E614" s="2">
        <v>13.299999999999999</v>
      </c>
      <c r="F614" s="2">
        <v>13.409999999999998</v>
      </c>
      <c r="G614" s="1" t="s">
        <v>26</v>
      </c>
      <c r="H614" s="4">
        <f t="shared" si="49"/>
        <v>1.7361111111113825E-4</v>
      </c>
      <c r="I614">
        <f>I613</f>
        <v>56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</row>
    <row r="615" spans="1:110" ht="14.25" customHeight="1" x14ac:dyDescent="0.3">
      <c r="A615" s="1">
        <f t="shared" si="40"/>
        <v>606</v>
      </c>
      <c r="B615" s="1" t="str">
        <f>"(9,"&amp;I615&amp;")"</f>
        <v>(9,56)</v>
      </c>
      <c r="C615" s="4">
        <v>0.61142361111111176</v>
      </c>
      <c r="D615" s="4">
        <v>0.61158564814814875</v>
      </c>
      <c r="E615" s="2">
        <v>13.299999999999999</v>
      </c>
      <c r="F615" s="2">
        <v>13.35</v>
      </c>
      <c r="G615" s="1" t="s">
        <v>26</v>
      </c>
      <c r="H615" s="4">
        <f t="shared" si="49"/>
        <v>1.6203703703698835E-4</v>
      </c>
      <c r="I615">
        <f t="shared" ref="I615:I623" si="52">I614</f>
        <v>56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</row>
    <row r="616" spans="1:110" ht="14.25" customHeight="1" x14ac:dyDescent="0.3">
      <c r="A616" s="1">
        <f t="shared" si="40"/>
        <v>607</v>
      </c>
      <c r="B616" s="1" t="str">
        <f>"(8,"&amp;I616&amp;")"</f>
        <v>(8,56)</v>
      </c>
      <c r="C616" s="4">
        <v>0.61184027777777839</v>
      </c>
      <c r="D616" s="4">
        <v>0.61200231481481537</v>
      </c>
      <c r="E616" s="2">
        <v>13.299999999999999</v>
      </c>
      <c r="F616" s="2">
        <v>13.419999999999998</v>
      </c>
      <c r="G616" s="1" t="s">
        <v>26</v>
      </c>
      <c r="H616" s="4">
        <f t="shared" si="49"/>
        <v>1.6203703703698835E-4</v>
      </c>
      <c r="I616">
        <f t="shared" si="52"/>
        <v>56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</row>
    <row r="617" spans="1:110" ht="14.25" customHeight="1" x14ac:dyDescent="0.3">
      <c r="A617" s="1">
        <f t="shared" si="40"/>
        <v>608</v>
      </c>
      <c r="B617" s="1" t="str">
        <f>"(7,"&amp;I617&amp;")"</f>
        <v>(7,56)</v>
      </c>
      <c r="C617" s="4">
        <v>0.61225694444444501</v>
      </c>
      <c r="D617" s="4">
        <v>0.61240740740740796</v>
      </c>
      <c r="E617" s="2">
        <v>13.299999999999999</v>
      </c>
      <c r="F617" s="2">
        <v>13.45</v>
      </c>
      <c r="G617" s="1" t="s">
        <v>26</v>
      </c>
      <c r="H617" s="4">
        <f t="shared" si="49"/>
        <v>1.5046296296294948E-4</v>
      </c>
      <c r="I617">
        <f t="shared" si="52"/>
        <v>56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</row>
    <row r="618" spans="1:110" ht="14.25" customHeight="1" x14ac:dyDescent="0.3">
      <c r="A618" s="1">
        <f t="shared" si="40"/>
        <v>609</v>
      </c>
      <c r="B618" s="1" t="str">
        <f>"(6,"&amp;I618&amp;")"</f>
        <v>(6,56)</v>
      </c>
      <c r="C618" s="4">
        <v>0.61269675925925982</v>
      </c>
      <c r="D618" s="4">
        <v>0.61283564814814873</v>
      </c>
      <c r="E618" s="2">
        <v>13.299999999999999</v>
      </c>
      <c r="F618" s="2">
        <v>13.44</v>
      </c>
      <c r="G618" s="1" t="s">
        <v>26</v>
      </c>
      <c r="H618" s="4">
        <f t="shared" si="49"/>
        <v>1.388888888889106E-4</v>
      </c>
      <c r="I618">
        <f t="shared" si="52"/>
        <v>56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</row>
    <row r="619" spans="1:110" ht="14.25" customHeight="1" x14ac:dyDescent="0.3">
      <c r="A619" s="1">
        <f t="shared" si="40"/>
        <v>610</v>
      </c>
      <c r="B619" s="1" t="str">
        <f>"(5,"&amp;I619&amp;")"</f>
        <v>(5,56)</v>
      </c>
      <c r="C619" s="4">
        <v>0.61311342592592655</v>
      </c>
      <c r="D619" s="4">
        <v>0.61327546296296354</v>
      </c>
      <c r="E619" s="2">
        <v>13.299999999999999</v>
      </c>
      <c r="F619" s="2">
        <v>13.399999999999999</v>
      </c>
      <c r="G619" s="1" t="s">
        <v>26</v>
      </c>
      <c r="H619" s="4">
        <f t="shared" si="49"/>
        <v>1.6203703703698835E-4</v>
      </c>
      <c r="I619">
        <f t="shared" si="52"/>
        <v>56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</row>
    <row r="620" spans="1:110" ht="14.25" customHeight="1" x14ac:dyDescent="0.3">
      <c r="A620" s="1">
        <f t="shared" si="40"/>
        <v>611</v>
      </c>
      <c r="B620" s="1" t="str">
        <f>"(4,"&amp;I620&amp;")"</f>
        <v>(4,56)</v>
      </c>
      <c r="C620" s="4">
        <v>0.61351851851851913</v>
      </c>
      <c r="D620" s="4">
        <v>0.61368055555555612</v>
      </c>
      <c r="E620" s="2">
        <v>13.299999999999999</v>
      </c>
      <c r="F620" s="2">
        <v>13.319999999999999</v>
      </c>
      <c r="G620" s="1" t="s">
        <v>26</v>
      </c>
      <c r="H620" s="4">
        <f t="shared" si="49"/>
        <v>1.6203703703698835E-4</v>
      </c>
      <c r="I620">
        <f t="shared" si="52"/>
        <v>56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</row>
    <row r="621" spans="1:110" ht="14.25" customHeight="1" x14ac:dyDescent="0.3">
      <c r="A621" s="1">
        <f t="shared" si="40"/>
        <v>612</v>
      </c>
      <c r="B621" s="1" t="str">
        <f>"(3,"&amp;I621&amp;")"</f>
        <v>(3,56)</v>
      </c>
      <c r="C621" s="4">
        <v>0.61392361111111171</v>
      </c>
      <c r="D621" s="4">
        <v>0.61409722222222285</v>
      </c>
      <c r="E621" s="2">
        <v>13.299999999999999</v>
      </c>
      <c r="F621" s="2">
        <v>13.389999999999999</v>
      </c>
      <c r="G621" s="1" t="s">
        <v>26</v>
      </c>
      <c r="H621" s="4">
        <f t="shared" si="49"/>
        <v>1.7361111111113825E-4</v>
      </c>
      <c r="I621">
        <f t="shared" si="52"/>
        <v>56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</row>
    <row r="622" spans="1:110" ht="14.25" customHeight="1" x14ac:dyDescent="0.3">
      <c r="A622" s="1">
        <f t="shared" si="40"/>
        <v>613</v>
      </c>
      <c r="B622" s="1" t="str">
        <f>"(2,"&amp;I622&amp;")"</f>
        <v>(2,56)</v>
      </c>
      <c r="C622" s="4">
        <v>0.61435185185185248</v>
      </c>
      <c r="D622" s="4">
        <v>0.61449074074074139</v>
      </c>
      <c r="E622" s="2">
        <v>13.299999999999999</v>
      </c>
      <c r="F622" s="2">
        <v>13.379999999999999</v>
      </c>
      <c r="G622" s="1" t="s">
        <v>26</v>
      </c>
      <c r="H622" s="4">
        <f t="shared" si="49"/>
        <v>1.388888888889106E-4</v>
      </c>
      <c r="I622">
        <f t="shared" si="52"/>
        <v>56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</row>
    <row r="623" spans="1:110" ht="14.25" customHeight="1" x14ac:dyDescent="0.3">
      <c r="A623" s="1">
        <f t="shared" si="40"/>
        <v>614</v>
      </c>
      <c r="B623" s="1" t="str">
        <f>"(1,"&amp;I623&amp;")"</f>
        <v>(1,56)</v>
      </c>
      <c r="C623" s="4">
        <v>0.61475694444444506</v>
      </c>
      <c r="D623" s="4">
        <v>0.61489583333333397</v>
      </c>
      <c r="E623" s="2">
        <v>13.299999999999999</v>
      </c>
      <c r="F623" s="2">
        <v>13.45</v>
      </c>
      <c r="G623" s="1" t="s">
        <v>26</v>
      </c>
      <c r="H623" s="4">
        <f t="shared" si="49"/>
        <v>1.388888888889106E-4</v>
      </c>
      <c r="I623">
        <f t="shared" si="52"/>
        <v>56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</row>
    <row r="624" spans="1:110" ht="14.25" customHeight="1" x14ac:dyDescent="0.3">
      <c r="A624" s="1">
        <f t="shared" si="40"/>
        <v>615</v>
      </c>
      <c r="B624" s="1" t="str">
        <f>"(1,"&amp;I624&amp;")"</f>
        <v>(1,57)</v>
      </c>
      <c r="C624" s="4">
        <v>0.61515046296296361</v>
      </c>
      <c r="D624" s="4">
        <v>0.61532407407407474</v>
      </c>
      <c r="E624" s="2">
        <v>13.299999999999999</v>
      </c>
      <c r="F624" s="2">
        <v>13.379999999999999</v>
      </c>
      <c r="G624" s="1" t="s">
        <v>26</v>
      </c>
      <c r="H624" s="4">
        <f t="shared" si="49"/>
        <v>1.7361111111113825E-4</v>
      </c>
      <c r="I624">
        <f>I623+1</f>
        <v>57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</row>
    <row r="625" spans="1:110" ht="14.25" customHeight="1" x14ac:dyDescent="0.3">
      <c r="A625" s="1">
        <f t="shared" si="40"/>
        <v>616</v>
      </c>
      <c r="B625" s="1" t="str">
        <f>"(2,"&amp;I625&amp;")"</f>
        <v>(2,57)</v>
      </c>
      <c r="C625" s="4">
        <v>0.61556712962963034</v>
      </c>
      <c r="D625" s="4">
        <v>0.61574074074074148</v>
      </c>
      <c r="E625" s="2">
        <v>13.299999999999999</v>
      </c>
      <c r="F625" s="2">
        <v>13.36</v>
      </c>
      <c r="G625" s="1" t="s">
        <v>26</v>
      </c>
      <c r="H625" s="4">
        <f t="shared" si="49"/>
        <v>1.7361111111113825E-4</v>
      </c>
      <c r="I625">
        <f>I624</f>
        <v>57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</row>
    <row r="626" spans="1:110" ht="14.25" customHeight="1" x14ac:dyDescent="0.3">
      <c r="A626" s="1">
        <f t="shared" si="40"/>
        <v>617</v>
      </c>
      <c r="B626" s="1" t="str">
        <f>"(3,"&amp;I626&amp;")"</f>
        <v>(3,57)</v>
      </c>
      <c r="C626" s="4">
        <v>0.61600694444444515</v>
      </c>
      <c r="D626" s="4">
        <v>0.61618055555555629</v>
      </c>
      <c r="E626" s="2">
        <v>13.299999999999999</v>
      </c>
      <c r="F626" s="2">
        <v>13.45</v>
      </c>
      <c r="G626" s="1" t="s">
        <v>26</v>
      </c>
      <c r="H626" s="4">
        <f t="shared" si="49"/>
        <v>1.7361111111113825E-4</v>
      </c>
      <c r="I626">
        <f t="shared" ref="I626:I634" si="53">I625</f>
        <v>57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</row>
    <row r="627" spans="1:110" ht="14.25" customHeight="1" x14ac:dyDescent="0.3">
      <c r="A627" s="1">
        <f t="shared" si="40"/>
        <v>618</v>
      </c>
      <c r="B627" s="1" t="str">
        <f>"(4,"&amp;I627&amp;")"</f>
        <v>(4,57)</v>
      </c>
      <c r="C627" s="4">
        <v>0.61642361111111188</v>
      </c>
      <c r="D627" s="4">
        <v>0.61659722222222302</v>
      </c>
      <c r="E627" s="2">
        <v>13.299999999999999</v>
      </c>
      <c r="F627" s="2">
        <v>13.319999999999999</v>
      </c>
      <c r="G627" s="1" t="s">
        <v>26</v>
      </c>
      <c r="H627" s="4">
        <f t="shared" si="49"/>
        <v>1.7361111111113825E-4</v>
      </c>
      <c r="I627">
        <f t="shared" si="53"/>
        <v>57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</row>
    <row r="628" spans="1:110" ht="14.25" customHeight="1" x14ac:dyDescent="0.3">
      <c r="A628" s="1">
        <f t="shared" si="40"/>
        <v>619</v>
      </c>
      <c r="B628" s="1" t="str">
        <f>"(5,"&amp;I628&amp;")"</f>
        <v>(5,57)</v>
      </c>
      <c r="C628" s="4">
        <v>0.61682870370370446</v>
      </c>
      <c r="D628" s="4">
        <v>0.6170023148148156</v>
      </c>
      <c r="E628" s="2">
        <v>13.299999999999999</v>
      </c>
      <c r="F628" s="2">
        <v>13.389999999999999</v>
      </c>
      <c r="G628" s="1" t="s">
        <v>26</v>
      </c>
      <c r="H628" s="4">
        <f t="shared" si="49"/>
        <v>1.7361111111113825E-4</v>
      </c>
      <c r="I628">
        <f t="shared" si="53"/>
        <v>57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</row>
    <row r="629" spans="1:110" ht="14.25" customHeight="1" x14ac:dyDescent="0.3">
      <c r="A629" s="1">
        <f t="shared" si="40"/>
        <v>620</v>
      </c>
      <c r="B629" s="1" t="str">
        <f>"(6,"&amp;I629&amp;")"</f>
        <v>(6,57)</v>
      </c>
      <c r="C629" s="4">
        <v>0.61725694444444523</v>
      </c>
      <c r="D629" s="4">
        <v>0.61741898148148222</v>
      </c>
      <c r="E629" s="2">
        <v>13.299999999999999</v>
      </c>
      <c r="F629" s="2">
        <v>13.379999999999999</v>
      </c>
      <c r="G629" s="1" t="s">
        <v>26</v>
      </c>
      <c r="H629" s="4">
        <f t="shared" si="49"/>
        <v>1.6203703703698835E-4</v>
      </c>
      <c r="I629">
        <f t="shared" si="53"/>
        <v>57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</row>
    <row r="630" spans="1:110" ht="14.25" customHeight="1" x14ac:dyDescent="0.3">
      <c r="A630" s="1">
        <f t="shared" si="40"/>
        <v>621</v>
      </c>
      <c r="B630" s="1" t="str">
        <f>"(7,"&amp;I630&amp;")"</f>
        <v>(7,57)</v>
      </c>
      <c r="C630" s="4">
        <v>0.61766203703703781</v>
      </c>
      <c r="D630" s="4">
        <v>0.6178240740740748</v>
      </c>
      <c r="E630" s="2">
        <v>13.299999999999999</v>
      </c>
      <c r="F630" s="2">
        <v>13.419999999999998</v>
      </c>
      <c r="G630" s="1" t="s">
        <v>26</v>
      </c>
      <c r="H630" s="4">
        <f t="shared" si="49"/>
        <v>1.6203703703698835E-4</v>
      </c>
      <c r="I630">
        <f t="shared" si="53"/>
        <v>57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</row>
    <row r="631" spans="1:110" ht="14.25" customHeight="1" x14ac:dyDescent="0.3">
      <c r="A631" s="1">
        <f t="shared" si="40"/>
        <v>622</v>
      </c>
      <c r="B631" s="1" t="str">
        <f>"(8,"&amp;I631&amp;")"</f>
        <v>(8,57)</v>
      </c>
      <c r="C631" s="4">
        <v>0.61811342592592666</v>
      </c>
      <c r="D631" s="4">
        <v>0.61825231481481557</v>
      </c>
      <c r="E631" s="2">
        <v>13.299999999999999</v>
      </c>
      <c r="F631" s="2">
        <v>13.389999999999999</v>
      </c>
      <c r="G631" s="1" t="s">
        <v>26</v>
      </c>
      <c r="H631" s="4">
        <f t="shared" si="49"/>
        <v>1.388888888889106E-4</v>
      </c>
      <c r="I631">
        <f t="shared" si="53"/>
        <v>57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</row>
    <row r="632" spans="1:110" ht="14.25" customHeight="1" x14ac:dyDescent="0.3">
      <c r="A632" s="1">
        <f t="shared" si="40"/>
        <v>623</v>
      </c>
      <c r="B632" s="1" t="str">
        <f>"(9,"&amp;I632&amp;")"</f>
        <v>(9,57)</v>
      </c>
      <c r="C632" s="4">
        <v>0.61850694444444521</v>
      </c>
      <c r="D632" s="4">
        <v>0.61866898148148219</v>
      </c>
      <c r="E632" s="2">
        <v>13.299999999999999</v>
      </c>
      <c r="F632" s="2">
        <v>13.309999999999999</v>
      </c>
      <c r="G632" s="1" t="s">
        <v>26</v>
      </c>
      <c r="H632" s="4">
        <f t="shared" si="49"/>
        <v>1.6203703703698835E-4</v>
      </c>
      <c r="I632">
        <f t="shared" si="53"/>
        <v>57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</row>
    <row r="633" spans="1:110" ht="14.25" customHeight="1" x14ac:dyDescent="0.3">
      <c r="A633" s="1">
        <f t="shared" si="40"/>
        <v>624</v>
      </c>
      <c r="B633" s="1" t="str">
        <f>"(10,"&amp;I633&amp;")"</f>
        <v>(10,57)</v>
      </c>
      <c r="C633" s="4">
        <v>0.61894675925926002</v>
      </c>
      <c r="D633" s="4">
        <v>0.619108796296297</v>
      </c>
      <c r="E633" s="2">
        <v>13.299999999999999</v>
      </c>
      <c r="F633" s="2">
        <v>13.379999999999999</v>
      </c>
      <c r="G633" s="1" t="s">
        <v>26</v>
      </c>
      <c r="H633" s="4">
        <f t="shared" si="49"/>
        <v>1.6203703703698835E-4</v>
      </c>
      <c r="I633">
        <f t="shared" si="53"/>
        <v>57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</row>
    <row r="634" spans="1:110" ht="14.25" customHeight="1" x14ac:dyDescent="0.3">
      <c r="A634" s="1">
        <f t="shared" si="40"/>
        <v>625</v>
      </c>
      <c r="B634" s="1" t="str">
        <f>"(11,"&amp;I634&amp;")"</f>
        <v>(11,57)</v>
      </c>
      <c r="C634" s="4">
        <v>0.61937500000000068</v>
      </c>
      <c r="D634" s="4">
        <v>0.61954861111111181</v>
      </c>
      <c r="E634" s="2">
        <v>13.299999999999999</v>
      </c>
      <c r="F634" s="2">
        <v>13.339999999999998</v>
      </c>
      <c r="G634" s="1" t="s">
        <v>26</v>
      </c>
      <c r="H634" s="4">
        <f t="shared" si="49"/>
        <v>1.7361111111113825E-4</v>
      </c>
      <c r="I634">
        <f t="shared" si="53"/>
        <v>57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</row>
    <row r="635" spans="1:110" ht="14.25" customHeight="1" x14ac:dyDescent="0.3">
      <c r="A635" s="1">
        <f t="shared" si="40"/>
        <v>626</v>
      </c>
      <c r="B635" s="1" t="str">
        <f>"(11,"&amp;I635&amp;")"</f>
        <v>(11,58)</v>
      </c>
      <c r="C635" s="4">
        <v>0.61979166666666741</v>
      </c>
      <c r="D635" s="4">
        <v>0.61996527777777855</v>
      </c>
      <c r="E635" s="2">
        <v>13.299999999999999</v>
      </c>
      <c r="F635" s="2">
        <v>13.309999999999999</v>
      </c>
      <c r="G635" s="1" t="s">
        <v>26</v>
      </c>
      <c r="H635" s="4">
        <f t="shared" si="49"/>
        <v>1.7361111111113825E-4</v>
      </c>
      <c r="I635">
        <f>I634+1</f>
        <v>58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</row>
    <row r="636" spans="1:110" ht="14.25" customHeight="1" x14ac:dyDescent="0.3">
      <c r="A636" s="1">
        <f t="shared" si="40"/>
        <v>627</v>
      </c>
      <c r="B636" s="1" t="str">
        <f>"(10,"&amp;I636&amp;")"</f>
        <v>(10,58)</v>
      </c>
      <c r="C636" s="4">
        <v>0.62019675925925999</v>
      </c>
      <c r="D636" s="4">
        <v>0.62034722222222294</v>
      </c>
      <c r="E636" s="2">
        <v>13.299999999999999</v>
      </c>
      <c r="F636" s="2">
        <v>13.419999999999998</v>
      </c>
      <c r="G636" s="1" t="s">
        <v>26</v>
      </c>
      <c r="H636" s="4">
        <f t="shared" si="49"/>
        <v>1.5046296296294948E-4</v>
      </c>
      <c r="I636">
        <f>I635</f>
        <v>58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</row>
    <row r="637" spans="1:110" ht="14.25" customHeight="1" x14ac:dyDescent="0.3">
      <c r="A637" s="1">
        <f t="shared" si="40"/>
        <v>628</v>
      </c>
      <c r="B637" s="1" t="str">
        <f>"(9,"&amp;I637&amp;")"</f>
        <v>(9,58)</v>
      </c>
      <c r="C637" s="4">
        <v>0.62061342592592661</v>
      </c>
      <c r="D637" s="4">
        <v>0.62075231481481552</v>
      </c>
      <c r="E637" s="2">
        <v>13.299999999999999</v>
      </c>
      <c r="F637" s="2">
        <v>13.36</v>
      </c>
      <c r="G637" s="1" t="s">
        <v>26</v>
      </c>
      <c r="H637" s="4">
        <f t="shared" si="49"/>
        <v>1.388888888889106E-4</v>
      </c>
      <c r="I637">
        <f t="shared" ref="I637" si="54">I636</f>
        <v>58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</row>
    <row r="638" spans="1:110" ht="14.25" customHeight="1" x14ac:dyDescent="0.3">
      <c r="A638" s="1">
        <f t="shared" si="40"/>
        <v>629</v>
      </c>
      <c r="B638" s="1" t="str">
        <f>"(8,"&amp;I638&amp;")"</f>
        <v>(8,58)</v>
      </c>
      <c r="C638" s="4">
        <v>0.62099537037037111</v>
      </c>
      <c r="D638" s="4">
        <v>0.6211574074074081</v>
      </c>
      <c r="E638" s="2">
        <v>13.299999999999999</v>
      </c>
      <c r="F638" s="2">
        <v>13.319999999999999</v>
      </c>
      <c r="G638" s="1" t="s">
        <v>26</v>
      </c>
      <c r="H638" s="4">
        <f t="shared" si="49"/>
        <v>1.6203703703698835E-4</v>
      </c>
      <c r="I638">
        <f t="shared" ref="I638:I645" si="55">I637</f>
        <v>58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</row>
    <row r="639" spans="1:110" ht="14.25" customHeight="1" x14ac:dyDescent="0.3">
      <c r="A639" s="1">
        <f t="shared" si="40"/>
        <v>630</v>
      </c>
      <c r="B639" s="1" t="str">
        <f>"(7,"&amp;I639&amp;")"</f>
        <v>(7,58)</v>
      </c>
      <c r="C639" s="4">
        <v>0.6214004629629637</v>
      </c>
      <c r="D639" s="4">
        <v>0.62157407407407483</v>
      </c>
      <c r="E639" s="2">
        <v>13.299999999999999</v>
      </c>
      <c r="F639" s="2">
        <v>13.329999999999998</v>
      </c>
      <c r="G639" s="1" t="s">
        <v>26</v>
      </c>
      <c r="H639" s="4">
        <f t="shared" si="49"/>
        <v>1.7361111111113825E-4</v>
      </c>
      <c r="I639">
        <f t="shared" si="55"/>
        <v>58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</row>
    <row r="640" spans="1:110" ht="14.25" customHeight="1" x14ac:dyDescent="0.3">
      <c r="A640" s="1">
        <f t="shared" si="40"/>
        <v>631</v>
      </c>
      <c r="B640" s="1" t="str">
        <f>"(6,"&amp;I640&amp;")"</f>
        <v>(6,58)</v>
      </c>
      <c r="C640" s="4">
        <v>0.62181712962963043</v>
      </c>
      <c r="D640" s="4">
        <v>0.62195601851851934</v>
      </c>
      <c r="E640" s="2">
        <v>13.299999999999999</v>
      </c>
      <c r="F640" s="2">
        <v>13.409999999999998</v>
      </c>
      <c r="G640" s="1" t="s">
        <v>26</v>
      </c>
      <c r="H640" s="4">
        <f t="shared" si="49"/>
        <v>1.388888888889106E-4</v>
      </c>
      <c r="I640">
        <f t="shared" si="55"/>
        <v>58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</row>
    <row r="641" spans="1:110" ht="14.25" customHeight="1" x14ac:dyDescent="0.3">
      <c r="A641" s="1">
        <f t="shared" si="40"/>
        <v>632</v>
      </c>
      <c r="B641" s="1" t="str">
        <f>"(5,"&amp;I641&amp;")"</f>
        <v>(5,58)</v>
      </c>
      <c r="C641" s="4">
        <v>0.62223379629629716</v>
      </c>
      <c r="D641" s="4">
        <v>0.6224074074074083</v>
      </c>
      <c r="E641" s="2">
        <v>13.299999999999999</v>
      </c>
      <c r="F641" s="2">
        <v>13.319999999999999</v>
      </c>
      <c r="G641" s="1" t="s">
        <v>26</v>
      </c>
      <c r="H641" s="4">
        <f t="shared" si="49"/>
        <v>1.7361111111113825E-4</v>
      </c>
      <c r="I641">
        <f t="shared" si="55"/>
        <v>58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</row>
    <row r="642" spans="1:110" ht="14.25" customHeight="1" x14ac:dyDescent="0.3">
      <c r="A642" s="1">
        <f t="shared" si="40"/>
        <v>633</v>
      </c>
      <c r="B642" s="1" t="str">
        <f>"(4,"&amp;I642&amp;")"</f>
        <v>(4,58)</v>
      </c>
      <c r="C642" s="4">
        <v>0.62269675925926016</v>
      </c>
      <c r="D642" s="4">
        <v>0.6228703703703713</v>
      </c>
      <c r="E642" s="2">
        <v>13.299999999999999</v>
      </c>
      <c r="F642" s="2">
        <v>13.44</v>
      </c>
      <c r="G642" s="1" t="s">
        <v>26</v>
      </c>
      <c r="H642" s="4">
        <f t="shared" si="49"/>
        <v>1.7361111111113825E-4</v>
      </c>
      <c r="I642">
        <f t="shared" si="55"/>
        <v>58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</row>
    <row r="643" spans="1:110" ht="14.25" customHeight="1" x14ac:dyDescent="0.3">
      <c r="A643" s="1">
        <f t="shared" si="40"/>
        <v>634</v>
      </c>
      <c r="B643" s="1" t="str">
        <f>"(3,"&amp;I643&amp;")"</f>
        <v>(3,58)</v>
      </c>
      <c r="C643" s="4">
        <v>0.62312500000000093</v>
      </c>
      <c r="D643" s="4">
        <v>0.62329861111111207</v>
      </c>
      <c r="E643" s="2">
        <v>13.299999999999999</v>
      </c>
      <c r="F643" s="2">
        <v>13.37</v>
      </c>
      <c r="G643" s="1" t="s">
        <v>26</v>
      </c>
      <c r="H643" s="4">
        <f t="shared" si="49"/>
        <v>1.7361111111113825E-4</v>
      </c>
      <c r="I643">
        <f t="shared" si="55"/>
        <v>58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</row>
    <row r="644" spans="1:110" ht="14.25" customHeight="1" x14ac:dyDescent="0.3">
      <c r="A644" s="1">
        <f t="shared" si="40"/>
        <v>635</v>
      </c>
      <c r="B644" s="1" t="str">
        <f>"(2,"&amp;I644&amp;")"</f>
        <v>(2,58)</v>
      </c>
      <c r="C644" s="4">
        <v>0.62356481481481574</v>
      </c>
      <c r="D644" s="4">
        <v>0.62372685185185273</v>
      </c>
      <c r="E644" s="2">
        <v>13.299999999999999</v>
      </c>
      <c r="F644" s="2">
        <v>13.389999999999999</v>
      </c>
      <c r="G644" s="1" t="s">
        <v>26</v>
      </c>
      <c r="H644" s="4">
        <f t="shared" si="49"/>
        <v>1.6203703703698835E-4</v>
      </c>
      <c r="I644">
        <f t="shared" si="55"/>
        <v>58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</row>
    <row r="645" spans="1:110" ht="14.25" customHeight="1" x14ac:dyDescent="0.3">
      <c r="A645" s="1">
        <f t="shared" si="40"/>
        <v>636</v>
      </c>
      <c r="B645" s="1" t="str">
        <f>"(1,"&amp;I645&amp;")"</f>
        <v>(1,58)</v>
      </c>
      <c r="C645" s="4">
        <v>0.6239930555555564</v>
      </c>
      <c r="D645" s="4">
        <v>0.62414351851851935</v>
      </c>
      <c r="E645" s="2">
        <v>13.299999999999999</v>
      </c>
      <c r="F645" s="2">
        <v>13.36</v>
      </c>
      <c r="G645" s="1" t="s">
        <v>26</v>
      </c>
      <c r="H645" s="4">
        <f t="shared" si="49"/>
        <v>1.5046296296294948E-4</v>
      </c>
      <c r="I645">
        <f t="shared" si="55"/>
        <v>58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</row>
    <row r="646" spans="1:110" ht="14.25" customHeight="1" x14ac:dyDescent="0.3">
      <c r="A646" s="1">
        <f t="shared" si="40"/>
        <v>637</v>
      </c>
      <c r="B646" s="1" t="str">
        <f>"(1,"&amp;I646&amp;")"</f>
        <v>(1,59)</v>
      </c>
      <c r="C646" s="4">
        <v>0.62439814814814898</v>
      </c>
      <c r="D646" s="4">
        <v>0.62453703703703789</v>
      </c>
      <c r="E646" s="2">
        <v>13.299999999999999</v>
      </c>
      <c r="F646" s="2">
        <v>13.379999999999999</v>
      </c>
      <c r="G646" s="1" t="s">
        <v>26</v>
      </c>
      <c r="H646" s="4">
        <f t="shared" si="49"/>
        <v>1.388888888889106E-4</v>
      </c>
      <c r="I646">
        <f t="shared" ref="I646" si="56">I645+1</f>
        <v>59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</row>
    <row r="647" spans="1:110" ht="14.25" customHeight="1" x14ac:dyDescent="0.3">
      <c r="A647" s="1">
        <f t="shared" si="40"/>
        <v>638</v>
      </c>
      <c r="B647" s="1" t="str">
        <f>"(2,"&amp;I647&amp;")"</f>
        <v>(2,59)</v>
      </c>
      <c r="C647" s="4">
        <v>0.62479166666666752</v>
      </c>
      <c r="D647" s="4">
        <v>0.62494212962963047</v>
      </c>
      <c r="E647" s="2">
        <v>13.299999999999999</v>
      </c>
      <c r="F647" s="2">
        <v>13.399999999999999</v>
      </c>
      <c r="G647" s="1" t="s">
        <v>26</v>
      </c>
      <c r="H647" s="4">
        <f t="shared" si="49"/>
        <v>1.5046296296294948E-4</v>
      </c>
      <c r="I647">
        <f t="shared" ref="I647:I710" si="57">I646</f>
        <v>59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</row>
    <row r="648" spans="1:110" ht="14.25" customHeight="1" x14ac:dyDescent="0.3">
      <c r="A648" s="1">
        <f t="shared" si="40"/>
        <v>639</v>
      </c>
      <c r="B648" s="1" t="str">
        <f>"(3,"&amp;I648&amp;")"</f>
        <v>(3,59)</v>
      </c>
      <c r="C648" s="4">
        <v>0.62520833333333414</v>
      </c>
      <c r="D648" s="4">
        <v>0.62534722222222305</v>
      </c>
      <c r="E648" s="2">
        <v>13.299999999999999</v>
      </c>
      <c r="F648" s="2">
        <v>13.37</v>
      </c>
      <c r="G648" s="1" t="s">
        <v>26</v>
      </c>
      <c r="H648" s="4">
        <f t="shared" si="49"/>
        <v>1.388888888889106E-4</v>
      </c>
      <c r="I648">
        <f t="shared" si="57"/>
        <v>59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</row>
    <row r="649" spans="1:110" ht="14.25" customHeight="1" x14ac:dyDescent="0.3">
      <c r="A649" s="1">
        <f t="shared" si="40"/>
        <v>640</v>
      </c>
      <c r="B649" s="1" t="str">
        <f>"(4,"&amp;I649&amp;")"</f>
        <v>(4,59)</v>
      </c>
      <c r="C649" s="4">
        <v>0.6255787037037045</v>
      </c>
      <c r="D649" s="4">
        <v>0.62574074074074149</v>
      </c>
      <c r="E649" s="2">
        <v>13.299999999999999</v>
      </c>
      <c r="F649" s="2">
        <v>13.35</v>
      </c>
      <c r="G649" s="1" t="s">
        <v>26</v>
      </c>
      <c r="H649" s="4">
        <f t="shared" si="49"/>
        <v>1.6203703703698835E-4</v>
      </c>
      <c r="I649">
        <f t="shared" si="57"/>
        <v>59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</row>
    <row r="650" spans="1:110" ht="14.25" customHeight="1" x14ac:dyDescent="0.3">
      <c r="A650" s="1">
        <f t="shared" si="40"/>
        <v>641</v>
      </c>
      <c r="B650" s="1" t="str">
        <f>"(5,"&amp;I650&amp;")"</f>
        <v>(5,59)</v>
      </c>
      <c r="C650" s="4">
        <v>0.62600694444444516</v>
      </c>
      <c r="D650" s="4">
        <v>0.62614583333333407</v>
      </c>
      <c r="E650" s="2">
        <v>13.299999999999999</v>
      </c>
      <c r="F650" s="2">
        <v>13.319999999999999</v>
      </c>
      <c r="G650" s="1" t="s">
        <v>26</v>
      </c>
      <c r="H650" s="4">
        <f t="shared" si="49"/>
        <v>1.388888888889106E-4</v>
      </c>
      <c r="I650">
        <f t="shared" si="57"/>
        <v>59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</row>
    <row r="651" spans="1:110" ht="14.25" customHeight="1" x14ac:dyDescent="0.3">
      <c r="A651" s="1">
        <f t="shared" si="40"/>
        <v>642</v>
      </c>
      <c r="B651" s="1" t="str">
        <f>"(6,"&amp;I651&amp;")"</f>
        <v>(6,59)</v>
      </c>
      <c r="C651" s="4">
        <v>0.62637731481481551</v>
      </c>
      <c r="D651" s="4">
        <v>0.62652777777777846</v>
      </c>
      <c r="E651" s="2">
        <v>13.299999999999999</v>
      </c>
      <c r="F651" s="2">
        <v>13.37</v>
      </c>
      <c r="G651" s="1" t="s">
        <v>26</v>
      </c>
      <c r="H651" s="4">
        <f t="shared" si="49"/>
        <v>1.5046296296294948E-4</v>
      </c>
      <c r="I651">
        <f t="shared" si="57"/>
        <v>59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</row>
    <row r="652" spans="1:110" ht="14.25" customHeight="1" x14ac:dyDescent="0.3">
      <c r="A652" s="1">
        <f t="shared" si="40"/>
        <v>643</v>
      </c>
      <c r="B652" s="1" t="str">
        <f>"(7,"&amp;I652&amp;")"</f>
        <v>(7,59)</v>
      </c>
      <c r="C652" s="4">
        <v>0.62679398148148213</v>
      </c>
      <c r="D652" s="4">
        <v>0.62695601851851912</v>
      </c>
      <c r="E652" s="2">
        <v>13.299999999999999</v>
      </c>
      <c r="F652" s="2">
        <v>13.309999999999999</v>
      </c>
      <c r="G652" s="1" t="s">
        <v>26</v>
      </c>
      <c r="H652" s="4">
        <f t="shared" ref="H652:H715" si="58">D652-C652</f>
        <v>1.6203703703698835E-4</v>
      </c>
      <c r="I652">
        <f t="shared" si="57"/>
        <v>59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</row>
    <row r="653" spans="1:110" ht="14.25" customHeight="1" x14ac:dyDescent="0.3">
      <c r="A653" s="1">
        <f t="shared" si="40"/>
        <v>644</v>
      </c>
      <c r="B653" s="1" t="str">
        <f>"(8,"&amp;I653&amp;")"</f>
        <v>(8,59)</v>
      </c>
      <c r="C653" s="4">
        <v>0.62722222222222279</v>
      </c>
      <c r="D653" s="4">
        <v>0.62738425925925978</v>
      </c>
      <c r="E653" s="2">
        <v>13.299999999999999</v>
      </c>
      <c r="F653" s="2">
        <v>13.36</v>
      </c>
      <c r="G653" s="1" t="s">
        <v>26</v>
      </c>
      <c r="H653" s="4">
        <f t="shared" si="58"/>
        <v>1.6203703703698835E-4</v>
      </c>
      <c r="I653">
        <f t="shared" si="57"/>
        <v>59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</row>
    <row r="654" spans="1:110" ht="14.25" customHeight="1" x14ac:dyDescent="0.3">
      <c r="A654" s="1">
        <f t="shared" si="40"/>
        <v>645</v>
      </c>
      <c r="B654" s="1" t="str">
        <f>"(9,"&amp;I654&amp;")"</f>
        <v>(9,59)</v>
      </c>
      <c r="C654" s="4">
        <v>0.62763888888888941</v>
      </c>
      <c r="D654" s="4">
        <v>0.6278009259259264</v>
      </c>
      <c r="E654" s="2">
        <v>13.299999999999999</v>
      </c>
      <c r="F654" s="2">
        <v>13.409999999999998</v>
      </c>
      <c r="G654" s="1" t="s">
        <v>26</v>
      </c>
      <c r="H654" s="4">
        <f t="shared" si="58"/>
        <v>1.6203703703698835E-4</v>
      </c>
      <c r="I654">
        <f t="shared" si="57"/>
        <v>59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</row>
    <row r="655" spans="1:110" ht="14.25" customHeight="1" x14ac:dyDescent="0.3">
      <c r="A655" s="1">
        <f t="shared" si="40"/>
        <v>646</v>
      </c>
      <c r="B655" s="1" t="str">
        <f>"(10,"&amp;I655&amp;")"</f>
        <v>(10,59)</v>
      </c>
      <c r="C655" s="4">
        <v>0.62806712962963007</v>
      </c>
      <c r="D655" s="4">
        <v>0.62824074074074121</v>
      </c>
      <c r="E655" s="2">
        <v>13.299999999999999</v>
      </c>
      <c r="F655" s="2">
        <v>13.309999999999999</v>
      </c>
      <c r="G655" s="1" t="s">
        <v>26</v>
      </c>
      <c r="H655" s="4">
        <f t="shared" si="58"/>
        <v>1.7361111111113825E-4</v>
      </c>
      <c r="I655">
        <f t="shared" si="57"/>
        <v>59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</row>
    <row r="656" spans="1:110" ht="14.25" customHeight="1" x14ac:dyDescent="0.3">
      <c r="A656" s="1">
        <f t="shared" si="40"/>
        <v>647</v>
      </c>
      <c r="B656" s="1" t="str">
        <f>"(11,"&amp;I656&amp;")"</f>
        <v>(11,59)</v>
      </c>
      <c r="C656" s="4">
        <v>0.6284837962962968</v>
      </c>
      <c r="D656" s="4">
        <v>0.62864583333333379</v>
      </c>
      <c r="E656" s="2">
        <v>13.299999999999999</v>
      </c>
      <c r="F656" s="2">
        <v>13.309999999999999</v>
      </c>
      <c r="G656" s="1" t="s">
        <v>26</v>
      </c>
      <c r="H656" s="4">
        <f t="shared" si="58"/>
        <v>1.6203703703698835E-4</v>
      </c>
      <c r="I656">
        <f t="shared" si="57"/>
        <v>59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</row>
    <row r="657" spans="1:110" ht="14.25" customHeight="1" x14ac:dyDescent="0.3">
      <c r="A657" s="1">
        <f t="shared" si="40"/>
        <v>648</v>
      </c>
      <c r="B657" s="1" t="str">
        <f>"(11,"&amp;I657&amp;")"</f>
        <v>(11,60)</v>
      </c>
      <c r="C657" s="4">
        <v>0.62892361111111161</v>
      </c>
      <c r="D657" s="4">
        <v>0.62906250000000052</v>
      </c>
      <c r="E657" s="2">
        <v>13.299999999999999</v>
      </c>
      <c r="F657" s="2">
        <v>13.399999999999999</v>
      </c>
      <c r="G657" s="1" t="s">
        <v>26</v>
      </c>
      <c r="H657" s="4">
        <f t="shared" si="58"/>
        <v>1.388888888889106E-4</v>
      </c>
      <c r="I657">
        <f t="shared" ref="I657" si="59">I656+1</f>
        <v>60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</row>
    <row r="658" spans="1:110" ht="14.25" customHeight="1" x14ac:dyDescent="0.3">
      <c r="A658" s="1">
        <f t="shared" si="40"/>
        <v>649</v>
      </c>
      <c r="B658" s="1" t="str">
        <f>"(10,"&amp;I658&amp;")"</f>
        <v>(10,60)</v>
      </c>
      <c r="C658" s="4">
        <v>0.62929398148148197</v>
      </c>
      <c r="D658" s="4">
        <v>0.62945601851851896</v>
      </c>
      <c r="E658" s="2">
        <v>13.299999999999999</v>
      </c>
      <c r="F658" s="2">
        <v>13.389999999999999</v>
      </c>
      <c r="G658" s="1" t="s">
        <v>26</v>
      </c>
      <c r="H658" s="4">
        <f t="shared" si="58"/>
        <v>1.6203703703698835E-4</v>
      </c>
      <c r="I658">
        <f t="shared" ref="I658" si="60">I657</f>
        <v>60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</row>
    <row r="659" spans="1:110" ht="14.25" customHeight="1" x14ac:dyDescent="0.3">
      <c r="A659" s="1">
        <f t="shared" si="40"/>
        <v>650</v>
      </c>
      <c r="B659" s="1" t="str">
        <f>"(9,"&amp;I659&amp;")"</f>
        <v>(9,60)</v>
      </c>
      <c r="C659" s="4">
        <v>0.62969907407407455</v>
      </c>
      <c r="D659" s="4">
        <v>0.62987268518518569</v>
      </c>
      <c r="E659" s="2">
        <v>13.299999999999999</v>
      </c>
      <c r="F659" s="2">
        <v>13.45</v>
      </c>
      <c r="G659" s="1" t="s">
        <v>26</v>
      </c>
      <c r="H659" s="4">
        <f t="shared" si="58"/>
        <v>1.7361111111113825E-4</v>
      </c>
      <c r="I659">
        <f t="shared" si="57"/>
        <v>60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</row>
    <row r="660" spans="1:110" ht="14.25" customHeight="1" x14ac:dyDescent="0.3">
      <c r="A660" s="1">
        <f t="shared" si="40"/>
        <v>651</v>
      </c>
      <c r="B660" s="1" t="str">
        <f>"(8,"&amp;I660&amp;")"</f>
        <v>(8,60)</v>
      </c>
      <c r="C660" s="4">
        <v>0.63011574074074128</v>
      </c>
      <c r="D660" s="4">
        <v>0.63025462962963019</v>
      </c>
      <c r="E660" s="2">
        <v>13.299999999999999</v>
      </c>
      <c r="F660" s="2">
        <v>13.419999999999998</v>
      </c>
      <c r="G660" s="1" t="s">
        <v>26</v>
      </c>
      <c r="H660" s="4">
        <f t="shared" si="58"/>
        <v>1.388888888889106E-4</v>
      </c>
      <c r="I660">
        <f t="shared" si="57"/>
        <v>60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</row>
    <row r="661" spans="1:110" ht="14.25" customHeight="1" x14ac:dyDescent="0.3">
      <c r="A661" s="1">
        <f t="shared" si="40"/>
        <v>652</v>
      </c>
      <c r="B661" s="1" t="str">
        <f>"(7,"&amp;I661&amp;")"</f>
        <v>(7,60)</v>
      </c>
      <c r="C661" s="4">
        <v>0.63054398148148205</v>
      </c>
      <c r="D661" s="4">
        <v>0.63068287037037096</v>
      </c>
      <c r="E661" s="2">
        <v>13.299999999999999</v>
      </c>
      <c r="F661" s="2">
        <v>13.309999999999999</v>
      </c>
      <c r="G661" s="1" t="s">
        <v>26</v>
      </c>
      <c r="H661" s="4">
        <f t="shared" si="58"/>
        <v>1.388888888889106E-4</v>
      </c>
      <c r="I661">
        <f t="shared" si="57"/>
        <v>60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</row>
    <row r="662" spans="1:110" ht="14.25" customHeight="1" x14ac:dyDescent="0.3">
      <c r="A662" s="1">
        <f t="shared" si="40"/>
        <v>653</v>
      </c>
      <c r="B662" s="1" t="str">
        <f>"(6,"&amp;I662&amp;")"</f>
        <v>(6,60)</v>
      </c>
      <c r="C662" s="4">
        <v>0.63096064814814878</v>
      </c>
      <c r="D662" s="4">
        <v>0.63113425925925992</v>
      </c>
      <c r="E662" s="2">
        <v>13.299999999999999</v>
      </c>
      <c r="F662" s="2">
        <v>13.35</v>
      </c>
      <c r="G662" s="1" t="s">
        <v>26</v>
      </c>
      <c r="H662" s="4">
        <f t="shared" si="58"/>
        <v>1.7361111111113825E-4</v>
      </c>
      <c r="I662">
        <f t="shared" si="57"/>
        <v>60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</row>
    <row r="663" spans="1:110" ht="14.25" customHeight="1" x14ac:dyDescent="0.3">
      <c r="A663" s="1">
        <f t="shared" si="40"/>
        <v>654</v>
      </c>
      <c r="B663" s="1" t="str">
        <f>"(5,"&amp;I663&amp;")"</f>
        <v>(5,60)</v>
      </c>
      <c r="C663" s="4">
        <v>0.63141203703703774</v>
      </c>
      <c r="D663" s="4">
        <v>0.63156250000000069</v>
      </c>
      <c r="E663" s="2">
        <v>13.299999999999999</v>
      </c>
      <c r="F663" s="2">
        <v>13.44</v>
      </c>
      <c r="G663" s="1" t="s">
        <v>26</v>
      </c>
      <c r="H663" s="4">
        <f t="shared" si="58"/>
        <v>1.5046296296294948E-4</v>
      </c>
      <c r="I663">
        <f t="shared" si="57"/>
        <v>60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</row>
    <row r="664" spans="1:110" ht="14.25" customHeight="1" x14ac:dyDescent="0.3">
      <c r="A664" s="1">
        <f t="shared" si="40"/>
        <v>655</v>
      </c>
      <c r="B664" s="1" t="str">
        <f>"(4,"&amp;I664&amp;")"</f>
        <v>(4,60)</v>
      </c>
      <c r="C664" s="4">
        <v>0.63180555555555629</v>
      </c>
      <c r="D664" s="4">
        <v>0.63195601851851924</v>
      </c>
      <c r="E664" s="2">
        <v>13.299999999999999</v>
      </c>
      <c r="F664" s="2">
        <v>13.44</v>
      </c>
      <c r="G664" s="1" t="s">
        <v>26</v>
      </c>
      <c r="H664" s="4">
        <f t="shared" si="58"/>
        <v>1.5046296296294948E-4</v>
      </c>
      <c r="I664">
        <f t="shared" si="57"/>
        <v>60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</row>
    <row r="665" spans="1:110" ht="14.25" customHeight="1" x14ac:dyDescent="0.3">
      <c r="A665" s="1">
        <f t="shared" si="40"/>
        <v>656</v>
      </c>
      <c r="B665" s="1" t="str">
        <f>"(3,"&amp;I665&amp;")"</f>
        <v>(3,60)</v>
      </c>
      <c r="C665" s="4">
        <v>0.63218750000000068</v>
      </c>
      <c r="D665" s="4">
        <v>0.63232638888888959</v>
      </c>
      <c r="E665" s="2">
        <v>13.299999999999999</v>
      </c>
      <c r="F665" s="2">
        <v>13.329999999999998</v>
      </c>
      <c r="G665" s="1" t="s">
        <v>26</v>
      </c>
      <c r="H665" s="4">
        <f t="shared" si="58"/>
        <v>1.388888888889106E-4</v>
      </c>
      <c r="I665">
        <f t="shared" si="57"/>
        <v>60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</row>
    <row r="666" spans="1:110" ht="14.25" customHeight="1" x14ac:dyDescent="0.3">
      <c r="A666" s="1">
        <f t="shared" si="40"/>
        <v>657</v>
      </c>
      <c r="B666" s="1" t="str">
        <f>"(2,"&amp;I666&amp;")"</f>
        <v>(2,60)</v>
      </c>
      <c r="C666" s="4">
        <v>0.63258101851851922</v>
      </c>
      <c r="D666" s="4">
        <v>0.63273148148148217</v>
      </c>
      <c r="E666" s="2">
        <v>13.299999999999999</v>
      </c>
      <c r="F666" s="2">
        <v>13.45</v>
      </c>
      <c r="G666" s="1" t="s">
        <v>26</v>
      </c>
      <c r="H666" s="4">
        <f t="shared" si="58"/>
        <v>1.5046296296294948E-4</v>
      </c>
      <c r="I666">
        <f t="shared" si="57"/>
        <v>60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</row>
    <row r="667" spans="1:110" ht="14.25" customHeight="1" x14ac:dyDescent="0.3">
      <c r="A667" s="1">
        <f t="shared" si="40"/>
        <v>658</v>
      </c>
      <c r="B667" s="1" t="str">
        <f>"(1,"&amp;I667&amp;")"</f>
        <v>(1,60)</v>
      </c>
      <c r="C667" s="4">
        <v>0.63297453703703777</v>
      </c>
      <c r="D667" s="4">
        <v>0.63312500000000071</v>
      </c>
      <c r="E667" s="2">
        <v>13.299999999999999</v>
      </c>
      <c r="F667" s="2">
        <v>13.319999999999999</v>
      </c>
      <c r="G667" s="1" t="s">
        <v>26</v>
      </c>
      <c r="H667" s="4">
        <f t="shared" si="58"/>
        <v>1.5046296296294948E-4</v>
      </c>
      <c r="I667">
        <f t="shared" si="57"/>
        <v>60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</row>
    <row r="668" spans="1:110" ht="14.25" customHeight="1" x14ac:dyDescent="0.3">
      <c r="A668" s="1">
        <f t="shared" si="40"/>
        <v>659</v>
      </c>
      <c r="B668" s="1" t="str">
        <f>"(1,"&amp;I668&amp;")"</f>
        <v>(1,61)</v>
      </c>
      <c r="C668" s="4">
        <v>0.63335648148148216</v>
      </c>
      <c r="D668" s="4">
        <v>0.63350694444444511</v>
      </c>
      <c r="E668" s="2">
        <v>13.299999999999999</v>
      </c>
      <c r="F668" s="2">
        <v>13.319999999999999</v>
      </c>
      <c r="G668" s="1" t="s">
        <v>26</v>
      </c>
      <c r="H668" s="4">
        <f t="shared" si="58"/>
        <v>1.5046296296294948E-4</v>
      </c>
      <c r="I668">
        <f t="shared" ref="I668" si="61">I667+1</f>
        <v>61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</row>
    <row r="669" spans="1:110" ht="14.25" customHeight="1" x14ac:dyDescent="0.3">
      <c r="A669" s="1">
        <f t="shared" si="40"/>
        <v>660</v>
      </c>
      <c r="B669" s="1" t="str">
        <f>"(2,"&amp;I669&amp;")"</f>
        <v>(2,61)</v>
      </c>
      <c r="C669" s="4">
        <v>0.63379629629629697</v>
      </c>
      <c r="D669" s="4">
        <v>0.63395833333333396</v>
      </c>
      <c r="E669" s="2">
        <v>13.299999999999999</v>
      </c>
      <c r="F669" s="2">
        <v>13.43</v>
      </c>
      <c r="G669" s="1" t="s">
        <v>26</v>
      </c>
      <c r="H669" s="4">
        <f t="shared" si="58"/>
        <v>1.6203703703698835E-4</v>
      </c>
      <c r="I669">
        <f t="shared" ref="I669" si="62">I668</f>
        <v>61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</row>
    <row r="670" spans="1:110" ht="14.25" customHeight="1" x14ac:dyDescent="0.3">
      <c r="A670" s="1">
        <f t="shared" si="40"/>
        <v>661</v>
      </c>
      <c r="B670" s="1" t="str">
        <f>"(3,"&amp;I670&amp;")"</f>
        <v>(3,61)</v>
      </c>
      <c r="C670" s="4">
        <v>0.63422453703703763</v>
      </c>
      <c r="D670" s="4">
        <v>0.63439814814814877</v>
      </c>
      <c r="E670" s="2">
        <v>13.299999999999999</v>
      </c>
      <c r="F670" s="2">
        <v>13.309999999999999</v>
      </c>
      <c r="G670" s="1" t="s">
        <v>26</v>
      </c>
      <c r="H670" s="4">
        <f t="shared" si="58"/>
        <v>1.7361111111113825E-4</v>
      </c>
      <c r="I670">
        <f t="shared" si="57"/>
        <v>61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</row>
    <row r="671" spans="1:110" ht="14.25" customHeight="1" x14ac:dyDescent="0.3">
      <c r="A671" s="1">
        <f t="shared" si="40"/>
        <v>662</v>
      </c>
      <c r="B671" s="1" t="str">
        <f>"(4,"&amp;I671&amp;")"</f>
        <v>(4,61)</v>
      </c>
      <c r="C671" s="4">
        <v>0.63468750000000063</v>
      </c>
      <c r="D671" s="4">
        <v>0.63482638888888954</v>
      </c>
      <c r="E671" s="2">
        <v>13.299999999999999</v>
      </c>
      <c r="F671" s="2">
        <v>13.44</v>
      </c>
      <c r="G671" s="1" t="s">
        <v>26</v>
      </c>
      <c r="H671" s="4">
        <f t="shared" si="58"/>
        <v>1.388888888889106E-4</v>
      </c>
      <c r="I671">
        <f t="shared" si="57"/>
        <v>61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</row>
    <row r="672" spans="1:110" ht="14.25" customHeight="1" x14ac:dyDescent="0.3">
      <c r="A672" s="1">
        <f t="shared" si="40"/>
        <v>663</v>
      </c>
      <c r="B672" s="1" t="str">
        <f>"(5,"&amp;I672&amp;")"</f>
        <v>(5,61)</v>
      </c>
      <c r="C672" s="4">
        <v>0.63509259259259321</v>
      </c>
      <c r="D672" s="4">
        <v>0.63523148148148212</v>
      </c>
      <c r="E672" s="2">
        <v>13.299999999999999</v>
      </c>
      <c r="F672" s="2">
        <v>13.339999999999998</v>
      </c>
      <c r="G672" s="1" t="s">
        <v>26</v>
      </c>
      <c r="H672" s="4">
        <f t="shared" si="58"/>
        <v>1.388888888889106E-4</v>
      </c>
      <c r="I672">
        <f t="shared" si="57"/>
        <v>61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</row>
    <row r="673" spans="1:110" ht="14.25" customHeight="1" x14ac:dyDescent="0.3">
      <c r="A673" s="1">
        <f t="shared" si="40"/>
        <v>664</v>
      </c>
      <c r="B673" s="1" t="str">
        <f>"(6,"&amp;I673&amp;")"</f>
        <v>(6,61)</v>
      </c>
      <c r="C673" s="4">
        <v>0.63552083333333398</v>
      </c>
      <c r="D673" s="4">
        <v>0.63565972222222289</v>
      </c>
      <c r="E673" s="2">
        <v>13.299999999999999</v>
      </c>
      <c r="F673" s="2">
        <v>13.43</v>
      </c>
      <c r="G673" s="1" t="s">
        <v>26</v>
      </c>
      <c r="H673" s="4">
        <f t="shared" si="58"/>
        <v>1.388888888889106E-4</v>
      </c>
      <c r="I673">
        <f t="shared" si="57"/>
        <v>61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</row>
    <row r="674" spans="1:110" ht="14.25" customHeight="1" x14ac:dyDescent="0.3">
      <c r="A674" s="1">
        <f t="shared" si="40"/>
        <v>665</v>
      </c>
      <c r="B674" s="1" t="str">
        <f>"(7,"&amp;I674&amp;")"</f>
        <v>(7,61)</v>
      </c>
      <c r="C674" s="4">
        <v>0.63589120370370433</v>
      </c>
      <c r="D674" s="4">
        <v>0.63604166666666728</v>
      </c>
      <c r="E674" s="2">
        <v>13.299999999999999</v>
      </c>
      <c r="F674" s="2">
        <v>13.379999999999999</v>
      </c>
      <c r="G674" s="1" t="s">
        <v>26</v>
      </c>
      <c r="H674" s="4">
        <f t="shared" si="58"/>
        <v>1.5046296296294948E-4</v>
      </c>
      <c r="I674">
        <f t="shared" si="57"/>
        <v>61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</row>
    <row r="675" spans="1:110" ht="14.25" customHeight="1" x14ac:dyDescent="0.3">
      <c r="A675" s="1">
        <f t="shared" si="40"/>
        <v>666</v>
      </c>
      <c r="B675" s="1" t="str">
        <f>"(8,"&amp;I675&amp;")"</f>
        <v>(8,61)</v>
      </c>
      <c r="C675" s="4">
        <v>0.6363194444444451</v>
      </c>
      <c r="D675" s="4">
        <v>0.63646990740740805</v>
      </c>
      <c r="E675" s="2">
        <v>13.299999999999999</v>
      </c>
      <c r="F675" s="2">
        <v>13.44</v>
      </c>
      <c r="G675" s="1" t="s">
        <v>26</v>
      </c>
      <c r="H675" s="4">
        <f t="shared" si="58"/>
        <v>1.5046296296294948E-4</v>
      </c>
      <c r="I675">
        <f t="shared" si="57"/>
        <v>61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</row>
    <row r="676" spans="1:110" ht="14.25" customHeight="1" x14ac:dyDescent="0.3">
      <c r="A676" s="1">
        <f t="shared" si="40"/>
        <v>667</v>
      </c>
      <c r="B676" s="1" t="str">
        <f>"(9,"&amp;I676&amp;")"</f>
        <v>(9,61)</v>
      </c>
      <c r="C676" s="4">
        <v>0.63674768518518587</v>
      </c>
      <c r="D676" s="4">
        <v>0.63690972222222286</v>
      </c>
      <c r="E676" s="2">
        <v>13.299999999999999</v>
      </c>
      <c r="F676" s="2">
        <v>13.36</v>
      </c>
      <c r="G676" s="1" t="s">
        <v>26</v>
      </c>
      <c r="H676" s="4">
        <f t="shared" si="58"/>
        <v>1.6203703703698835E-4</v>
      </c>
      <c r="I676">
        <f t="shared" si="57"/>
        <v>61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</row>
    <row r="677" spans="1:110" ht="14.25" customHeight="1" x14ac:dyDescent="0.3">
      <c r="A677" s="1">
        <f t="shared" si="40"/>
        <v>668</v>
      </c>
      <c r="B677" s="1" t="str">
        <f>"(10,"&amp;I677&amp;")"</f>
        <v>(10,61)</v>
      </c>
      <c r="C677" s="4">
        <v>0.63714120370370431</v>
      </c>
      <c r="D677" s="4">
        <v>0.63729166666666726</v>
      </c>
      <c r="E677" s="2">
        <v>13.299999999999999</v>
      </c>
      <c r="F677" s="2">
        <v>13.37</v>
      </c>
      <c r="G677" s="1" t="s">
        <v>26</v>
      </c>
      <c r="H677" s="4">
        <f t="shared" si="58"/>
        <v>1.5046296296294948E-4</v>
      </c>
      <c r="I677">
        <f t="shared" si="57"/>
        <v>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</row>
    <row r="678" spans="1:110" ht="14.25" customHeight="1" x14ac:dyDescent="0.3">
      <c r="A678" s="1">
        <f t="shared" si="40"/>
        <v>669</v>
      </c>
      <c r="B678" s="1" t="str">
        <f>"(11,"&amp;I678&amp;")"</f>
        <v>(11,61)</v>
      </c>
      <c r="C678" s="4">
        <v>0.63756944444444508</v>
      </c>
      <c r="D678" s="4">
        <v>0.63774305555555622</v>
      </c>
      <c r="E678" s="2">
        <v>13.299999999999999</v>
      </c>
      <c r="F678" s="2">
        <v>13.45</v>
      </c>
      <c r="G678" s="1" t="s">
        <v>26</v>
      </c>
      <c r="H678" s="4">
        <f t="shared" si="58"/>
        <v>1.7361111111113825E-4</v>
      </c>
      <c r="I678">
        <f t="shared" si="57"/>
        <v>61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</row>
    <row r="679" spans="1:110" ht="14.25" customHeight="1" x14ac:dyDescent="0.3">
      <c r="A679" s="1">
        <f t="shared" si="40"/>
        <v>670</v>
      </c>
      <c r="B679" s="1" t="str">
        <f>"(11,"&amp;I679&amp;")"</f>
        <v>(11,62)</v>
      </c>
      <c r="C679" s="4">
        <v>0.63799768518518585</v>
      </c>
      <c r="D679" s="4">
        <v>0.6381481481481488</v>
      </c>
      <c r="E679" s="2">
        <v>13.299999999999999</v>
      </c>
      <c r="F679" s="2">
        <v>13.36</v>
      </c>
      <c r="G679" s="1" t="s">
        <v>26</v>
      </c>
      <c r="H679" s="4">
        <f t="shared" si="58"/>
        <v>1.5046296296294948E-4</v>
      </c>
      <c r="I679">
        <f t="shared" ref="I679" si="63">I678+1</f>
        <v>62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</row>
    <row r="680" spans="1:110" ht="14.25" customHeight="1" x14ac:dyDescent="0.3">
      <c r="A680" s="1">
        <f t="shared" si="40"/>
        <v>671</v>
      </c>
      <c r="B680" s="1" t="str">
        <f>"(10,"&amp;I680&amp;")"</f>
        <v>(10,62)</v>
      </c>
      <c r="C680" s="4">
        <v>0.63841435185185247</v>
      </c>
      <c r="D680" s="4">
        <v>0.63855324074074138</v>
      </c>
      <c r="E680" s="2">
        <v>13.299999999999999</v>
      </c>
      <c r="F680" s="2">
        <v>13.389999999999999</v>
      </c>
      <c r="G680" s="1" t="s">
        <v>26</v>
      </c>
      <c r="H680" s="4">
        <f t="shared" si="58"/>
        <v>1.388888888889106E-4</v>
      </c>
      <c r="I680">
        <f t="shared" ref="I680" si="64">I679</f>
        <v>62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</row>
    <row r="681" spans="1:110" ht="14.25" customHeight="1" x14ac:dyDescent="0.3">
      <c r="A681" s="1">
        <f t="shared" si="40"/>
        <v>672</v>
      </c>
      <c r="B681" s="1" t="str">
        <f>"(9,"&amp;I681&amp;")"</f>
        <v>(9,62)</v>
      </c>
      <c r="C681" s="4">
        <v>0.63884259259259324</v>
      </c>
      <c r="D681" s="4">
        <v>0.63901620370370438</v>
      </c>
      <c r="E681" s="2">
        <v>13.299999999999999</v>
      </c>
      <c r="F681" s="2">
        <v>13.329999999999998</v>
      </c>
      <c r="G681" s="1" t="s">
        <v>26</v>
      </c>
      <c r="H681" s="4">
        <f t="shared" si="58"/>
        <v>1.7361111111113825E-4</v>
      </c>
      <c r="I681">
        <f t="shared" si="57"/>
        <v>62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</row>
    <row r="682" spans="1:110" ht="14.25" customHeight="1" x14ac:dyDescent="0.3">
      <c r="A682" s="1">
        <f t="shared" si="40"/>
        <v>673</v>
      </c>
      <c r="B682" s="1" t="str">
        <f>"(8,"&amp;I682&amp;")"</f>
        <v>(8,62)</v>
      </c>
      <c r="C682" s="4">
        <v>0.63924768518518582</v>
      </c>
      <c r="D682" s="4">
        <v>0.63939814814814877</v>
      </c>
      <c r="E682" s="2">
        <v>13.299999999999999</v>
      </c>
      <c r="F682" s="2">
        <v>13.43</v>
      </c>
      <c r="G682" s="1" t="s">
        <v>26</v>
      </c>
      <c r="H682" s="4">
        <f t="shared" si="58"/>
        <v>1.5046296296294948E-4</v>
      </c>
      <c r="I682">
        <f t="shared" si="57"/>
        <v>62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</row>
    <row r="683" spans="1:110" ht="14.25" customHeight="1" x14ac:dyDescent="0.3">
      <c r="A683" s="1">
        <f t="shared" si="40"/>
        <v>674</v>
      </c>
      <c r="B683" s="1" t="str">
        <f>"(7,"&amp;I683&amp;")"</f>
        <v>(7,62)</v>
      </c>
      <c r="C683" s="4">
        <v>0.63962962962963021</v>
      </c>
      <c r="D683" s="4">
        <v>0.63978009259259316</v>
      </c>
      <c r="E683" s="2">
        <v>13.299999999999999</v>
      </c>
      <c r="F683" s="2">
        <v>13.45</v>
      </c>
      <c r="G683" s="1" t="s">
        <v>26</v>
      </c>
      <c r="H683" s="4">
        <f t="shared" si="58"/>
        <v>1.5046296296294948E-4</v>
      </c>
      <c r="I683">
        <f t="shared" si="57"/>
        <v>62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</row>
    <row r="684" spans="1:110" ht="14.25" customHeight="1" x14ac:dyDescent="0.3">
      <c r="A684" s="1">
        <f t="shared" si="40"/>
        <v>675</v>
      </c>
      <c r="B684" s="1" t="str">
        <f>"(6,"&amp;I684&amp;")"</f>
        <v>(6,62)</v>
      </c>
      <c r="C684" s="4">
        <v>0.64004629629629683</v>
      </c>
      <c r="D684" s="4">
        <v>0.64021990740740797</v>
      </c>
      <c r="E684" s="2">
        <v>13.299999999999999</v>
      </c>
      <c r="F684" s="2">
        <v>13.389999999999999</v>
      </c>
      <c r="G684" s="1" t="s">
        <v>26</v>
      </c>
      <c r="H684" s="4">
        <f t="shared" si="58"/>
        <v>1.7361111111113825E-4</v>
      </c>
      <c r="I684">
        <f t="shared" si="57"/>
        <v>62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</row>
    <row r="685" spans="1:110" ht="14.25" customHeight="1" x14ac:dyDescent="0.3">
      <c r="A685" s="1">
        <f t="shared" si="40"/>
        <v>676</v>
      </c>
      <c r="B685" s="1" t="str">
        <f>"(5,"&amp;I685&amp;")"</f>
        <v>(5,62)</v>
      </c>
      <c r="C685" s="4">
        <v>0.64045138888888942</v>
      </c>
      <c r="D685" s="4">
        <v>0.64061342592592641</v>
      </c>
      <c r="E685" s="2">
        <v>13.299999999999999</v>
      </c>
      <c r="F685" s="2">
        <v>13.339999999999998</v>
      </c>
      <c r="G685" s="1" t="s">
        <v>26</v>
      </c>
      <c r="H685" s="4">
        <f t="shared" si="58"/>
        <v>1.6203703703698835E-4</v>
      </c>
      <c r="I685">
        <f t="shared" si="57"/>
        <v>62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</row>
    <row r="686" spans="1:110" ht="14.25" customHeight="1" x14ac:dyDescent="0.3">
      <c r="A686" s="1">
        <f t="shared" si="40"/>
        <v>677</v>
      </c>
      <c r="B686" s="1" t="str">
        <f>"(4,"&amp;I686&amp;")"</f>
        <v>(4,62)</v>
      </c>
      <c r="C686" s="4">
        <v>0.640856481481482</v>
      </c>
      <c r="D686" s="4">
        <v>0.64099537037037091</v>
      </c>
      <c r="E686" s="2">
        <v>13.299999999999999</v>
      </c>
      <c r="F686" s="2">
        <v>13.399999999999999</v>
      </c>
      <c r="G686" s="1" t="s">
        <v>26</v>
      </c>
      <c r="H686" s="4">
        <f t="shared" si="58"/>
        <v>1.388888888889106E-4</v>
      </c>
      <c r="I686">
        <f t="shared" si="57"/>
        <v>62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</row>
    <row r="687" spans="1:110" ht="14.25" customHeight="1" x14ac:dyDescent="0.3">
      <c r="A687" s="1">
        <f t="shared" si="40"/>
        <v>678</v>
      </c>
      <c r="B687" s="1" t="str">
        <f>"(3,"&amp;I687&amp;")"</f>
        <v>(3,62)</v>
      </c>
      <c r="C687" s="4">
        <v>0.64126157407407458</v>
      </c>
      <c r="D687" s="4">
        <v>0.64141203703703753</v>
      </c>
      <c r="E687" s="2">
        <v>13.299999999999999</v>
      </c>
      <c r="F687" s="2">
        <v>13.37</v>
      </c>
      <c r="G687" s="1" t="s">
        <v>26</v>
      </c>
      <c r="H687" s="4">
        <f t="shared" si="58"/>
        <v>1.5046296296294948E-4</v>
      </c>
      <c r="I687">
        <f t="shared" si="57"/>
        <v>62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</row>
    <row r="688" spans="1:110" ht="14.25" customHeight="1" x14ac:dyDescent="0.3">
      <c r="A688" s="1">
        <f t="shared" si="40"/>
        <v>679</v>
      </c>
      <c r="B688" s="1" t="str">
        <f>"(2,"&amp;I688&amp;")"</f>
        <v>(2,62)</v>
      </c>
      <c r="C688" s="4">
        <v>0.6416782407407412</v>
      </c>
      <c r="D688" s="4">
        <v>0.64182870370370415</v>
      </c>
      <c r="E688" s="2">
        <v>13.299999999999999</v>
      </c>
      <c r="F688" s="2">
        <v>13.329999999999998</v>
      </c>
      <c r="G688" s="1" t="s">
        <v>26</v>
      </c>
      <c r="H688" s="4">
        <f t="shared" si="58"/>
        <v>1.5046296296294948E-4</v>
      </c>
      <c r="I688">
        <f t="shared" si="57"/>
        <v>62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</row>
    <row r="689" spans="1:110" ht="14.25" customHeight="1" x14ac:dyDescent="0.3">
      <c r="A689" s="1">
        <f t="shared" si="40"/>
        <v>680</v>
      </c>
      <c r="B689" s="1" t="str">
        <f>"(1,"&amp;I689&amp;")"</f>
        <v>(1,62)</v>
      </c>
      <c r="C689" s="4">
        <v>0.64206018518518559</v>
      </c>
      <c r="D689" s="4">
        <v>0.64222222222222258</v>
      </c>
      <c r="E689" s="2">
        <v>13.299999999999999</v>
      </c>
      <c r="F689" s="2">
        <v>13.45</v>
      </c>
      <c r="G689" s="1" t="s">
        <v>26</v>
      </c>
      <c r="H689" s="4">
        <f t="shared" si="58"/>
        <v>1.6203703703698835E-4</v>
      </c>
      <c r="I689">
        <f t="shared" si="57"/>
        <v>62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</row>
    <row r="690" spans="1:110" ht="14.25" customHeight="1" x14ac:dyDescent="0.3">
      <c r="A690" s="1">
        <f t="shared" si="40"/>
        <v>681</v>
      </c>
      <c r="B690" s="1" t="str">
        <f>"(1,"&amp;I690&amp;")"</f>
        <v>(1,63)</v>
      </c>
      <c r="C690" s="4">
        <v>0.64251157407407444</v>
      </c>
      <c r="D690" s="4">
        <v>0.64265046296296335</v>
      </c>
      <c r="E690" s="2">
        <v>13.299999999999999</v>
      </c>
      <c r="F690" s="2">
        <v>13.36</v>
      </c>
      <c r="G690" s="1" t="s">
        <v>26</v>
      </c>
      <c r="H690" s="4">
        <f t="shared" si="58"/>
        <v>1.388888888889106E-4</v>
      </c>
      <c r="I690">
        <f t="shared" ref="I690" si="65">I689+1</f>
        <v>63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</row>
    <row r="691" spans="1:110" ht="14.25" customHeight="1" x14ac:dyDescent="0.3">
      <c r="A691" s="1">
        <f t="shared" si="40"/>
        <v>682</v>
      </c>
      <c r="B691" s="1" t="str">
        <f>"(2,"&amp;I691&amp;")"</f>
        <v>(2,63)</v>
      </c>
      <c r="C691" s="4">
        <v>0.6428819444444448</v>
      </c>
      <c r="D691" s="4">
        <v>0.64304398148148179</v>
      </c>
      <c r="E691" s="2">
        <v>13.299999999999999</v>
      </c>
      <c r="F691" s="2">
        <v>13.419999999999998</v>
      </c>
      <c r="G691" s="1" t="s">
        <v>26</v>
      </c>
      <c r="H691" s="4">
        <f t="shared" si="58"/>
        <v>1.6203703703698835E-4</v>
      </c>
      <c r="I691">
        <f t="shared" ref="I691" si="66">I690</f>
        <v>63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</row>
    <row r="692" spans="1:110" ht="14.25" customHeight="1" x14ac:dyDescent="0.3">
      <c r="A692" s="1">
        <f t="shared" si="40"/>
        <v>683</v>
      </c>
      <c r="B692" s="1" t="str">
        <f>"(3,"&amp;I692&amp;")"</f>
        <v>(3,63)</v>
      </c>
      <c r="C692" s="4">
        <v>0.64329861111111142</v>
      </c>
      <c r="D692" s="4">
        <v>0.64343750000000033</v>
      </c>
      <c r="E692" s="2">
        <v>13.299999999999999</v>
      </c>
      <c r="F692" s="2">
        <v>13.36</v>
      </c>
      <c r="G692" s="1" t="s">
        <v>26</v>
      </c>
      <c r="H692" s="4">
        <f t="shared" si="58"/>
        <v>1.388888888889106E-4</v>
      </c>
      <c r="I692">
        <f t="shared" si="57"/>
        <v>63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</row>
    <row r="693" spans="1:110" ht="14.25" customHeight="1" x14ac:dyDescent="0.3">
      <c r="A693" s="1">
        <f t="shared" si="40"/>
        <v>684</v>
      </c>
      <c r="B693" s="1" t="str">
        <f>"(4,"&amp;I693&amp;")"</f>
        <v>(4,63)</v>
      </c>
      <c r="C693" s="4">
        <v>0.64369212962962996</v>
      </c>
      <c r="D693" s="4">
        <v>0.6438657407407411</v>
      </c>
      <c r="E693" s="2">
        <v>13.299999999999999</v>
      </c>
      <c r="F693" s="2">
        <v>13.45</v>
      </c>
      <c r="G693" s="1" t="s">
        <v>26</v>
      </c>
      <c r="H693" s="4">
        <f t="shared" si="58"/>
        <v>1.7361111111113825E-4</v>
      </c>
      <c r="I693">
        <f t="shared" si="57"/>
        <v>63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</row>
    <row r="694" spans="1:110" ht="14.25" customHeight="1" x14ac:dyDescent="0.3">
      <c r="A694" s="1">
        <f t="shared" si="40"/>
        <v>685</v>
      </c>
      <c r="B694" s="1" t="str">
        <f>"(5,"&amp;I694&amp;")"</f>
        <v>(5,63)</v>
      </c>
      <c r="C694" s="4">
        <v>0.64409722222222254</v>
      </c>
      <c r="D694" s="4">
        <v>0.64427083333333368</v>
      </c>
      <c r="E694" s="2">
        <v>13.299999999999999</v>
      </c>
      <c r="F694" s="2">
        <v>13.45</v>
      </c>
      <c r="G694" s="1" t="s">
        <v>26</v>
      </c>
      <c r="H694" s="4">
        <f t="shared" si="58"/>
        <v>1.7361111111113825E-4</v>
      </c>
      <c r="I694">
        <f t="shared" si="57"/>
        <v>63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</row>
    <row r="695" spans="1:110" ht="14.25" customHeight="1" x14ac:dyDescent="0.3">
      <c r="A695" s="1">
        <f t="shared" si="40"/>
        <v>686</v>
      </c>
      <c r="B695" s="1" t="str">
        <f>"(6,"&amp;I695&amp;")"</f>
        <v>(6,63)</v>
      </c>
      <c r="C695" s="4">
        <v>0.6445486111111115</v>
      </c>
      <c r="D695" s="4">
        <v>0.64472222222222264</v>
      </c>
      <c r="E695" s="2">
        <v>13.299999999999999</v>
      </c>
      <c r="F695" s="2">
        <v>13.45</v>
      </c>
      <c r="G695" s="1" t="s">
        <v>26</v>
      </c>
      <c r="H695" s="4">
        <f t="shared" si="58"/>
        <v>1.7361111111113825E-4</v>
      </c>
      <c r="I695">
        <f t="shared" si="57"/>
        <v>63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</row>
    <row r="696" spans="1:110" ht="14.25" customHeight="1" x14ac:dyDescent="0.3">
      <c r="A696" s="1">
        <f t="shared" si="40"/>
        <v>687</v>
      </c>
      <c r="B696" s="1" t="str">
        <f>"(7,"&amp;I696&amp;")"</f>
        <v>(7,63)</v>
      </c>
      <c r="C696" s="4">
        <v>0.64496527777777823</v>
      </c>
      <c r="D696" s="4">
        <v>0.64513888888888937</v>
      </c>
      <c r="E696" s="2">
        <v>13.299999999999999</v>
      </c>
      <c r="F696" s="2">
        <v>13.399999999999999</v>
      </c>
      <c r="G696" s="1" t="s">
        <v>26</v>
      </c>
      <c r="H696" s="4">
        <f t="shared" si="58"/>
        <v>1.7361111111113825E-4</v>
      </c>
      <c r="I696">
        <f t="shared" si="57"/>
        <v>63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</row>
    <row r="697" spans="1:110" ht="14.25" customHeight="1" x14ac:dyDescent="0.3">
      <c r="A697" s="1">
        <f t="shared" si="40"/>
        <v>688</v>
      </c>
      <c r="B697" s="1" t="str">
        <f>"(8,"&amp;I697&amp;")"</f>
        <v>(8,63)</v>
      </c>
      <c r="C697" s="4">
        <v>0.64537037037037082</v>
      </c>
      <c r="D697" s="4">
        <v>0.6455324074074078</v>
      </c>
      <c r="E697" s="2">
        <v>13.299999999999999</v>
      </c>
      <c r="F697" s="2">
        <v>13.379999999999999</v>
      </c>
      <c r="G697" s="1" t="s">
        <v>26</v>
      </c>
      <c r="H697" s="4">
        <f t="shared" si="58"/>
        <v>1.6203703703698835E-4</v>
      </c>
      <c r="I697">
        <f t="shared" si="57"/>
        <v>63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</row>
    <row r="698" spans="1:110" ht="14.25" customHeight="1" x14ac:dyDescent="0.3">
      <c r="A698" s="1">
        <f t="shared" si="40"/>
        <v>689</v>
      </c>
      <c r="B698" s="1" t="str">
        <f>"(9,"&amp;I698&amp;")"</f>
        <v>(9,63)</v>
      </c>
      <c r="C698" s="4">
        <v>0.64579861111111148</v>
      </c>
      <c r="D698" s="4">
        <v>0.64594907407407443</v>
      </c>
      <c r="E698" s="2">
        <v>13.299999999999999</v>
      </c>
      <c r="F698" s="2">
        <v>13.339999999999998</v>
      </c>
      <c r="G698" s="1" t="s">
        <v>26</v>
      </c>
      <c r="H698" s="4">
        <f t="shared" si="58"/>
        <v>1.5046296296294948E-4</v>
      </c>
      <c r="I698">
        <f t="shared" si="57"/>
        <v>63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</row>
    <row r="699" spans="1:110" ht="14.25" customHeight="1" x14ac:dyDescent="0.3">
      <c r="A699" s="1">
        <f t="shared" si="40"/>
        <v>690</v>
      </c>
      <c r="B699" s="1" t="str">
        <f>"(10,"&amp;I699&amp;")"</f>
        <v>(10,63)</v>
      </c>
      <c r="C699" s="4">
        <v>0.64622685185185225</v>
      </c>
      <c r="D699" s="4">
        <v>0.6463773148148152</v>
      </c>
      <c r="E699" s="2">
        <v>13.299999999999999</v>
      </c>
      <c r="F699" s="2">
        <v>13.319999999999999</v>
      </c>
      <c r="G699" s="1" t="s">
        <v>26</v>
      </c>
      <c r="H699" s="4">
        <f t="shared" si="58"/>
        <v>1.5046296296294948E-4</v>
      </c>
      <c r="I699">
        <f t="shared" si="57"/>
        <v>63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</row>
    <row r="700" spans="1:110" ht="14.25" customHeight="1" x14ac:dyDescent="0.3">
      <c r="A700" s="1">
        <f t="shared" si="40"/>
        <v>691</v>
      </c>
      <c r="B700" s="1" t="str">
        <f>"(11,"&amp;I700&amp;")"</f>
        <v>(11,63)</v>
      </c>
      <c r="C700" s="4">
        <v>0.64665509259259302</v>
      </c>
      <c r="D700" s="4">
        <v>0.64682870370370416</v>
      </c>
      <c r="E700" s="2">
        <v>13.299999999999999</v>
      </c>
      <c r="F700" s="2">
        <v>13.36</v>
      </c>
      <c r="G700" s="1" t="s">
        <v>26</v>
      </c>
      <c r="H700" s="4">
        <f t="shared" si="58"/>
        <v>1.7361111111113825E-4</v>
      </c>
      <c r="I700">
        <f t="shared" si="57"/>
        <v>63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</row>
    <row r="701" spans="1:110" ht="14.25" customHeight="1" x14ac:dyDescent="0.3">
      <c r="A701" s="1">
        <f t="shared" si="40"/>
        <v>692</v>
      </c>
      <c r="B701" s="1" t="str">
        <f t="shared" ref="B701" si="67">"(11,"&amp;I701&amp;")"</f>
        <v>(11,64)</v>
      </c>
      <c r="C701" s="4">
        <v>0.64711805555555602</v>
      </c>
      <c r="D701" s="4">
        <v>0.647280092592593</v>
      </c>
      <c r="E701" s="2">
        <v>13.299999999999999</v>
      </c>
      <c r="F701" s="2">
        <v>13.339999999999998</v>
      </c>
      <c r="G701" s="1" t="s">
        <v>26</v>
      </c>
      <c r="H701" s="4">
        <f t="shared" si="58"/>
        <v>1.6203703703698835E-4</v>
      </c>
      <c r="I701">
        <f t="shared" ref="I701" si="68">I700+1</f>
        <v>64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</row>
    <row r="702" spans="1:110" ht="14.25" customHeight="1" x14ac:dyDescent="0.3">
      <c r="A702" s="1">
        <f t="shared" si="40"/>
        <v>693</v>
      </c>
      <c r="B702" s="1" t="str">
        <f t="shared" ref="B702" si="69">"(10,"&amp;I702&amp;")"</f>
        <v>(10,64)</v>
      </c>
      <c r="C702" s="4">
        <v>0.64755787037037082</v>
      </c>
      <c r="D702" s="4">
        <v>0.64769675925925974</v>
      </c>
      <c r="E702" s="2">
        <v>13.299999999999999</v>
      </c>
      <c r="F702" s="2">
        <v>13.36</v>
      </c>
      <c r="G702" s="1" t="s">
        <v>26</v>
      </c>
      <c r="H702" s="4">
        <f t="shared" si="58"/>
        <v>1.388888888889106E-4</v>
      </c>
      <c r="I702">
        <f t="shared" ref="I702" si="70">I701</f>
        <v>64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</row>
    <row r="703" spans="1:110" ht="14.25" customHeight="1" x14ac:dyDescent="0.3">
      <c r="A703" s="1">
        <f t="shared" si="40"/>
        <v>694</v>
      </c>
      <c r="B703" s="1" t="str">
        <f t="shared" ref="B703" si="71">"(9,"&amp;I703&amp;")"</f>
        <v>(9,64)</v>
      </c>
      <c r="C703" s="4">
        <v>0.64792824074074118</v>
      </c>
      <c r="D703" s="4">
        <v>0.64809027777777817</v>
      </c>
      <c r="E703" s="2">
        <v>13.299999999999999</v>
      </c>
      <c r="F703" s="2">
        <v>13.329999999999998</v>
      </c>
      <c r="G703" s="1" t="s">
        <v>26</v>
      </c>
      <c r="H703" s="4">
        <f t="shared" si="58"/>
        <v>1.6203703703698835E-4</v>
      </c>
      <c r="I703">
        <f t="shared" si="57"/>
        <v>64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</row>
    <row r="704" spans="1:110" ht="14.25" customHeight="1" x14ac:dyDescent="0.3">
      <c r="A704" s="1">
        <f t="shared" si="40"/>
        <v>695</v>
      </c>
      <c r="B704" s="1" t="str">
        <f t="shared" ref="B704" si="72">"(8,"&amp;I704&amp;")"</f>
        <v>(8,64)</v>
      </c>
      <c r="C704" s="4">
        <v>0.6483449074074078</v>
      </c>
      <c r="D704" s="4">
        <v>0.64850694444444479</v>
      </c>
      <c r="E704" s="2">
        <v>13.299999999999999</v>
      </c>
      <c r="F704" s="2">
        <v>13.339999999999998</v>
      </c>
      <c r="G704" s="1" t="s">
        <v>26</v>
      </c>
      <c r="H704" s="4">
        <f t="shared" si="58"/>
        <v>1.6203703703698835E-4</v>
      </c>
      <c r="I704">
        <f t="shared" si="57"/>
        <v>64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</row>
    <row r="705" spans="1:110" ht="14.25" customHeight="1" x14ac:dyDescent="0.3">
      <c r="A705" s="1">
        <f t="shared" si="40"/>
        <v>696</v>
      </c>
      <c r="B705" s="1" t="str">
        <f t="shared" ref="B705" si="73">"(7,"&amp;I705&amp;")"</f>
        <v>(7,64)</v>
      </c>
      <c r="C705" s="4">
        <v>0.64878472222222261</v>
      </c>
      <c r="D705" s="4">
        <v>0.6489467592592596</v>
      </c>
      <c r="E705" s="2">
        <v>13.299999999999999</v>
      </c>
      <c r="F705" s="2">
        <v>13.43</v>
      </c>
      <c r="G705" s="1" t="s">
        <v>26</v>
      </c>
      <c r="H705" s="4">
        <f t="shared" si="58"/>
        <v>1.6203703703698835E-4</v>
      </c>
      <c r="I705">
        <f t="shared" si="57"/>
        <v>64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</row>
    <row r="706" spans="1:110" ht="14.25" customHeight="1" x14ac:dyDescent="0.3">
      <c r="A706" s="1">
        <f t="shared" si="40"/>
        <v>697</v>
      </c>
      <c r="B706" s="1" t="str">
        <f t="shared" ref="B706" si="74">"(6,"&amp;I706&amp;")"</f>
        <v>(6,64)</v>
      </c>
      <c r="C706" s="4">
        <v>0.64917824074074104</v>
      </c>
      <c r="D706" s="4">
        <v>0.64931712962962995</v>
      </c>
      <c r="E706" s="2">
        <v>13.299999999999999</v>
      </c>
      <c r="F706" s="2">
        <v>13.379999999999999</v>
      </c>
      <c r="G706" s="1" t="s">
        <v>26</v>
      </c>
      <c r="H706" s="4">
        <f t="shared" si="58"/>
        <v>1.388888888889106E-4</v>
      </c>
      <c r="I706">
        <f t="shared" si="57"/>
        <v>64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</row>
    <row r="707" spans="1:110" ht="14.25" customHeight="1" x14ac:dyDescent="0.3">
      <c r="A707" s="1">
        <f t="shared" si="40"/>
        <v>698</v>
      </c>
      <c r="B707" s="1" t="str">
        <f t="shared" ref="B707" si="75">"(5,"&amp;I707&amp;")"</f>
        <v>(5,64)</v>
      </c>
      <c r="C707" s="4">
        <v>0.64959490740740777</v>
      </c>
      <c r="D707" s="4">
        <v>0.64973379629629668</v>
      </c>
      <c r="E707" s="2">
        <v>13.299999999999999</v>
      </c>
      <c r="F707" s="2">
        <v>13.379999999999999</v>
      </c>
      <c r="G707" s="1" t="s">
        <v>26</v>
      </c>
      <c r="H707" s="4">
        <f>D707-C707</f>
        <v>1.388888888889106E-4</v>
      </c>
      <c r="I707">
        <f t="shared" si="57"/>
        <v>64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</row>
    <row r="708" spans="1:110" ht="14.25" customHeight="1" x14ac:dyDescent="0.3">
      <c r="A708" s="1">
        <f t="shared" si="40"/>
        <v>699</v>
      </c>
      <c r="B708" s="1" t="str">
        <f t="shared" ref="B708" si="76">"(4,"&amp;I708&amp;")"</f>
        <v>(4,64)</v>
      </c>
      <c r="C708" s="4">
        <v>0.64997685185185228</v>
      </c>
      <c r="D708" s="4">
        <v>0.65013888888888927</v>
      </c>
      <c r="E708" s="2">
        <v>13.299999999999999</v>
      </c>
      <c r="F708" s="2">
        <v>13.43</v>
      </c>
      <c r="G708" s="1" t="s">
        <v>26</v>
      </c>
      <c r="H708" s="4">
        <f>D708-C708</f>
        <v>1.6203703703698835E-4</v>
      </c>
      <c r="I708">
        <f t="shared" si="57"/>
        <v>64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</row>
    <row r="709" spans="1:110" ht="14.25" customHeight="1" x14ac:dyDescent="0.3">
      <c r="A709" s="1">
        <f t="shared" si="40"/>
        <v>700</v>
      </c>
      <c r="B709" s="1" t="str">
        <f t="shared" ref="B709" si="77">"(3,"&amp;I709&amp;")"</f>
        <v>(3,64)</v>
      </c>
      <c r="C709" s="4">
        <v>0.6503935185185189</v>
      </c>
      <c r="D709" s="4">
        <v>0.65053240740740781</v>
      </c>
      <c r="E709" s="2">
        <v>13.299999999999999</v>
      </c>
      <c r="F709" s="2">
        <v>13.409999999999998</v>
      </c>
      <c r="G709" s="1" t="s">
        <v>26</v>
      </c>
      <c r="H709" s="4">
        <f t="shared" si="58"/>
        <v>1.388888888889106E-4</v>
      </c>
      <c r="I709">
        <f t="shared" si="57"/>
        <v>64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</row>
    <row r="710" spans="1:110" ht="14.25" customHeight="1" x14ac:dyDescent="0.3">
      <c r="A710" s="1">
        <f t="shared" si="40"/>
        <v>701</v>
      </c>
      <c r="B710" s="1" t="str">
        <f t="shared" ref="B710" si="78">"(2,"&amp;I710&amp;")"</f>
        <v>(2,64)</v>
      </c>
      <c r="C710" s="4">
        <v>0.65081018518518563</v>
      </c>
      <c r="D710" s="4">
        <v>0.65098379629629677</v>
      </c>
      <c r="E710" s="2">
        <v>13.299999999999999</v>
      </c>
      <c r="F710" s="2">
        <v>13.43</v>
      </c>
      <c r="G710" s="1" t="s">
        <v>26</v>
      </c>
      <c r="H710" s="4">
        <f t="shared" si="58"/>
        <v>1.7361111111113825E-4</v>
      </c>
      <c r="I710">
        <f t="shared" si="57"/>
        <v>64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</row>
    <row r="711" spans="1:110" ht="14.25" customHeight="1" x14ac:dyDescent="0.3">
      <c r="A711" s="1">
        <f t="shared" ref="A711:A774" si="79">A710+1</f>
        <v>702</v>
      </c>
      <c r="B711" s="1" t="str">
        <f t="shared" ref="B711:B712" si="80">"(1,"&amp;I711&amp;")"</f>
        <v>(1,64)</v>
      </c>
      <c r="C711" s="4">
        <v>0.65122685185185236</v>
      </c>
      <c r="D711" s="4">
        <v>0.65136574074074127</v>
      </c>
      <c r="E711" s="2">
        <v>13.299999999999999</v>
      </c>
      <c r="F711" s="2">
        <v>13.399999999999999</v>
      </c>
      <c r="G711" s="1" t="s">
        <v>26</v>
      </c>
      <c r="H711" s="4">
        <f t="shared" si="58"/>
        <v>1.388888888889106E-4</v>
      </c>
      <c r="I711">
        <f t="shared" ref="I711:I774" si="81">I710</f>
        <v>64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</row>
    <row r="712" spans="1:110" ht="14.25" customHeight="1" x14ac:dyDescent="0.3">
      <c r="A712" s="1">
        <f t="shared" si="79"/>
        <v>703</v>
      </c>
      <c r="B712" s="1" t="str">
        <f t="shared" si="80"/>
        <v>(1,65)</v>
      </c>
      <c r="C712" s="4">
        <v>0.65165509259259313</v>
      </c>
      <c r="D712" s="4">
        <v>0.65181712962963012</v>
      </c>
      <c r="E712" s="2">
        <v>13.299999999999999</v>
      </c>
      <c r="F712" s="2">
        <v>13.36</v>
      </c>
      <c r="G712" s="1" t="s">
        <v>26</v>
      </c>
      <c r="H712" s="4">
        <f t="shared" si="58"/>
        <v>1.6203703703698835E-4</v>
      </c>
      <c r="I712">
        <f t="shared" ref="I712" si="82">I711+1</f>
        <v>65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</row>
    <row r="713" spans="1:110" ht="14.25" customHeight="1" x14ac:dyDescent="0.3">
      <c r="A713" s="1">
        <f t="shared" si="79"/>
        <v>704</v>
      </c>
      <c r="B713" s="1" t="str">
        <f t="shared" ref="B713" si="83">"(2,"&amp;I713&amp;")"</f>
        <v>(2,65)</v>
      </c>
      <c r="C713" s="4">
        <v>0.65204861111111156</v>
      </c>
      <c r="D713" s="4">
        <v>0.65219907407407451</v>
      </c>
      <c r="E713" s="2">
        <v>13.299999999999999</v>
      </c>
      <c r="F713" s="2">
        <v>13.37</v>
      </c>
      <c r="G713" s="1" t="s">
        <v>26</v>
      </c>
      <c r="H713" s="4">
        <f t="shared" si="58"/>
        <v>1.5046296296294948E-4</v>
      </c>
      <c r="I713">
        <f t="shared" ref="I713:I769" si="84">I712</f>
        <v>65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</row>
    <row r="714" spans="1:110" ht="14.25" customHeight="1" x14ac:dyDescent="0.3">
      <c r="A714" s="1">
        <f t="shared" si="79"/>
        <v>705</v>
      </c>
      <c r="B714" s="1" t="str">
        <f t="shared" ref="B714" si="85">"(3,"&amp;I714&amp;")"</f>
        <v>(3,65)</v>
      </c>
      <c r="C714" s="4">
        <v>0.65245370370370415</v>
      </c>
      <c r="D714" s="4">
        <v>0.65261574074074113</v>
      </c>
      <c r="E714" s="2">
        <v>13.299999999999999</v>
      </c>
      <c r="F714" s="2">
        <v>13.379999999999999</v>
      </c>
      <c r="G714" s="1" t="s">
        <v>26</v>
      </c>
      <c r="H714" s="4">
        <f t="shared" si="58"/>
        <v>1.6203703703698835E-4</v>
      </c>
      <c r="I714">
        <f t="shared" si="84"/>
        <v>65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</row>
    <row r="715" spans="1:110" ht="14.25" customHeight="1" x14ac:dyDescent="0.3">
      <c r="A715" s="1">
        <f t="shared" si="79"/>
        <v>706</v>
      </c>
      <c r="B715" s="1" t="str">
        <f t="shared" ref="B715" si="86">"(4,"&amp;I715&amp;")"</f>
        <v>(4,65)</v>
      </c>
      <c r="C715" s="4">
        <v>0.65290509259259299</v>
      </c>
      <c r="D715" s="4">
        <v>0.65307870370370413</v>
      </c>
      <c r="E715" s="2">
        <v>13.299999999999999</v>
      </c>
      <c r="F715" s="2">
        <v>13.329999999999998</v>
      </c>
      <c r="G715" s="1" t="s">
        <v>26</v>
      </c>
      <c r="H715" s="4">
        <f t="shared" si="58"/>
        <v>1.7361111111113825E-4</v>
      </c>
      <c r="I715">
        <f t="shared" si="81"/>
        <v>65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</row>
    <row r="716" spans="1:110" ht="14.25" customHeight="1" x14ac:dyDescent="0.3">
      <c r="A716" s="1">
        <f t="shared" si="79"/>
        <v>707</v>
      </c>
      <c r="B716" s="1" t="str">
        <f t="shared" ref="B716" si="87">"(5,"&amp;I716&amp;")"</f>
        <v>(5,65)</v>
      </c>
      <c r="C716" s="4">
        <v>0.65332175925925973</v>
      </c>
      <c r="D716" s="4">
        <v>0.65347222222222268</v>
      </c>
      <c r="E716" s="2">
        <v>13.299999999999999</v>
      </c>
      <c r="F716" s="2">
        <v>13.44</v>
      </c>
      <c r="G716" s="1" t="s">
        <v>26</v>
      </c>
      <c r="H716" s="4">
        <f t="shared" ref="H716:H779" si="88">D716-C716</f>
        <v>1.5046296296294948E-4</v>
      </c>
      <c r="I716">
        <f t="shared" si="81"/>
        <v>65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</row>
    <row r="717" spans="1:110" ht="14.25" customHeight="1" x14ac:dyDescent="0.3">
      <c r="A717" s="1">
        <f t="shared" si="79"/>
        <v>708</v>
      </c>
      <c r="B717" s="1" t="str">
        <f t="shared" ref="B717" si="89">"(6,"&amp;I717&amp;")"</f>
        <v>(6,65)</v>
      </c>
      <c r="C717" s="4">
        <v>0.65371527777777827</v>
      </c>
      <c r="D717" s="4">
        <v>0.65387731481481526</v>
      </c>
      <c r="E717" s="2">
        <v>13.299999999999999</v>
      </c>
      <c r="F717" s="2">
        <v>13.309999999999999</v>
      </c>
      <c r="G717" s="1" t="s">
        <v>26</v>
      </c>
      <c r="H717" s="4">
        <f t="shared" si="88"/>
        <v>1.6203703703698835E-4</v>
      </c>
      <c r="I717">
        <f t="shared" si="81"/>
        <v>65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</row>
    <row r="718" spans="1:110" ht="14.25" customHeight="1" x14ac:dyDescent="0.3">
      <c r="A718" s="1">
        <f t="shared" si="79"/>
        <v>709</v>
      </c>
      <c r="B718" s="1" t="str">
        <f t="shared" ref="B718" si="90">"(7,"&amp;I718&amp;")"</f>
        <v>(7,65)</v>
      </c>
      <c r="C718" s="4">
        <v>0.65414351851851893</v>
      </c>
      <c r="D718" s="4">
        <v>0.65430555555555592</v>
      </c>
      <c r="E718" s="2">
        <v>13.299999999999999</v>
      </c>
      <c r="F718" s="2">
        <v>13.389999999999999</v>
      </c>
      <c r="G718" s="1" t="s">
        <v>26</v>
      </c>
      <c r="H718" s="4">
        <f t="shared" si="88"/>
        <v>1.6203703703698835E-4</v>
      </c>
      <c r="I718">
        <f t="shared" si="81"/>
        <v>65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</row>
    <row r="719" spans="1:110" ht="14.25" customHeight="1" x14ac:dyDescent="0.3">
      <c r="A719" s="1">
        <f t="shared" si="79"/>
        <v>710</v>
      </c>
      <c r="B719" s="1" t="str">
        <f t="shared" ref="B719" si="91">"(8,"&amp;I719&amp;")"</f>
        <v>(8,65)</v>
      </c>
      <c r="C719" s="4">
        <v>0.65458333333333374</v>
      </c>
      <c r="D719" s="4">
        <v>0.65474537037037073</v>
      </c>
      <c r="E719" s="2">
        <v>13.299999999999999</v>
      </c>
      <c r="F719" s="2">
        <v>13.319999999999999</v>
      </c>
      <c r="G719" s="1" t="s">
        <v>26</v>
      </c>
      <c r="H719" s="4">
        <f t="shared" si="88"/>
        <v>1.6203703703698835E-4</v>
      </c>
      <c r="I719">
        <f t="shared" si="81"/>
        <v>65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</row>
    <row r="720" spans="1:110" ht="14.25" customHeight="1" x14ac:dyDescent="0.3">
      <c r="A720" s="1">
        <f t="shared" si="79"/>
        <v>711</v>
      </c>
      <c r="B720" s="1" t="str">
        <f t="shared" ref="B720" si="92">"(9,"&amp;I720&amp;")"</f>
        <v>(9,65)</v>
      </c>
      <c r="C720" s="4">
        <v>0.6550115740740744</v>
      </c>
      <c r="D720" s="4">
        <v>0.65517361111111139</v>
      </c>
      <c r="E720" s="2">
        <v>13.299999999999999</v>
      </c>
      <c r="F720" s="2">
        <v>13.44</v>
      </c>
      <c r="G720" s="1" t="s">
        <v>26</v>
      </c>
      <c r="H720" s="4">
        <f t="shared" si="88"/>
        <v>1.6203703703698835E-4</v>
      </c>
      <c r="I720">
        <f t="shared" si="81"/>
        <v>65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</row>
    <row r="721" spans="1:110" ht="14.25" customHeight="1" x14ac:dyDescent="0.3">
      <c r="A721" s="1">
        <f t="shared" si="79"/>
        <v>712</v>
      </c>
      <c r="B721" s="1" t="str">
        <f t="shared" ref="B721" si="93">"(10,"&amp;I721&amp;")"</f>
        <v>(10,65)</v>
      </c>
      <c r="C721" s="4">
        <v>0.65541666666666698</v>
      </c>
      <c r="D721" s="4">
        <v>0.65555555555555589</v>
      </c>
      <c r="E721" s="2">
        <v>13.299999999999999</v>
      </c>
      <c r="F721" s="2">
        <v>13.36</v>
      </c>
      <c r="G721" s="1" t="s">
        <v>26</v>
      </c>
      <c r="H721" s="4">
        <f t="shared" si="88"/>
        <v>1.388888888889106E-4</v>
      </c>
      <c r="I721">
        <f t="shared" si="81"/>
        <v>65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</row>
    <row r="722" spans="1:110" ht="14.25" customHeight="1" x14ac:dyDescent="0.3">
      <c r="A722" s="1">
        <f t="shared" si="79"/>
        <v>713</v>
      </c>
      <c r="B722" s="1" t="str">
        <f t="shared" ref="B722:B723" si="94">"(11,"&amp;I722&amp;")"</f>
        <v>(11,65)</v>
      </c>
      <c r="C722" s="4">
        <v>0.65582175925925956</v>
      </c>
      <c r="D722" s="4">
        <v>0.65597222222222251</v>
      </c>
      <c r="E722" s="2">
        <v>13.299999999999999</v>
      </c>
      <c r="F722" s="2">
        <v>13.329999999999998</v>
      </c>
      <c r="G722" s="1" t="s">
        <v>26</v>
      </c>
      <c r="H722" s="4">
        <f t="shared" si="88"/>
        <v>1.5046296296294948E-4</v>
      </c>
      <c r="I722">
        <f t="shared" si="81"/>
        <v>65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</row>
    <row r="723" spans="1:110" ht="14.25" customHeight="1" x14ac:dyDescent="0.3">
      <c r="A723" s="1">
        <f t="shared" si="79"/>
        <v>714</v>
      </c>
      <c r="B723" s="1" t="str">
        <f t="shared" si="94"/>
        <v>(11,66)</v>
      </c>
      <c r="C723" s="4">
        <v>0.65626157407407437</v>
      </c>
      <c r="D723" s="4">
        <v>0.65642361111111136</v>
      </c>
      <c r="E723" s="2">
        <v>13.299999999999999</v>
      </c>
      <c r="F723" s="2">
        <v>13.43</v>
      </c>
      <c r="G723" s="1" t="s">
        <v>26</v>
      </c>
      <c r="H723" s="4">
        <f t="shared" si="88"/>
        <v>1.6203703703698835E-4</v>
      </c>
      <c r="I723">
        <f t="shared" ref="I723" si="95">I722+1</f>
        <v>66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</row>
    <row r="724" spans="1:110" ht="14.25" customHeight="1" x14ac:dyDescent="0.3">
      <c r="A724" s="1">
        <f t="shared" si="79"/>
        <v>715</v>
      </c>
      <c r="B724" s="1" t="str">
        <f t="shared" ref="B724" si="96">"(10,"&amp;I724&amp;")"</f>
        <v>(10,66)</v>
      </c>
      <c r="C724" s="4">
        <v>0.65667824074074099</v>
      </c>
      <c r="D724" s="4">
        <v>0.6568171296296299</v>
      </c>
      <c r="E724" s="2">
        <v>13.299999999999999</v>
      </c>
      <c r="F724" s="2">
        <v>13.389999999999999</v>
      </c>
      <c r="G724" s="1" t="s">
        <v>26</v>
      </c>
      <c r="H724" s="4">
        <f t="shared" si="88"/>
        <v>1.388888888889106E-4</v>
      </c>
      <c r="I724">
        <f t="shared" ref="I724" si="97">I723</f>
        <v>66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</row>
    <row r="725" spans="1:110" ht="14.25" customHeight="1" x14ac:dyDescent="0.3">
      <c r="A725" s="1">
        <f t="shared" si="79"/>
        <v>716</v>
      </c>
      <c r="B725" s="1" t="str">
        <f t="shared" ref="B725" si="98">"(9,"&amp;I725&amp;")"</f>
        <v>(9,66)</v>
      </c>
      <c r="C725" s="4">
        <v>0.65704861111111135</v>
      </c>
      <c r="D725" s="4">
        <v>0.65722222222222249</v>
      </c>
      <c r="E725" s="2">
        <v>13.299999999999999</v>
      </c>
      <c r="F725" s="2">
        <v>13.35</v>
      </c>
      <c r="G725" s="1" t="s">
        <v>26</v>
      </c>
      <c r="H725" s="4">
        <f t="shared" si="88"/>
        <v>1.7361111111113825E-4</v>
      </c>
      <c r="I725">
        <f t="shared" si="84"/>
        <v>66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</row>
    <row r="726" spans="1:110" ht="14.25" customHeight="1" x14ac:dyDescent="0.3">
      <c r="A726" s="1">
        <f t="shared" si="79"/>
        <v>717</v>
      </c>
      <c r="B726" s="1" t="str">
        <f t="shared" ref="B726" si="99">"(8,"&amp;I726&amp;")"</f>
        <v>(8,66)</v>
      </c>
      <c r="C726" s="4">
        <v>0.65750000000000031</v>
      </c>
      <c r="D726" s="4">
        <v>0.65763888888888922</v>
      </c>
      <c r="E726" s="2">
        <v>13.299999999999999</v>
      </c>
      <c r="F726" s="2">
        <v>13.399999999999999</v>
      </c>
      <c r="G726" s="1" t="s">
        <v>26</v>
      </c>
      <c r="H726" s="4">
        <f t="shared" si="88"/>
        <v>1.388888888889106E-4</v>
      </c>
      <c r="I726">
        <f t="shared" si="81"/>
        <v>66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</row>
    <row r="727" spans="1:110" ht="14.25" customHeight="1" x14ac:dyDescent="0.3">
      <c r="A727" s="1">
        <f t="shared" si="79"/>
        <v>718</v>
      </c>
      <c r="B727" s="1" t="str">
        <f t="shared" ref="B727" si="100">"(7,"&amp;I727&amp;")"</f>
        <v>(7,66)</v>
      </c>
      <c r="C727" s="4">
        <v>0.65792824074074108</v>
      </c>
      <c r="D727" s="4">
        <v>0.65807870370370403</v>
      </c>
      <c r="E727" s="2">
        <v>13.299999999999999</v>
      </c>
      <c r="F727" s="2">
        <v>13.399999999999999</v>
      </c>
      <c r="G727" s="1" t="s">
        <v>26</v>
      </c>
      <c r="H727" s="4">
        <f t="shared" si="88"/>
        <v>1.5046296296294948E-4</v>
      </c>
      <c r="I727">
        <f t="shared" si="81"/>
        <v>66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</row>
    <row r="728" spans="1:110" ht="14.25" customHeight="1" x14ac:dyDescent="0.3">
      <c r="A728" s="1">
        <f t="shared" si="79"/>
        <v>719</v>
      </c>
      <c r="B728" s="1" t="str">
        <f t="shared" ref="B728" si="101">"(6,"&amp;I728&amp;")"</f>
        <v>(6,66)</v>
      </c>
      <c r="C728" s="4">
        <v>0.65833333333333366</v>
      </c>
      <c r="D728" s="4">
        <v>0.6585069444444448</v>
      </c>
      <c r="E728" s="2">
        <v>13.299999999999999</v>
      </c>
      <c r="F728" s="2">
        <v>13.309999999999999</v>
      </c>
      <c r="G728" s="1" t="s">
        <v>26</v>
      </c>
      <c r="H728" s="4">
        <f t="shared" si="88"/>
        <v>1.7361111111113825E-4</v>
      </c>
      <c r="I728">
        <f t="shared" si="81"/>
        <v>66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</row>
    <row r="729" spans="1:110" ht="14.25" customHeight="1" x14ac:dyDescent="0.3">
      <c r="A729" s="1">
        <f t="shared" si="79"/>
        <v>720</v>
      </c>
      <c r="B729" s="1" t="str">
        <f t="shared" ref="B729" si="102">"(5,"&amp;I729&amp;")"</f>
        <v>(5,66)</v>
      </c>
      <c r="C729" s="4">
        <v>0.65876157407407443</v>
      </c>
      <c r="D729" s="4">
        <v>0.65890046296296334</v>
      </c>
      <c r="E729" s="2">
        <v>13.299999999999999</v>
      </c>
      <c r="F729" s="2">
        <v>13.37</v>
      </c>
      <c r="G729" s="1" t="s">
        <v>26</v>
      </c>
      <c r="H729" s="4">
        <f t="shared" si="88"/>
        <v>1.388888888889106E-4</v>
      </c>
      <c r="I729">
        <f t="shared" si="81"/>
        <v>66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</row>
    <row r="730" spans="1:110" ht="14.25" customHeight="1" x14ac:dyDescent="0.3">
      <c r="A730" s="1">
        <f t="shared" si="79"/>
        <v>721</v>
      </c>
      <c r="B730" s="1" t="str">
        <f t="shared" ref="B730" si="103">"(4,"&amp;I730&amp;")"</f>
        <v>(4,66)</v>
      </c>
      <c r="C730" s="4">
        <v>0.65915509259259297</v>
      </c>
      <c r="D730" s="4">
        <v>0.65929398148148188</v>
      </c>
      <c r="E730" s="2">
        <v>13.299999999999999</v>
      </c>
      <c r="F730" s="2">
        <v>13.399999999999999</v>
      </c>
      <c r="G730" s="1" t="s">
        <v>26</v>
      </c>
      <c r="H730" s="4">
        <f t="shared" si="88"/>
        <v>1.388888888889106E-4</v>
      </c>
      <c r="I730">
        <f t="shared" si="81"/>
        <v>66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</row>
    <row r="731" spans="1:110" ht="14.25" customHeight="1" x14ac:dyDescent="0.3">
      <c r="A731" s="1">
        <f t="shared" si="79"/>
        <v>722</v>
      </c>
      <c r="B731" s="1" t="str">
        <f t="shared" ref="B731" si="104">"(3,"&amp;I731&amp;")"</f>
        <v>(3,66)</v>
      </c>
      <c r="C731" s="4">
        <v>0.65958333333333374</v>
      </c>
      <c r="D731" s="4">
        <v>0.65972222222222265</v>
      </c>
      <c r="E731" s="2">
        <v>13.299999999999999</v>
      </c>
      <c r="F731" s="2">
        <v>13.309999999999999</v>
      </c>
      <c r="G731" s="1" t="s">
        <v>26</v>
      </c>
      <c r="H731" s="4">
        <f t="shared" si="88"/>
        <v>1.388888888889106E-4</v>
      </c>
      <c r="I731">
        <f t="shared" si="81"/>
        <v>66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</row>
    <row r="732" spans="1:110" ht="14.25" customHeight="1" x14ac:dyDescent="0.3">
      <c r="A732" s="1">
        <f t="shared" si="79"/>
        <v>723</v>
      </c>
      <c r="B732" s="1" t="str">
        <f t="shared" ref="B732" si="105">"(2,"&amp;I732&amp;")"</f>
        <v>(2,66)</v>
      </c>
      <c r="C732" s="4">
        <v>0.65996527777777825</v>
      </c>
      <c r="D732" s="4">
        <v>0.66013888888888939</v>
      </c>
      <c r="E732" s="2">
        <v>13.299999999999999</v>
      </c>
      <c r="F732" s="2">
        <v>13.319999999999999</v>
      </c>
      <c r="G732" s="1" t="s">
        <v>26</v>
      </c>
      <c r="H732" s="4">
        <f t="shared" si="88"/>
        <v>1.7361111111113825E-4</v>
      </c>
      <c r="I732">
        <f t="shared" si="81"/>
        <v>66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</row>
    <row r="733" spans="1:110" ht="14.25" customHeight="1" x14ac:dyDescent="0.3">
      <c r="A733" s="1">
        <f t="shared" si="79"/>
        <v>724</v>
      </c>
      <c r="B733" s="1" t="str">
        <f t="shared" ref="B733:B734" si="106">"(1,"&amp;I733&amp;")"</f>
        <v>(1,66)</v>
      </c>
      <c r="C733" s="4">
        <v>0.66040509259259306</v>
      </c>
      <c r="D733" s="4">
        <v>0.66054398148148197</v>
      </c>
      <c r="E733" s="2">
        <v>13.299999999999999</v>
      </c>
      <c r="F733" s="2">
        <v>13.36</v>
      </c>
      <c r="G733" s="1" t="s">
        <v>26</v>
      </c>
      <c r="H733" s="4">
        <f t="shared" si="88"/>
        <v>1.388888888889106E-4</v>
      </c>
      <c r="I733">
        <f t="shared" si="81"/>
        <v>66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</row>
    <row r="734" spans="1:110" ht="14.25" customHeight="1" x14ac:dyDescent="0.3">
      <c r="A734" s="1">
        <f t="shared" si="79"/>
        <v>725</v>
      </c>
      <c r="B734" s="1" t="str">
        <f t="shared" si="106"/>
        <v>(1,67)</v>
      </c>
      <c r="C734" s="4">
        <v>0.6607986111111116</v>
      </c>
      <c r="D734" s="4">
        <v>0.66097222222222274</v>
      </c>
      <c r="E734" s="2">
        <v>13.299999999999999</v>
      </c>
      <c r="F734" s="2">
        <v>13.419999999999998</v>
      </c>
      <c r="G734" s="1" t="s">
        <v>26</v>
      </c>
      <c r="H734" s="4">
        <f t="shared" si="88"/>
        <v>1.7361111111113825E-4</v>
      </c>
      <c r="I734">
        <f t="shared" ref="I734" si="107">I733+1</f>
        <v>67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</row>
    <row r="735" spans="1:110" ht="14.25" customHeight="1" x14ac:dyDescent="0.3">
      <c r="A735" s="1">
        <f t="shared" si="79"/>
        <v>726</v>
      </c>
      <c r="B735" s="1" t="str">
        <f t="shared" ref="B735" si="108">"(2,"&amp;I735&amp;")"</f>
        <v>(2,67)</v>
      </c>
      <c r="C735" s="4">
        <v>0.66121527777777833</v>
      </c>
      <c r="D735" s="4">
        <v>0.66136574074074128</v>
      </c>
      <c r="E735" s="2">
        <v>13.299999999999999</v>
      </c>
      <c r="F735" s="2">
        <v>13.329999999999998</v>
      </c>
      <c r="G735" s="1" t="s">
        <v>26</v>
      </c>
      <c r="H735" s="4">
        <f t="shared" si="88"/>
        <v>1.5046296296294948E-4</v>
      </c>
      <c r="I735">
        <f t="shared" ref="I735" si="109">I734</f>
        <v>67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</row>
    <row r="736" spans="1:110" ht="14.25" customHeight="1" x14ac:dyDescent="0.3">
      <c r="A736" s="1">
        <f t="shared" si="79"/>
        <v>727</v>
      </c>
      <c r="B736" s="1" t="str">
        <f t="shared" ref="B736" si="110">"(3,"&amp;I736&amp;")"</f>
        <v>(3,67)</v>
      </c>
      <c r="C736" s="4">
        <v>0.66162037037037091</v>
      </c>
      <c r="D736" s="4">
        <v>0.66177083333333386</v>
      </c>
      <c r="E736" s="2">
        <v>13.299999999999999</v>
      </c>
      <c r="F736" s="2">
        <v>13.45</v>
      </c>
      <c r="G736" s="1" t="s">
        <v>26</v>
      </c>
      <c r="H736" s="4">
        <f t="shared" si="88"/>
        <v>1.5046296296294948E-4</v>
      </c>
      <c r="I736">
        <f t="shared" si="84"/>
        <v>67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</row>
    <row r="737" spans="1:110" ht="14.25" customHeight="1" x14ac:dyDescent="0.3">
      <c r="A737" s="1">
        <f t="shared" si="79"/>
        <v>728</v>
      </c>
      <c r="B737" s="1" t="str">
        <f t="shared" ref="B737" si="111">"(4,"&amp;I737&amp;")"</f>
        <v>(4,67)</v>
      </c>
      <c r="C737" s="4">
        <v>0.66203703703703753</v>
      </c>
      <c r="D737" s="4">
        <v>0.66217592592592645</v>
      </c>
      <c r="E737" s="2">
        <v>13.299999999999999</v>
      </c>
      <c r="F737" s="2">
        <v>13.399999999999999</v>
      </c>
      <c r="G737" s="1" t="s">
        <v>26</v>
      </c>
      <c r="H737" s="4">
        <f t="shared" si="88"/>
        <v>1.388888888889106E-4</v>
      </c>
      <c r="I737">
        <f t="shared" si="81"/>
        <v>67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</row>
    <row r="738" spans="1:110" ht="14.25" customHeight="1" x14ac:dyDescent="0.3">
      <c r="A738" s="1">
        <f t="shared" si="79"/>
        <v>729</v>
      </c>
      <c r="B738" s="1" t="str">
        <f t="shared" ref="B738" si="112">"(5,"&amp;I738&amp;")"</f>
        <v>(5,67)</v>
      </c>
      <c r="C738" s="4">
        <v>0.66243055555555608</v>
      </c>
      <c r="D738" s="4">
        <v>0.66260416666666722</v>
      </c>
      <c r="E738" s="2">
        <v>13.299999999999999</v>
      </c>
      <c r="F738" s="2">
        <v>13.36</v>
      </c>
      <c r="G738" s="1" t="s">
        <v>26</v>
      </c>
      <c r="H738" s="4">
        <f t="shared" si="88"/>
        <v>1.7361111111113825E-4</v>
      </c>
      <c r="I738">
        <f t="shared" si="81"/>
        <v>67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</row>
    <row r="739" spans="1:110" ht="14.25" customHeight="1" x14ac:dyDescent="0.3">
      <c r="A739" s="1">
        <f t="shared" si="79"/>
        <v>730</v>
      </c>
      <c r="B739" s="1" t="str">
        <f t="shared" ref="B739" si="113">"(6,"&amp;I739&amp;")"</f>
        <v>(6,67)</v>
      </c>
      <c r="C739" s="4">
        <v>0.66288194444444504</v>
      </c>
      <c r="D739" s="4">
        <v>0.66303240740740799</v>
      </c>
      <c r="E739" s="2">
        <v>13.299999999999999</v>
      </c>
      <c r="F739" s="2">
        <v>13.43</v>
      </c>
      <c r="G739" s="1" t="s">
        <v>26</v>
      </c>
      <c r="H739" s="4">
        <f t="shared" si="88"/>
        <v>1.5046296296294948E-4</v>
      </c>
      <c r="I739">
        <f t="shared" si="81"/>
        <v>67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</row>
    <row r="740" spans="1:110" ht="14.25" customHeight="1" x14ac:dyDescent="0.3">
      <c r="A740" s="1">
        <f t="shared" si="79"/>
        <v>731</v>
      </c>
      <c r="B740" s="1" t="str">
        <f t="shared" ref="B740" si="114">"(7,"&amp;I740&amp;")"</f>
        <v>(7,67)</v>
      </c>
      <c r="C740" s="4">
        <v>0.66332175925925985</v>
      </c>
      <c r="D740" s="4">
        <v>0.66349537037037098</v>
      </c>
      <c r="E740" s="2">
        <v>13.299999999999999</v>
      </c>
      <c r="F740" s="2">
        <v>13.45</v>
      </c>
      <c r="G740" s="1" t="s">
        <v>26</v>
      </c>
      <c r="H740" s="4">
        <f t="shared" si="88"/>
        <v>1.7361111111113825E-4</v>
      </c>
      <c r="I740">
        <f t="shared" si="81"/>
        <v>67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</row>
    <row r="741" spans="1:110" ht="14.25" customHeight="1" x14ac:dyDescent="0.3">
      <c r="A741" s="1">
        <f t="shared" si="79"/>
        <v>732</v>
      </c>
      <c r="B741" s="1" t="str">
        <f t="shared" ref="B741" si="115">"(8,"&amp;I741&amp;")"</f>
        <v>(8,67)</v>
      </c>
      <c r="C741" s="4">
        <v>0.66376157407407466</v>
      </c>
      <c r="D741" s="4">
        <v>0.66391203703703761</v>
      </c>
      <c r="E741" s="2">
        <v>13.299999999999999</v>
      </c>
      <c r="F741" s="2">
        <v>13.37</v>
      </c>
      <c r="G741" s="1" t="s">
        <v>26</v>
      </c>
      <c r="H741" s="4">
        <f t="shared" si="88"/>
        <v>1.5046296296294948E-4</v>
      </c>
      <c r="I741">
        <f t="shared" si="81"/>
        <v>67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</row>
    <row r="742" spans="1:110" ht="14.25" customHeight="1" x14ac:dyDescent="0.3">
      <c r="A742" s="1">
        <f t="shared" si="79"/>
        <v>733</v>
      </c>
      <c r="B742" s="1" t="str">
        <f t="shared" ref="B742" si="116">"(9,"&amp;I742&amp;")"</f>
        <v>(9,67)</v>
      </c>
      <c r="C742" s="4">
        <v>0.66418981481481543</v>
      </c>
      <c r="D742" s="4">
        <v>0.66436342592592657</v>
      </c>
      <c r="E742" s="2">
        <v>13.299999999999999</v>
      </c>
      <c r="F742" s="2">
        <v>13.45</v>
      </c>
      <c r="G742" s="1" t="s">
        <v>26</v>
      </c>
      <c r="H742" s="4">
        <f t="shared" si="88"/>
        <v>1.7361111111113825E-4</v>
      </c>
      <c r="I742">
        <f t="shared" si="81"/>
        <v>67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</row>
    <row r="743" spans="1:110" ht="14.25" customHeight="1" x14ac:dyDescent="0.3">
      <c r="A743" s="1">
        <f t="shared" si="79"/>
        <v>734</v>
      </c>
      <c r="B743" s="1" t="str">
        <f t="shared" ref="B743" si="117">"(10,"&amp;I743&amp;")"</f>
        <v>(10,67)</v>
      </c>
      <c r="C743" s="4">
        <v>0.66464120370370439</v>
      </c>
      <c r="D743" s="4">
        <v>0.66479166666666734</v>
      </c>
      <c r="E743" s="2">
        <v>13.299999999999999</v>
      </c>
      <c r="F743" s="2">
        <v>13.379999999999999</v>
      </c>
      <c r="G743" s="1" t="s">
        <v>26</v>
      </c>
      <c r="H743" s="4">
        <f t="shared" si="88"/>
        <v>1.5046296296294948E-4</v>
      </c>
      <c r="I743">
        <f t="shared" si="81"/>
        <v>67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</row>
    <row r="744" spans="1:110" ht="14.25" customHeight="1" x14ac:dyDescent="0.3">
      <c r="A744" s="1">
        <f t="shared" si="79"/>
        <v>735</v>
      </c>
      <c r="B744" s="1" t="str">
        <f t="shared" ref="B744:B745" si="118">"(11,"&amp;I744&amp;")"</f>
        <v>(11,67)</v>
      </c>
      <c r="C744" s="4">
        <v>0.66503472222222293</v>
      </c>
      <c r="D744" s="4">
        <v>0.66518518518518588</v>
      </c>
      <c r="E744" s="2">
        <v>13.299999999999999</v>
      </c>
      <c r="F744" s="2">
        <v>13.379999999999999</v>
      </c>
      <c r="G744" s="1" t="s">
        <v>26</v>
      </c>
      <c r="H744" s="4">
        <f t="shared" si="88"/>
        <v>1.5046296296294948E-4</v>
      </c>
      <c r="I744">
        <f t="shared" si="81"/>
        <v>67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</row>
    <row r="745" spans="1:110" ht="14.25" customHeight="1" x14ac:dyDescent="0.3">
      <c r="A745" s="1">
        <f t="shared" si="79"/>
        <v>736</v>
      </c>
      <c r="B745" s="1" t="str">
        <f t="shared" si="118"/>
        <v>(11,68)</v>
      </c>
      <c r="C745" s="4">
        <v>0.66545138888888955</v>
      </c>
      <c r="D745" s="4">
        <v>0.66562500000000069</v>
      </c>
      <c r="E745" s="2">
        <v>13.299999999999999</v>
      </c>
      <c r="F745" s="2">
        <v>13.389999999999999</v>
      </c>
      <c r="G745" s="1" t="s">
        <v>26</v>
      </c>
      <c r="H745" s="4">
        <f t="shared" si="88"/>
        <v>1.7361111111113825E-4</v>
      </c>
      <c r="I745">
        <f t="shared" ref="I745" si="119">I744+1</f>
        <v>68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</row>
    <row r="746" spans="1:110" ht="14.25" customHeight="1" x14ac:dyDescent="0.3">
      <c r="A746" s="1">
        <f t="shared" si="79"/>
        <v>737</v>
      </c>
      <c r="B746" s="1" t="str">
        <f t="shared" ref="B746" si="120">"(10,"&amp;I746&amp;")"</f>
        <v>(10,68)</v>
      </c>
      <c r="C746" s="4">
        <v>0.66586805555555628</v>
      </c>
      <c r="D746" s="4">
        <v>0.66604166666666742</v>
      </c>
      <c r="E746" s="2">
        <v>13.299999999999999</v>
      </c>
      <c r="F746" s="2">
        <v>13.419999999999998</v>
      </c>
      <c r="G746" s="1" t="s">
        <v>26</v>
      </c>
      <c r="H746" s="4">
        <f t="shared" si="88"/>
        <v>1.7361111111113825E-4</v>
      </c>
      <c r="I746">
        <f t="shared" ref="I746" si="121">I745</f>
        <v>68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</row>
    <row r="747" spans="1:110" ht="14.25" customHeight="1" x14ac:dyDescent="0.3">
      <c r="A747" s="1">
        <f t="shared" si="79"/>
        <v>738</v>
      </c>
      <c r="B747" s="1" t="str">
        <f t="shared" ref="B747" si="122">"(9,"&amp;I747&amp;")"</f>
        <v>(9,68)</v>
      </c>
      <c r="C747" s="4">
        <v>0.66633101851851928</v>
      </c>
      <c r="D747" s="4">
        <v>0.66650462962963042</v>
      </c>
      <c r="E747" s="2">
        <v>13.299999999999999</v>
      </c>
      <c r="F747" s="2">
        <v>13.339999999999998</v>
      </c>
      <c r="G747" s="1" t="s">
        <v>26</v>
      </c>
      <c r="H747" s="4">
        <f t="shared" si="88"/>
        <v>1.7361111111113825E-4</v>
      </c>
      <c r="I747">
        <f t="shared" si="84"/>
        <v>68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</row>
    <row r="748" spans="1:110" ht="14.25" customHeight="1" x14ac:dyDescent="0.3">
      <c r="A748" s="1">
        <f t="shared" si="79"/>
        <v>739</v>
      </c>
      <c r="B748" s="1" t="str">
        <f t="shared" ref="B748" si="123">"(8,"&amp;I748&amp;")"</f>
        <v>(8,68)</v>
      </c>
      <c r="C748" s="4">
        <v>0.66677083333333409</v>
      </c>
      <c r="D748" s="4">
        <v>0.66693287037037108</v>
      </c>
      <c r="E748" s="2">
        <v>13.299999999999999</v>
      </c>
      <c r="F748" s="2">
        <v>13.43</v>
      </c>
      <c r="G748" s="1" t="s">
        <v>26</v>
      </c>
      <c r="H748" s="4">
        <f t="shared" si="88"/>
        <v>1.6203703703698835E-4</v>
      </c>
      <c r="I748">
        <f t="shared" si="81"/>
        <v>68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</row>
    <row r="749" spans="1:110" ht="14.25" customHeight="1" x14ac:dyDescent="0.3">
      <c r="A749" s="1">
        <f t="shared" si="79"/>
        <v>740</v>
      </c>
      <c r="B749" s="1" t="str">
        <f t="shared" ref="B749" si="124">"(7,"&amp;I749&amp;")"</f>
        <v>(7,68)</v>
      </c>
      <c r="C749" s="4">
        <v>0.66722222222222294</v>
      </c>
      <c r="D749" s="4">
        <v>0.66737268518518589</v>
      </c>
      <c r="E749" s="2">
        <v>13.299999999999999</v>
      </c>
      <c r="F749" s="2">
        <v>13.379999999999999</v>
      </c>
      <c r="G749" s="1" t="s">
        <v>26</v>
      </c>
      <c r="H749" s="4">
        <f t="shared" si="88"/>
        <v>1.5046296296294948E-4</v>
      </c>
      <c r="I749">
        <f t="shared" si="81"/>
        <v>68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</row>
    <row r="750" spans="1:110" ht="14.25" customHeight="1" x14ac:dyDescent="0.3">
      <c r="A750" s="1">
        <f t="shared" si="79"/>
        <v>741</v>
      </c>
      <c r="B750" s="1" t="str">
        <f t="shared" ref="B750" si="125">"(6,"&amp;I750&amp;")"</f>
        <v>(6,68)</v>
      </c>
      <c r="C750" s="4">
        <v>0.66760416666666733</v>
      </c>
      <c r="D750" s="4">
        <v>0.66775462962963028</v>
      </c>
      <c r="E750" s="2">
        <v>13.299999999999999</v>
      </c>
      <c r="F750" s="2">
        <v>13.36</v>
      </c>
      <c r="G750" s="1" t="s">
        <v>26</v>
      </c>
      <c r="H750" s="4">
        <f t="shared" si="88"/>
        <v>1.5046296296294948E-4</v>
      </c>
      <c r="I750">
        <f t="shared" si="81"/>
        <v>68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</row>
    <row r="751" spans="1:110" ht="14.25" customHeight="1" x14ac:dyDescent="0.3">
      <c r="A751" s="1">
        <f t="shared" si="79"/>
        <v>742</v>
      </c>
      <c r="B751" s="1" t="str">
        <f t="shared" ref="B751" si="126">"(5,"&amp;I751&amp;")"</f>
        <v>(5,68)</v>
      </c>
      <c r="C751" s="4">
        <v>0.66802083333333395</v>
      </c>
      <c r="D751" s="4">
        <v>0.6681712962962969</v>
      </c>
      <c r="E751" s="2">
        <v>13.299999999999999</v>
      </c>
      <c r="F751" s="2">
        <v>13.339999999999998</v>
      </c>
      <c r="G751" s="1" t="s">
        <v>26</v>
      </c>
      <c r="H751" s="4">
        <f t="shared" si="88"/>
        <v>1.5046296296294948E-4</v>
      </c>
      <c r="I751">
        <f t="shared" si="81"/>
        <v>68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</row>
    <row r="752" spans="1:110" ht="14.25" customHeight="1" x14ac:dyDescent="0.3">
      <c r="A752" s="1">
        <f t="shared" si="79"/>
        <v>743</v>
      </c>
      <c r="B752" s="1" t="str">
        <f t="shared" ref="B752" si="127">"(4,"&amp;I752&amp;")"</f>
        <v>(4,68)</v>
      </c>
      <c r="C752" s="4">
        <v>0.66846064814814876</v>
      </c>
      <c r="D752" s="4">
        <v>0.6686342592592599</v>
      </c>
      <c r="E752" s="2">
        <v>13.299999999999999</v>
      </c>
      <c r="F752" s="2">
        <v>13.379999999999999</v>
      </c>
      <c r="G752" s="1" t="s">
        <v>26</v>
      </c>
      <c r="H752" s="4">
        <f t="shared" si="88"/>
        <v>1.7361111111113825E-4</v>
      </c>
      <c r="I752">
        <f t="shared" si="81"/>
        <v>68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</row>
    <row r="753" spans="1:110" ht="14.25" customHeight="1" x14ac:dyDescent="0.3">
      <c r="A753" s="1">
        <f t="shared" si="79"/>
        <v>744</v>
      </c>
      <c r="B753" s="1" t="str">
        <f t="shared" ref="B753" si="128">"(3,"&amp;I753&amp;")"</f>
        <v>(3,68)</v>
      </c>
      <c r="C753" s="4">
        <v>0.66888888888888953</v>
      </c>
      <c r="D753" s="4">
        <v>0.66903935185185248</v>
      </c>
      <c r="E753" s="2">
        <v>13.299999999999999</v>
      </c>
      <c r="F753" s="2">
        <v>13.389999999999999</v>
      </c>
      <c r="G753" s="1" t="s">
        <v>26</v>
      </c>
      <c r="H753" s="4">
        <f t="shared" si="88"/>
        <v>1.5046296296294948E-4</v>
      </c>
      <c r="I753">
        <f t="shared" si="81"/>
        <v>68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</row>
    <row r="754" spans="1:110" ht="14.25" customHeight="1" x14ac:dyDescent="0.3">
      <c r="A754" s="1">
        <f t="shared" si="79"/>
        <v>745</v>
      </c>
      <c r="B754" s="1" t="str">
        <f t="shared" ref="B754" si="129">"(2,"&amp;I754&amp;")"</f>
        <v>(2,68)</v>
      </c>
      <c r="C754" s="4">
        <v>0.66930555555555615</v>
      </c>
      <c r="D754" s="4">
        <v>0.66946759259259314</v>
      </c>
      <c r="E754" s="2">
        <v>13.299999999999999</v>
      </c>
      <c r="F754" s="2">
        <v>13.389999999999999</v>
      </c>
      <c r="G754" s="1" t="s">
        <v>26</v>
      </c>
      <c r="H754" s="4">
        <f t="shared" si="88"/>
        <v>1.6203703703698835E-4</v>
      </c>
      <c r="I754">
        <f t="shared" si="81"/>
        <v>68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</row>
    <row r="755" spans="1:110" ht="14.25" customHeight="1" x14ac:dyDescent="0.3">
      <c r="A755" s="1">
        <f t="shared" si="79"/>
        <v>746</v>
      </c>
      <c r="B755" s="1" t="str">
        <f t="shared" ref="B755:B756" si="130">"(1,"&amp;I755&amp;")"</f>
        <v>(1,68)</v>
      </c>
      <c r="C755" s="4">
        <v>0.66972222222222277</v>
      </c>
      <c r="D755" s="4">
        <v>0.66987268518518572</v>
      </c>
      <c r="E755" s="2">
        <v>13.299999999999999</v>
      </c>
      <c r="F755" s="2">
        <v>13.329999999999998</v>
      </c>
      <c r="G755" s="1" t="s">
        <v>26</v>
      </c>
      <c r="H755" s="4">
        <f t="shared" si="88"/>
        <v>1.5046296296294948E-4</v>
      </c>
      <c r="I755">
        <f t="shared" si="81"/>
        <v>68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</row>
    <row r="756" spans="1:110" ht="14.25" customHeight="1" x14ac:dyDescent="0.3">
      <c r="A756" s="1">
        <f t="shared" si="79"/>
        <v>747</v>
      </c>
      <c r="B756" s="1" t="str">
        <f t="shared" si="130"/>
        <v>(1,69)</v>
      </c>
      <c r="C756" s="4">
        <v>0.67016203703703758</v>
      </c>
      <c r="D756" s="4">
        <v>0.67030092592592649</v>
      </c>
      <c r="E756" s="2">
        <v>13.299999999999999</v>
      </c>
      <c r="F756" s="2">
        <v>13.35</v>
      </c>
      <c r="G756" s="1" t="s">
        <v>26</v>
      </c>
      <c r="H756" s="4">
        <f t="shared" si="88"/>
        <v>1.388888888889106E-4</v>
      </c>
      <c r="I756">
        <f t="shared" ref="I756" si="131">I755+1</f>
        <v>69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</row>
    <row r="757" spans="1:110" ht="14.25" customHeight="1" x14ac:dyDescent="0.3">
      <c r="A757" s="1">
        <f t="shared" si="79"/>
        <v>748</v>
      </c>
      <c r="B757" s="1" t="str">
        <f t="shared" ref="B757" si="132">"(2,"&amp;I757&amp;")"</f>
        <v>(2,69)</v>
      </c>
      <c r="C757" s="4">
        <v>0.67056712962963017</v>
      </c>
      <c r="D757" s="4">
        <v>0.67070601851851908</v>
      </c>
      <c r="E757" s="2">
        <v>13.299999999999999</v>
      </c>
      <c r="F757" s="2">
        <v>13.399999999999999</v>
      </c>
      <c r="G757" s="1" t="s">
        <v>26</v>
      </c>
      <c r="H757" s="4">
        <f t="shared" si="88"/>
        <v>1.388888888889106E-4</v>
      </c>
      <c r="I757">
        <f t="shared" ref="I757" si="133">I756</f>
        <v>69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</row>
    <row r="758" spans="1:110" ht="14.25" customHeight="1" x14ac:dyDescent="0.3">
      <c r="A758" s="1">
        <f t="shared" si="79"/>
        <v>749</v>
      </c>
      <c r="B758" s="1" t="str">
        <f t="shared" ref="B758" si="134">"(3,"&amp;I758&amp;")"</f>
        <v>(3,69)</v>
      </c>
      <c r="C758" s="4">
        <v>0.67096064814814871</v>
      </c>
      <c r="D758" s="4">
        <v>0.67111111111111166</v>
      </c>
      <c r="E758" s="2">
        <v>13.299999999999999</v>
      </c>
      <c r="F758" s="2">
        <v>13.309999999999999</v>
      </c>
      <c r="G758" s="1" t="s">
        <v>26</v>
      </c>
      <c r="H758" s="4">
        <f t="shared" si="88"/>
        <v>1.5046296296294948E-4</v>
      </c>
      <c r="I758">
        <f t="shared" si="84"/>
        <v>69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</row>
    <row r="759" spans="1:110" ht="14.25" customHeight="1" x14ac:dyDescent="0.3">
      <c r="A759" s="1">
        <f t="shared" si="79"/>
        <v>750</v>
      </c>
      <c r="B759" s="1" t="str">
        <f t="shared" ref="B759" si="135">"(4,"&amp;I759&amp;")"</f>
        <v>(4,69)</v>
      </c>
      <c r="C759" s="4">
        <v>0.67140046296296352</v>
      </c>
      <c r="D759" s="4">
        <v>0.67153935185185243</v>
      </c>
      <c r="E759" s="2">
        <v>13.299999999999999</v>
      </c>
      <c r="F759" s="2">
        <v>13.36</v>
      </c>
      <c r="G759" s="1" t="s">
        <v>26</v>
      </c>
      <c r="H759" s="4">
        <f t="shared" si="88"/>
        <v>1.388888888889106E-4</v>
      </c>
      <c r="I759">
        <f t="shared" si="81"/>
        <v>69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</row>
    <row r="760" spans="1:110" ht="14.25" customHeight="1" x14ac:dyDescent="0.3">
      <c r="A760" s="1">
        <f t="shared" si="79"/>
        <v>751</v>
      </c>
      <c r="B760" s="1" t="str">
        <f t="shared" ref="B760" si="136">"(5,"&amp;I760&amp;")"</f>
        <v>(5,69)</v>
      </c>
      <c r="C760" s="4">
        <v>0.67181712962963025</v>
      </c>
      <c r="D760" s="4">
        <v>0.6719675925925932</v>
      </c>
      <c r="E760" s="2">
        <v>13.299999999999999</v>
      </c>
      <c r="F760" s="2">
        <v>13.44</v>
      </c>
      <c r="G760" s="1" t="s">
        <v>26</v>
      </c>
      <c r="H760" s="4">
        <f t="shared" si="88"/>
        <v>1.5046296296294948E-4</v>
      </c>
      <c r="I760">
        <f t="shared" si="81"/>
        <v>69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</row>
    <row r="761" spans="1:110" ht="14.25" customHeight="1" x14ac:dyDescent="0.3">
      <c r="A761" s="1">
        <f t="shared" si="79"/>
        <v>752</v>
      </c>
      <c r="B761" s="1" t="str">
        <f t="shared" ref="B761" si="137">"(6,"&amp;I761&amp;")"</f>
        <v>(6,69)</v>
      </c>
      <c r="C761" s="4">
        <v>0.67222222222222283</v>
      </c>
      <c r="D761" s="4">
        <v>0.67239583333333397</v>
      </c>
      <c r="E761" s="2">
        <v>13.299999999999999</v>
      </c>
      <c r="F761" s="2">
        <v>13.399999999999999</v>
      </c>
      <c r="G761" s="1" t="s">
        <v>26</v>
      </c>
      <c r="H761" s="4">
        <f t="shared" si="88"/>
        <v>1.7361111111113825E-4</v>
      </c>
      <c r="I761">
        <f t="shared" si="81"/>
        <v>69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</row>
    <row r="762" spans="1:110" ht="14.25" customHeight="1" x14ac:dyDescent="0.3">
      <c r="A762" s="1">
        <f t="shared" si="79"/>
        <v>753</v>
      </c>
      <c r="B762" s="1" t="str">
        <f t="shared" ref="B762" si="138">"(7,"&amp;I762&amp;")"</f>
        <v>(7,69)</v>
      </c>
      <c r="C762" s="4">
        <v>0.67263888888888956</v>
      </c>
      <c r="D762" s="4">
        <v>0.67278935185185251</v>
      </c>
      <c r="E762" s="2">
        <v>13.299999999999999</v>
      </c>
      <c r="F762" s="2">
        <v>13.339999999999998</v>
      </c>
      <c r="G762" s="1" t="s">
        <v>26</v>
      </c>
      <c r="H762" s="4">
        <f t="shared" si="88"/>
        <v>1.5046296296294948E-4</v>
      </c>
      <c r="I762">
        <f t="shared" si="81"/>
        <v>69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</row>
    <row r="763" spans="1:110" ht="14.25" customHeight="1" x14ac:dyDescent="0.3">
      <c r="A763" s="1">
        <f t="shared" si="79"/>
        <v>754</v>
      </c>
      <c r="B763" s="1" t="str">
        <f t="shared" ref="B763" si="139">"(8,"&amp;I763&amp;")"</f>
        <v>(8,69)</v>
      </c>
      <c r="C763" s="4">
        <v>0.67306712962963033</v>
      </c>
      <c r="D763" s="4">
        <v>0.67321759259259328</v>
      </c>
      <c r="E763" s="2">
        <v>13.299999999999999</v>
      </c>
      <c r="F763" s="2">
        <v>13.319999999999999</v>
      </c>
      <c r="G763" s="1" t="s">
        <v>26</v>
      </c>
      <c r="H763" s="4">
        <f t="shared" si="88"/>
        <v>1.5046296296294948E-4</v>
      </c>
      <c r="I763">
        <f t="shared" si="81"/>
        <v>69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</row>
    <row r="764" spans="1:110" ht="14.25" customHeight="1" x14ac:dyDescent="0.3">
      <c r="A764" s="1">
        <f t="shared" si="79"/>
        <v>755</v>
      </c>
      <c r="B764" s="1" t="str">
        <f t="shared" ref="B764" si="140">"(9,"&amp;I764&amp;")"</f>
        <v>(9,69)</v>
      </c>
      <c r="C764" s="4">
        <v>0.6734953703703711</v>
      </c>
      <c r="D764" s="4">
        <v>0.67364583333333405</v>
      </c>
      <c r="E764" s="2">
        <v>13.299999999999999</v>
      </c>
      <c r="F764" s="2">
        <v>13.309999999999999</v>
      </c>
      <c r="G764" s="1" t="s">
        <v>26</v>
      </c>
      <c r="H764" s="4">
        <f t="shared" si="88"/>
        <v>1.5046296296294948E-4</v>
      </c>
      <c r="I764">
        <f t="shared" si="81"/>
        <v>69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</row>
    <row r="765" spans="1:110" ht="14.25" customHeight="1" x14ac:dyDescent="0.3">
      <c r="A765" s="1">
        <f t="shared" si="79"/>
        <v>756</v>
      </c>
      <c r="B765" s="1" t="str">
        <f t="shared" ref="B765" si="141">"(10,"&amp;I765&amp;")"</f>
        <v>(10,69)</v>
      </c>
      <c r="C765" s="4">
        <v>0.67390046296296369</v>
      </c>
      <c r="D765" s="4">
        <v>0.67407407407407482</v>
      </c>
      <c r="E765" s="2">
        <v>13.299999999999999</v>
      </c>
      <c r="F765" s="2">
        <v>13.36</v>
      </c>
      <c r="G765" s="1" t="s">
        <v>26</v>
      </c>
      <c r="H765" s="4">
        <f t="shared" si="88"/>
        <v>1.7361111111113825E-4</v>
      </c>
      <c r="I765">
        <f t="shared" si="81"/>
        <v>69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</row>
    <row r="766" spans="1:110" ht="14.25" customHeight="1" x14ac:dyDescent="0.3">
      <c r="A766" s="1">
        <f t="shared" si="79"/>
        <v>757</v>
      </c>
      <c r="B766" s="1" t="str">
        <f t="shared" ref="B766:B767" si="142">"(11,"&amp;I766&amp;")"</f>
        <v>(11,69)</v>
      </c>
      <c r="C766" s="4">
        <v>0.67432870370370446</v>
      </c>
      <c r="D766" s="4">
        <v>0.6745023148148156</v>
      </c>
      <c r="E766" s="2">
        <v>13.299999999999999</v>
      </c>
      <c r="F766" s="2">
        <v>13.319999999999999</v>
      </c>
      <c r="G766" s="1" t="s">
        <v>26</v>
      </c>
      <c r="H766" s="4">
        <f t="shared" si="88"/>
        <v>1.7361111111113825E-4</v>
      </c>
      <c r="I766">
        <f t="shared" si="81"/>
        <v>69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</row>
    <row r="767" spans="1:110" ht="14.25" customHeight="1" x14ac:dyDescent="0.3">
      <c r="A767" s="1">
        <f t="shared" si="79"/>
        <v>758</v>
      </c>
      <c r="B767" s="1" t="str">
        <f t="shared" si="142"/>
        <v>(11,70)</v>
      </c>
      <c r="C767" s="4">
        <v>0.67474537037037119</v>
      </c>
      <c r="D767" s="4">
        <v>0.6748842592592601</v>
      </c>
      <c r="E767" s="2">
        <v>13.299999999999999</v>
      </c>
      <c r="F767" s="2">
        <v>13.419999999999998</v>
      </c>
      <c r="G767" s="1" t="s">
        <v>26</v>
      </c>
      <c r="H767" s="4">
        <f t="shared" si="88"/>
        <v>1.388888888889106E-4</v>
      </c>
      <c r="I767">
        <f t="shared" ref="I767" si="143">I766+1</f>
        <v>70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</row>
    <row r="768" spans="1:110" ht="14.25" customHeight="1" x14ac:dyDescent="0.3">
      <c r="A768" s="1">
        <f t="shared" si="79"/>
        <v>759</v>
      </c>
      <c r="B768" s="1" t="str">
        <f t="shared" ref="B768" si="144">"(10,"&amp;I768&amp;")"</f>
        <v>(10,70)</v>
      </c>
      <c r="C768" s="4">
        <v>0.67515046296296377</v>
      </c>
      <c r="D768" s="4">
        <v>0.67530092592592672</v>
      </c>
      <c r="E768" s="2">
        <v>13.299999999999999</v>
      </c>
      <c r="F768" s="2">
        <v>13.43</v>
      </c>
      <c r="G768" s="1" t="s">
        <v>26</v>
      </c>
      <c r="H768" s="4">
        <f t="shared" si="88"/>
        <v>1.5046296296294948E-4</v>
      </c>
      <c r="I768">
        <f t="shared" ref="I768" si="145">I767</f>
        <v>70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</row>
    <row r="769" spans="1:110" ht="14.25" customHeight="1" x14ac:dyDescent="0.3">
      <c r="A769" s="1">
        <f t="shared" si="79"/>
        <v>760</v>
      </c>
      <c r="B769" s="1" t="str">
        <f t="shared" ref="B769" si="146">"(9,"&amp;I769&amp;")"</f>
        <v>(9,70)</v>
      </c>
      <c r="C769" s="4">
        <v>0.67554398148148231</v>
      </c>
      <c r="D769" s="4">
        <v>0.67569444444444526</v>
      </c>
      <c r="E769" s="2">
        <v>13.299999999999999</v>
      </c>
      <c r="F769" s="2">
        <v>13.399999999999999</v>
      </c>
      <c r="G769" s="1" t="s">
        <v>26</v>
      </c>
      <c r="H769" s="4">
        <f t="shared" si="88"/>
        <v>1.5046296296294948E-4</v>
      </c>
      <c r="I769">
        <f t="shared" si="84"/>
        <v>70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</row>
    <row r="770" spans="1:110" ht="14.25" customHeight="1" x14ac:dyDescent="0.3">
      <c r="A770" s="1">
        <f t="shared" si="79"/>
        <v>761</v>
      </c>
      <c r="B770" s="1" t="str">
        <f t="shared" ref="B770" si="147">"(8,"&amp;I770&amp;")"</f>
        <v>(8,70)</v>
      </c>
      <c r="C770" s="4">
        <v>0.6759490740740749</v>
      </c>
      <c r="D770" s="4">
        <v>0.67609953703703785</v>
      </c>
      <c r="E770" s="2">
        <v>13.299999999999999</v>
      </c>
      <c r="F770" s="2">
        <v>13.309999999999999</v>
      </c>
      <c r="G770" s="1" t="s">
        <v>26</v>
      </c>
      <c r="H770" s="4">
        <f t="shared" si="88"/>
        <v>1.5046296296294948E-4</v>
      </c>
      <c r="I770">
        <f t="shared" si="81"/>
        <v>70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</row>
    <row r="771" spans="1:110" ht="14.25" customHeight="1" x14ac:dyDescent="0.3">
      <c r="A771" s="1">
        <f t="shared" si="79"/>
        <v>762</v>
      </c>
      <c r="B771" s="1" t="str">
        <f t="shared" ref="B771" si="148">"(7,"&amp;I771&amp;")"</f>
        <v>(7,70)</v>
      </c>
      <c r="C771" s="4">
        <v>0.67635416666666748</v>
      </c>
      <c r="D771" s="4">
        <v>0.67650462962963043</v>
      </c>
      <c r="E771" s="2">
        <v>13.299999999999999</v>
      </c>
      <c r="F771" s="2">
        <v>13.45</v>
      </c>
      <c r="G771" s="1" t="s">
        <v>26</v>
      </c>
      <c r="H771" s="4">
        <f t="shared" si="88"/>
        <v>1.5046296296294948E-4</v>
      </c>
      <c r="I771">
        <f t="shared" si="81"/>
        <v>70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</row>
    <row r="772" spans="1:110" ht="14.25" customHeight="1" x14ac:dyDescent="0.3">
      <c r="A772" s="1">
        <f t="shared" si="79"/>
        <v>763</v>
      </c>
      <c r="B772" s="1" t="str">
        <f t="shared" ref="B772" si="149">"(6,"&amp;I772&amp;")"</f>
        <v>(6,70)</v>
      </c>
      <c r="C772" s="4">
        <v>0.67678240740740825</v>
      </c>
      <c r="D772" s="4">
        <v>0.67692129629629716</v>
      </c>
      <c r="E772" s="2">
        <v>13.299999999999999</v>
      </c>
      <c r="F772" s="2">
        <v>13.35</v>
      </c>
      <c r="G772" s="1" t="s">
        <v>26</v>
      </c>
      <c r="H772" s="4">
        <f t="shared" si="88"/>
        <v>1.388888888889106E-4</v>
      </c>
      <c r="I772">
        <f t="shared" si="81"/>
        <v>70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</row>
    <row r="773" spans="1:110" ht="14.25" customHeight="1" x14ac:dyDescent="0.3">
      <c r="A773" s="1">
        <f t="shared" si="79"/>
        <v>764</v>
      </c>
      <c r="B773" s="1" t="str">
        <f t="shared" ref="B773" si="150">"(5,"&amp;I773&amp;")"</f>
        <v>(5,70)</v>
      </c>
      <c r="C773" s="4">
        <v>0.67721064814814902</v>
      </c>
      <c r="D773" s="4">
        <v>0.67736111111111197</v>
      </c>
      <c r="E773" s="2">
        <v>13.299999999999999</v>
      </c>
      <c r="F773" s="2">
        <v>13.43</v>
      </c>
      <c r="G773" s="1" t="s">
        <v>26</v>
      </c>
      <c r="H773" s="4">
        <f t="shared" si="88"/>
        <v>1.5046296296294948E-4</v>
      </c>
      <c r="I773">
        <f t="shared" si="81"/>
        <v>70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</row>
    <row r="774" spans="1:110" ht="14.25" customHeight="1" x14ac:dyDescent="0.3">
      <c r="A774" s="1">
        <f t="shared" si="79"/>
        <v>765</v>
      </c>
      <c r="B774" s="1" t="str">
        <f t="shared" ref="B774" si="151">"(4,"&amp;I774&amp;")"</f>
        <v>(4,70)</v>
      </c>
      <c r="C774" s="4">
        <v>0.67765046296296383</v>
      </c>
      <c r="D774" s="4">
        <v>0.67780092592592678</v>
      </c>
      <c r="E774" s="2">
        <v>13.299999999999999</v>
      </c>
      <c r="F774" s="2">
        <v>13.309999999999999</v>
      </c>
      <c r="G774" s="1" t="s">
        <v>26</v>
      </c>
      <c r="H774" s="4">
        <f t="shared" si="88"/>
        <v>1.5046296296294948E-4</v>
      </c>
      <c r="I774">
        <f t="shared" si="81"/>
        <v>70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</row>
    <row r="775" spans="1:110" ht="14.25" customHeight="1" x14ac:dyDescent="0.3">
      <c r="A775" s="1">
        <f t="shared" ref="A775:A808" si="152">A774+1</f>
        <v>766</v>
      </c>
      <c r="B775" s="1" t="str">
        <f t="shared" ref="B775" si="153">"(3,"&amp;I775&amp;")"</f>
        <v>(3,70)</v>
      </c>
      <c r="C775" s="4">
        <v>0.67805555555555641</v>
      </c>
      <c r="D775" s="4">
        <v>0.67822916666666755</v>
      </c>
      <c r="E775" s="2">
        <v>13.299999999999999</v>
      </c>
      <c r="F775" s="2">
        <v>13.37</v>
      </c>
      <c r="G775" s="1" t="s">
        <v>26</v>
      </c>
      <c r="H775" s="4">
        <f t="shared" si="88"/>
        <v>1.7361111111113825E-4</v>
      </c>
      <c r="I775">
        <f t="shared" ref="I775:I808" si="154">I774</f>
        <v>70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</row>
    <row r="776" spans="1:110" ht="14.25" customHeight="1" x14ac:dyDescent="0.3">
      <c r="A776" s="1">
        <f t="shared" si="152"/>
        <v>767</v>
      </c>
      <c r="B776" s="1" t="str">
        <f t="shared" ref="B776" si="155">"(2,"&amp;I776&amp;")"</f>
        <v>(2,70)</v>
      </c>
      <c r="C776" s="4">
        <v>0.67848379629629718</v>
      </c>
      <c r="D776" s="4">
        <v>0.67865740740740832</v>
      </c>
      <c r="E776" s="2">
        <v>13.299999999999999</v>
      </c>
      <c r="F776" s="2">
        <v>13.399999999999999</v>
      </c>
      <c r="G776" s="1" t="s">
        <v>26</v>
      </c>
      <c r="H776" s="4">
        <f t="shared" si="88"/>
        <v>1.7361111111113825E-4</v>
      </c>
      <c r="I776">
        <f t="shared" si="154"/>
        <v>70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</row>
    <row r="777" spans="1:110" ht="14.25" customHeight="1" x14ac:dyDescent="0.3">
      <c r="A777" s="1">
        <f t="shared" si="152"/>
        <v>768</v>
      </c>
      <c r="B777" s="1" t="str">
        <f t="shared" ref="B777:B778" si="156">"(1,"&amp;I777&amp;")"</f>
        <v>(1,70)</v>
      </c>
      <c r="C777" s="4">
        <v>0.67894675925926018</v>
      </c>
      <c r="D777" s="4">
        <v>0.67909722222222313</v>
      </c>
      <c r="E777" s="2">
        <v>13.299999999999999</v>
      </c>
      <c r="F777" s="2">
        <v>13.379999999999999</v>
      </c>
      <c r="G777" s="1" t="s">
        <v>26</v>
      </c>
      <c r="H777" s="4">
        <f t="shared" si="88"/>
        <v>1.5046296296294948E-4</v>
      </c>
      <c r="I777">
        <f t="shared" si="154"/>
        <v>70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</row>
    <row r="778" spans="1:110" ht="14.25" customHeight="1" x14ac:dyDescent="0.3">
      <c r="A778" s="1">
        <f t="shared" si="152"/>
        <v>769</v>
      </c>
      <c r="B778" s="1" t="str">
        <f t="shared" si="156"/>
        <v>(1,71)</v>
      </c>
      <c r="C778" s="4">
        <v>0.67932870370370457</v>
      </c>
      <c r="D778" s="4">
        <v>0.67946759259259348</v>
      </c>
      <c r="E778" s="2">
        <v>13.299999999999999</v>
      </c>
      <c r="F778" s="2">
        <v>13.419999999999998</v>
      </c>
      <c r="G778" s="1" t="s">
        <v>26</v>
      </c>
      <c r="H778" s="4">
        <f t="shared" si="88"/>
        <v>1.388888888889106E-4</v>
      </c>
      <c r="I778">
        <f t="shared" ref="I778" si="157">I777+1</f>
        <v>71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</row>
    <row r="779" spans="1:110" ht="14.25" customHeight="1" x14ac:dyDescent="0.3">
      <c r="A779" s="1">
        <f t="shared" si="152"/>
        <v>770</v>
      </c>
      <c r="B779" s="1" t="str">
        <f t="shared" ref="B779" si="158">"(2,"&amp;I779&amp;")"</f>
        <v>(2,71)</v>
      </c>
      <c r="C779" s="4">
        <v>0.6797453703703713</v>
      </c>
      <c r="D779" s="4">
        <v>0.67991898148148244</v>
      </c>
      <c r="E779" s="2">
        <v>13.299999999999999</v>
      </c>
      <c r="F779" s="2">
        <v>13.399999999999999</v>
      </c>
      <c r="G779" s="1" t="s">
        <v>26</v>
      </c>
      <c r="H779" s="4">
        <f t="shared" si="88"/>
        <v>1.7361111111113825E-4</v>
      </c>
      <c r="I779">
        <f t="shared" ref="I779:I802" si="159">I778</f>
        <v>71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</row>
    <row r="780" spans="1:110" ht="14.25" customHeight="1" x14ac:dyDescent="0.3">
      <c r="A780" s="1">
        <f t="shared" si="152"/>
        <v>771</v>
      </c>
      <c r="B780" s="1" t="str">
        <f t="shared" ref="B780" si="160">"(3,"&amp;I780&amp;")"</f>
        <v>(3,71)</v>
      </c>
      <c r="C780" s="4">
        <v>0.68018518518518611</v>
      </c>
      <c r="D780" s="4">
        <v>0.68032407407407502</v>
      </c>
      <c r="E780" s="2">
        <v>13.299999999999999</v>
      </c>
      <c r="F780" s="2">
        <v>13.44</v>
      </c>
      <c r="G780" s="1" t="s">
        <v>26</v>
      </c>
      <c r="H780" s="4">
        <f t="shared" ref="H780:H808" si="161">D780-C780</f>
        <v>1.388888888889106E-4</v>
      </c>
      <c r="I780">
        <f t="shared" si="159"/>
        <v>71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</row>
    <row r="781" spans="1:110" ht="14.25" customHeight="1" x14ac:dyDescent="0.3">
      <c r="A781" s="1">
        <f t="shared" si="152"/>
        <v>772</v>
      </c>
      <c r="B781" s="1" t="str">
        <f t="shared" ref="B781" si="162">"(4,"&amp;I781&amp;")"</f>
        <v>(4,71)</v>
      </c>
      <c r="C781" s="4">
        <v>0.68057870370370466</v>
      </c>
      <c r="D781" s="4">
        <v>0.68074074074074165</v>
      </c>
      <c r="E781" s="2">
        <v>13.299999999999999</v>
      </c>
      <c r="F781" s="2">
        <v>13.309999999999999</v>
      </c>
      <c r="G781" s="1" t="s">
        <v>26</v>
      </c>
      <c r="H781" s="4">
        <f t="shared" si="161"/>
        <v>1.6203703703698835E-4</v>
      </c>
      <c r="I781">
        <f t="shared" si="154"/>
        <v>71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</row>
    <row r="782" spans="1:110" ht="14.25" customHeight="1" x14ac:dyDescent="0.3">
      <c r="A782" s="1">
        <f t="shared" si="152"/>
        <v>773</v>
      </c>
      <c r="B782" s="1" t="str">
        <f t="shared" ref="B782" si="163">"(5,"&amp;I782&amp;")"</f>
        <v>(5,71)</v>
      </c>
      <c r="C782" s="4">
        <v>0.68101851851851947</v>
      </c>
      <c r="D782" s="4">
        <v>0.6811921296296306</v>
      </c>
      <c r="E782" s="2">
        <v>13.299999999999999</v>
      </c>
      <c r="F782" s="2">
        <v>13.399999999999999</v>
      </c>
      <c r="G782" s="1" t="s">
        <v>26</v>
      </c>
      <c r="H782" s="4">
        <f t="shared" si="161"/>
        <v>1.7361111111113825E-4</v>
      </c>
      <c r="I782">
        <f t="shared" si="154"/>
        <v>71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</row>
    <row r="783" spans="1:110" ht="14.25" customHeight="1" x14ac:dyDescent="0.3">
      <c r="A783" s="1">
        <f t="shared" si="152"/>
        <v>774</v>
      </c>
      <c r="B783" s="1" t="str">
        <f t="shared" ref="B783" si="164">"(6,"&amp;I783&amp;")"</f>
        <v>(6,71)</v>
      </c>
      <c r="C783" s="4">
        <v>0.68144675925926024</v>
      </c>
      <c r="D783" s="4">
        <v>0.68159722222222319</v>
      </c>
      <c r="E783" s="2">
        <v>13.299999999999999</v>
      </c>
      <c r="F783" s="2">
        <v>13.399999999999999</v>
      </c>
      <c r="G783" s="1" t="s">
        <v>26</v>
      </c>
      <c r="H783" s="4">
        <f t="shared" si="161"/>
        <v>1.5046296296294948E-4</v>
      </c>
      <c r="I783">
        <f t="shared" si="154"/>
        <v>71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</row>
    <row r="784" spans="1:110" ht="14.25" customHeight="1" x14ac:dyDescent="0.3">
      <c r="A784" s="1">
        <f t="shared" si="152"/>
        <v>775</v>
      </c>
      <c r="B784" s="1" t="str">
        <f t="shared" ref="B784" si="165">"(7,"&amp;I784&amp;")"</f>
        <v>(7,71)</v>
      </c>
      <c r="C784" s="4">
        <v>0.68182870370370463</v>
      </c>
      <c r="D784" s="4">
        <v>0.68196759259259354</v>
      </c>
      <c r="E784" s="2">
        <v>13.299999999999999</v>
      </c>
      <c r="F784" s="2">
        <v>13.43</v>
      </c>
      <c r="G784" s="1" t="s">
        <v>26</v>
      </c>
      <c r="H784" s="4">
        <f t="shared" si="161"/>
        <v>1.388888888889106E-4</v>
      </c>
      <c r="I784">
        <f t="shared" si="154"/>
        <v>71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</row>
    <row r="785" spans="1:110" ht="14.25" customHeight="1" x14ac:dyDescent="0.3">
      <c r="A785" s="1">
        <f t="shared" si="152"/>
        <v>776</v>
      </c>
      <c r="B785" s="1" t="str">
        <f t="shared" ref="B785" si="166">"(8,"&amp;I785&amp;")"</f>
        <v>(8,71)</v>
      </c>
      <c r="C785" s="4">
        <v>0.68219907407407498</v>
      </c>
      <c r="D785" s="4">
        <v>0.6823379629629639</v>
      </c>
      <c r="E785" s="2">
        <v>13.299999999999999</v>
      </c>
      <c r="F785" s="2">
        <v>13.44</v>
      </c>
      <c r="G785" s="1" t="s">
        <v>26</v>
      </c>
      <c r="H785" s="4">
        <f t="shared" si="161"/>
        <v>1.388888888889106E-4</v>
      </c>
      <c r="I785">
        <f t="shared" si="154"/>
        <v>71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</row>
    <row r="786" spans="1:110" ht="14.25" customHeight="1" x14ac:dyDescent="0.3">
      <c r="A786" s="1">
        <f t="shared" si="152"/>
        <v>777</v>
      </c>
      <c r="B786" s="1" t="str">
        <f t="shared" ref="B786" si="167">"(9,"&amp;I786&amp;")"</f>
        <v>(9,71)</v>
      </c>
      <c r="C786" s="4">
        <v>0.68258101851851949</v>
      </c>
      <c r="D786" s="4">
        <v>0.6827199074074084</v>
      </c>
      <c r="E786" s="2">
        <v>13.299999999999999</v>
      </c>
      <c r="F786" s="2">
        <v>13.309999999999999</v>
      </c>
      <c r="G786" s="1" t="s">
        <v>26</v>
      </c>
      <c r="H786" s="4">
        <f t="shared" si="161"/>
        <v>1.388888888889106E-4</v>
      </c>
      <c r="I786">
        <f t="shared" si="154"/>
        <v>71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</row>
    <row r="787" spans="1:110" ht="14.25" customHeight="1" x14ac:dyDescent="0.3">
      <c r="A787" s="1">
        <f t="shared" si="152"/>
        <v>778</v>
      </c>
      <c r="B787" s="1" t="str">
        <f t="shared" ref="B787" si="168">"(10,"&amp;I787&amp;")"</f>
        <v>(10,71)</v>
      </c>
      <c r="C787" s="4">
        <v>0.68296296296296399</v>
      </c>
      <c r="D787" s="4">
        <v>0.68311342592592694</v>
      </c>
      <c r="E787" s="2">
        <v>13.299999999999999</v>
      </c>
      <c r="F787" s="2">
        <v>13.36</v>
      </c>
      <c r="G787" s="1" t="s">
        <v>26</v>
      </c>
      <c r="H787" s="4">
        <f t="shared" si="161"/>
        <v>1.5046296296294948E-4</v>
      </c>
      <c r="I787">
        <f t="shared" si="154"/>
        <v>71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</row>
    <row r="788" spans="1:110" ht="14.25" customHeight="1" x14ac:dyDescent="0.3">
      <c r="A788" s="1">
        <f t="shared" si="152"/>
        <v>779</v>
      </c>
      <c r="B788" s="1" t="str">
        <f t="shared" ref="B788:B789" si="169">"(11,"&amp;I788&amp;")"</f>
        <v>(11,71)</v>
      </c>
      <c r="C788" s="4">
        <v>0.68339120370370476</v>
      </c>
      <c r="D788" s="4">
        <v>0.68354166666666771</v>
      </c>
      <c r="E788" s="2">
        <v>13.299999999999999</v>
      </c>
      <c r="F788" s="2">
        <v>13.44</v>
      </c>
      <c r="G788" s="1" t="s">
        <v>26</v>
      </c>
      <c r="H788" s="4">
        <f t="shared" si="161"/>
        <v>1.5046296296294948E-4</v>
      </c>
      <c r="I788">
        <f t="shared" si="154"/>
        <v>71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</row>
    <row r="789" spans="1:110" ht="14.25" customHeight="1" x14ac:dyDescent="0.3">
      <c r="A789" s="1">
        <f t="shared" si="152"/>
        <v>780</v>
      </c>
      <c r="B789" s="1" t="str">
        <f t="shared" si="169"/>
        <v>(11,72)</v>
      </c>
      <c r="C789" s="4">
        <v>0.68379629629629735</v>
      </c>
      <c r="D789" s="4">
        <v>0.68395833333333433</v>
      </c>
      <c r="E789" s="2">
        <v>13.299999999999999</v>
      </c>
      <c r="F789" s="2">
        <v>13.319999999999999</v>
      </c>
      <c r="G789" s="1" t="s">
        <v>26</v>
      </c>
      <c r="H789" s="4">
        <f t="shared" si="161"/>
        <v>1.6203703703698835E-4</v>
      </c>
      <c r="I789">
        <f t="shared" ref="I789" si="170">I788+1</f>
        <v>72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</row>
    <row r="790" spans="1:110" ht="14.25" customHeight="1" x14ac:dyDescent="0.3">
      <c r="A790" s="1">
        <f t="shared" si="152"/>
        <v>781</v>
      </c>
      <c r="B790" s="1" t="str">
        <f t="shared" ref="B790" si="171">"(10,"&amp;I790&amp;")"</f>
        <v>(10,72)</v>
      </c>
      <c r="C790" s="4">
        <v>0.68421296296296397</v>
      </c>
      <c r="D790" s="4">
        <v>0.6843865740740751</v>
      </c>
      <c r="E790" s="2">
        <v>13.299999999999999</v>
      </c>
      <c r="F790" s="2">
        <v>13.389999999999999</v>
      </c>
      <c r="G790" s="1" t="s">
        <v>26</v>
      </c>
      <c r="H790" s="4">
        <f t="shared" si="161"/>
        <v>1.7361111111113825E-4</v>
      </c>
      <c r="I790">
        <f t="shared" ref="I790" si="172">I789</f>
        <v>72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</row>
    <row r="791" spans="1:110" ht="14.25" customHeight="1" x14ac:dyDescent="0.3">
      <c r="A791" s="1">
        <f t="shared" si="152"/>
        <v>782</v>
      </c>
      <c r="B791" s="1" t="str">
        <f t="shared" ref="B791" si="173">"(9,"&amp;I791&amp;")"</f>
        <v>(9,72)</v>
      </c>
      <c r="C791" s="4">
        <v>0.68464120370370474</v>
      </c>
      <c r="D791" s="4">
        <v>0.68479166666666769</v>
      </c>
      <c r="E791" s="2">
        <v>13.299999999999999</v>
      </c>
      <c r="F791" s="2">
        <v>13.409999999999998</v>
      </c>
      <c r="G791" s="1" t="s">
        <v>26</v>
      </c>
      <c r="H791" s="4">
        <f t="shared" si="161"/>
        <v>1.5046296296294948E-4</v>
      </c>
      <c r="I791">
        <f t="shared" si="159"/>
        <v>72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</row>
    <row r="792" spans="1:110" ht="14.25" customHeight="1" x14ac:dyDescent="0.3">
      <c r="A792" s="1">
        <f t="shared" si="152"/>
        <v>783</v>
      </c>
      <c r="B792" s="1" t="str">
        <f t="shared" ref="B792" si="174">"(8,"&amp;I792&amp;")"</f>
        <v>(8,72)</v>
      </c>
      <c r="C792" s="4">
        <v>0.68504629629629732</v>
      </c>
      <c r="D792" s="4">
        <v>0.68519675925926027</v>
      </c>
      <c r="E792" s="2">
        <v>13.299999999999999</v>
      </c>
      <c r="F792" s="2">
        <v>13.319999999999999</v>
      </c>
      <c r="G792" s="1" t="s">
        <v>26</v>
      </c>
      <c r="H792" s="4">
        <f t="shared" si="161"/>
        <v>1.5046296296294948E-4</v>
      </c>
      <c r="I792">
        <f t="shared" si="154"/>
        <v>72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</row>
    <row r="793" spans="1:110" ht="14.25" customHeight="1" x14ac:dyDescent="0.3">
      <c r="A793" s="1">
        <f t="shared" si="152"/>
        <v>784</v>
      </c>
      <c r="B793" s="1" t="str">
        <f t="shared" ref="B793" si="175">"(7,"&amp;I793&amp;")"</f>
        <v>(7,72)</v>
      </c>
      <c r="C793" s="4">
        <v>0.68548611111111213</v>
      </c>
      <c r="D793" s="4">
        <v>0.68563657407407508</v>
      </c>
      <c r="E793" s="2">
        <v>13.299999999999999</v>
      </c>
      <c r="F793" s="2">
        <v>13.37</v>
      </c>
      <c r="G793" s="1" t="s">
        <v>26</v>
      </c>
      <c r="H793" s="4">
        <f t="shared" si="161"/>
        <v>1.5046296296294948E-4</v>
      </c>
      <c r="I793">
        <f t="shared" si="154"/>
        <v>72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</row>
    <row r="794" spans="1:110" ht="14.25" customHeight="1" x14ac:dyDescent="0.3">
      <c r="A794" s="1">
        <f t="shared" si="152"/>
        <v>785</v>
      </c>
      <c r="B794" s="1" t="str">
        <f t="shared" ref="B794" si="176">"(6,"&amp;I794&amp;")"</f>
        <v>(6,72)</v>
      </c>
      <c r="C794" s="4">
        <v>0.68586805555555652</v>
      </c>
      <c r="D794" s="4">
        <v>0.68603009259259351</v>
      </c>
      <c r="E794" s="2">
        <v>13.299999999999999</v>
      </c>
      <c r="F794" s="2">
        <v>13.35</v>
      </c>
      <c r="G794" s="1" t="s">
        <v>26</v>
      </c>
      <c r="H794" s="4">
        <f t="shared" si="161"/>
        <v>1.6203703703698835E-4</v>
      </c>
      <c r="I794">
        <f t="shared" si="154"/>
        <v>72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</row>
    <row r="795" spans="1:110" ht="14.25" customHeight="1" x14ac:dyDescent="0.3">
      <c r="A795" s="1">
        <f t="shared" si="152"/>
        <v>786</v>
      </c>
      <c r="B795" s="1" t="str">
        <f t="shared" ref="B795" si="177">"(5,"&amp;I795&amp;")"</f>
        <v>(5,72)</v>
      </c>
      <c r="C795" s="4">
        <v>0.68630787037037133</v>
      </c>
      <c r="D795" s="4">
        <v>0.68644675925926024</v>
      </c>
      <c r="E795" s="2">
        <v>13.299999999999999</v>
      </c>
      <c r="F795" s="2">
        <v>13.329999999999998</v>
      </c>
      <c r="G795" s="1" t="s">
        <v>26</v>
      </c>
      <c r="H795" s="4">
        <f t="shared" si="161"/>
        <v>1.388888888889106E-4</v>
      </c>
      <c r="I795">
        <f t="shared" si="154"/>
        <v>72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</row>
    <row r="796" spans="1:110" ht="14.25" customHeight="1" x14ac:dyDescent="0.3">
      <c r="A796" s="1">
        <f t="shared" si="152"/>
        <v>787</v>
      </c>
      <c r="B796" s="1" t="str">
        <f t="shared" ref="B796" si="178">"(4,"&amp;I796&amp;")"</f>
        <v>(4,72)</v>
      </c>
      <c r="C796" s="4">
        <v>0.6867361111111121</v>
      </c>
      <c r="D796" s="4">
        <v>0.68690972222222324</v>
      </c>
      <c r="E796" s="2">
        <v>13.299999999999999</v>
      </c>
      <c r="F796" s="2">
        <v>13.36</v>
      </c>
      <c r="G796" s="1" t="s">
        <v>26</v>
      </c>
      <c r="H796" s="4">
        <f t="shared" si="161"/>
        <v>1.7361111111113825E-4</v>
      </c>
      <c r="I796">
        <f t="shared" si="154"/>
        <v>72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</row>
    <row r="797" spans="1:110" ht="14.25" customHeight="1" x14ac:dyDescent="0.3">
      <c r="A797" s="1">
        <f t="shared" si="152"/>
        <v>788</v>
      </c>
      <c r="B797" s="1" t="str">
        <f t="shared" ref="B797" si="179">"(3,"&amp;I797&amp;")"</f>
        <v>(3,72)</v>
      </c>
      <c r="C797" s="4">
        <v>0.6871990740740751</v>
      </c>
      <c r="D797" s="4">
        <v>0.68733796296296401</v>
      </c>
      <c r="E797" s="2">
        <v>13.299999999999999</v>
      </c>
      <c r="F797" s="2">
        <v>13.379999999999999</v>
      </c>
      <c r="G797" s="1" t="s">
        <v>26</v>
      </c>
      <c r="H797" s="4">
        <f t="shared" si="161"/>
        <v>1.388888888889106E-4</v>
      </c>
      <c r="I797">
        <f t="shared" si="154"/>
        <v>72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</row>
    <row r="798" spans="1:110" ht="14.25" customHeight="1" x14ac:dyDescent="0.3">
      <c r="A798" s="1">
        <f t="shared" si="152"/>
        <v>789</v>
      </c>
      <c r="B798" s="1" t="str">
        <f t="shared" ref="B798" si="180">"(2,"&amp;I798&amp;")"</f>
        <v>(2,72)</v>
      </c>
      <c r="C798" s="4">
        <v>0.68761574074074183</v>
      </c>
      <c r="D798" s="4">
        <v>0.68775462962963074</v>
      </c>
      <c r="E798" s="2">
        <v>13.299999999999999</v>
      </c>
      <c r="F798" s="2">
        <v>13.389999999999999</v>
      </c>
      <c r="G798" s="1" t="s">
        <v>26</v>
      </c>
      <c r="H798" s="4">
        <f t="shared" si="161"/>
        <v>1.388888888889106E-4</v>
      </c>
      <c r="I798">
        <f t="shared" si="154"/>
        <v>72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</row>
    <row r="799" spans="1:110" ht="14.25" customHeight="1" x14ac:dyDescent="0.3">
      <c r="A799" s="1">
        <f t="shared" si="152"/>
        <v>790</v>
      </c>
      <c r="B799" s="1" t="str">
        <f t="shared" ref="B799:B800" si="181">"(1,"&amp;I799&amp;")"</f>
        <v>(1,72)</v>
      </c>
      <c r="C799" s="4">
        <v>0.68799768518518634</v>
      </c>
      <c r="D799" s="4">
        <v>0.68814814814814929</v>
      </c>
      <c r="E799" s="2">
        <v>13.299999999999999</v>
      </c>
      <c r="F799" s="2">
        <v>13.37</v>
      </c>
      <c r="G799" s="1" t="s">
        <v>26</v>
      </c>
      <c r="H799" s="4">
        <f t="shared" si="161"/>
        <v>1.5046296296294948E-4</v>
      </c>
      <c r="I799">
        <f t="shared" si="154"/>
        <v>72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</row>
    <row r="800" spans="1:110" ht="14.25" customHeight="1" x14ac:dyDescent="0.3">
      <c r="A800" s="1">
        <f t="shared" si="152"/>
        <v>791</v>
      </c>
      <c r="B800" s="1" t="str">
        <f t="shared" si="181"/>
        <v>(1,73)</v>
      </c>
      <c r="C800" s="4">
        <v>0.68837962962963073</v>
      </c>
      <c r="D800" s="4">
        <v>0.68851851851851964</v>
      </c>
      <c r="E800" s="2">
        <v>13.299999999999999</v>
      </c>
      <c r="F800" s="2">
        <v>13.409999999999998</v>
      </c>
      <c r="G800" s="1" t="s">
        <v>26</v>
      </c>
      <c r="H800" s="4">
        <f t="shared" si="161"/>
        <v>1.388888888889106E-4</v>
      </c>
      <c r="I800">
        <f t="shared" ref="I800" si="182">I799+1</f>
        <v>73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</row>
    <row r="801" spans="1:110" ht="14.25" customHeight="1" x14ac:dyDescent="0.3">
      <c r="A801" s="1">
        <f t="shared" si="152"/>
        <v>792</v>
      </c>
      <c r="B801" s="1" t="str">
        <f t="shared" ref="B801" si="183">"(2,"&amp;I801&amp;")"</f>
        <v>(2,73)</v>
      </c>
      <c r="C801" s="4">
        <v>0.68878472222222331</v>
      </c>
      <c r="D801" s="4">
        <v>0.68893518518518626</v>
      </c>
      <c r="E801" s="2">
        <v>13.299999999999999</v>
      </c>
      <c r="F801" s="2">
        <v>13.419999999999998</v>
      </c>
      <c r="G801" s="1" t="s">
        <v>26</v>
      </c>
      <c r="H801" s="4">
        <f t="shared" si="161"/>
        <v>1.5046296296294948E-4</v>
      </c>
      <c r="I801">
        <f t="shared" ref="I801" si="184">I800</f>
        <v>73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</row>
    <row r="802" spans="1:110" ht="14.25" customHeight="1" x14ac:dyDescent="0.3">
      <c r="A802" s="1">
        <f t="shared" si="152"/>
        <v>793</v>
      </c>
      <c r="B802" s="1" t="str">
        <f t="shared" ref="B802" si="185">"(3,"&amp;I802&amp;")"</f>
        <v>(3,73)</v>
      </c>
      <c r="C802" s="4">
        <v>0.68922453703703812</v>
      </c>
      <c r="D802" s="4">
        <v>0.68937500000000107</v>
      </c>
      <c r="E802" s="2">
        <v>13.299999999999999</v>
      </c>
      <c r="F802" s="2">
        <v>13.44</v>
      </c>
      <c r="G802" s="1" t="s">
        <v>26</v>
      </c>
      <c r="H802" s="4">
        <f t="shared" si="161"/>
        <v>1.5046296296294948E-4</v>
      </c>
      <c r="I802">
        <f t="shared" si="159"/>
        <v>73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</row>
    <row r="803" spans="1:110" ht="14.25" customHeight="1" x14ac:dyDescent="0.3">
      <c r="A803" s="1">
        <f t="shared" si="152"/>
        <v>794</v>
      </c>
      <c r="B803" s="1" t="str">
        <f t="shared" ref="B803" si="186">"(4,"&amp;I803&amp;")"</f>
        <v>(4,73)</v>
      </c>
      <c r="C803" s="4">
        <v>0.6896296296296307</v>
      </c>
      <c r="D803" s="4">
        <v>0.68980324074074184</v>
      </c>
      <c r="E803" s="2">
        <v>13.299999999999999</v>
      </c>
      <c r="F803" s="2">
        <v>13.419999999999998</v>
      </c>
      <c r="G803" s="1" t="s">
        <v>26</v>
      </c>
      <c r="H803" s="4">
        <f t="shared" si="161"/>
        <v>1.7361111111113825E-4</v>
      </c>
      <c r="I803">
        <f t="shared" si="154"/>
        <v>73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</row>
    <row r="804" spans="1:110" ht="14.25" customHeight="1" x14ac:dyDescent="0.3">
      <c r="A804" s="1">
        <f t="shared" si="152"/>
        <v>795</v>
      </c>
      <c r="B804" s="1" t="str">
        <f t="shared" ref="B804" si="187">"(5,"&amp;I804&amp;")"</f>
        <v>(5,73)</v>
      </c>
      <c r="C804" s="4">
        <v>0.69005787037037147</v>
      </c>
      <c r="D804" s="4">
        <v>0.69020833333333442</v>
      </c>
      <c r="E804" s="2">
        <v>13.299999999999999</v>
      </c>
      <c r="F804" s="2">
        <v>13.44</v>
      </c>
      <c r="G804" s="1" t="s">
        <v>26</v>
      </c>
      <c r="H804" s="4">
        <f t="shared" si="161"/>
        <v>1.5046296296294948E-4</v>
      </c>
      <c r="I804">
        <f t="shared" si="154"/>
        <v>73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</row>
    <row r="805" spans="1:110" ht="14.25" customHeight="1" x14ac:dyDescent="0.3">
      <c r="A805" s="1">
        <f t="shared" si="152"/>
        <v>796</v>
      </c>
      <c r="B805" s="1" t="str">
        <f t="shared" ref="B805" si="188">"(6,"&amp;I805&amp;")"</f>
        <v>(6,73)</v>
      </c>
      <c r="C805" s="4">
        <v>0.69047453703703809</v>
      </c>
      <c r="D805" s="4">
        <v>0.69063657407407508</v>
      </c>
      <c r="E805" s="2">
        <v>13.299999999999999</v>
      </c>
      <c r="F805" s="2">
        <v>13.36</v>
      </c>
      <c r="G805" s="1" t="s">
        <v>26</v>
      </c>
      <c r="H805" s="4">
        <f t="shared" si="161"/>
        <v>1.6203703703698835E-4</v>
      </c>
      <c r="I805">
        <f t="shared" si="154"/>
        <v>73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</row>
    <row r="806" spans="1:110" ht="14.25" customHeight="1" x14ac:dyDescent="0.3">
      <c r="A806" s="1">
        <f t="shared" si="152"/>
        <v>797</v>
      </c>
      <c r="B806" s="1" t="str">
        <f t="shared" ref="B806" si="189">"(7,"&amp;I806&amp;")"</f>
        <v>(7,73)</v>
      </c>
      <c r="C806" s="4">
        <v>0.6909143518518529</v>
      </c>
      <c r="D806" s="4">
        <v>0.69105324074074181</v>
      </c>
      <c r="E806" s="2">
        <v>13.299999999999999</v>
      </c>
      <c r="F806" s="2">
        <v>13.319999999999999</v>
      </c>
      <c r="G806" s="1" t="s">
        <v>26</v>
      </c>
      <c r="H806" s="4">
        <f t="shared" si="161"/>
        <v>1.388888888889106E-4</v>
      </c>
      <c r="I806">
        <f t="shared" si="154"/>
        <v>73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</row>
    <row r="807" spans="1:110" ht="14.25" customHeight="1" x14ac:dyDescent="0.3">
      <c r="A807" s="1">
        <f t="shared" si="152"/>
        <v>798</v>
      </c>
      <c r="B807" s="1" t="str">
        <f t="shared" ref="B807" si="190">"(8,"&amp;I807&amp;")"</f>
        <v>(8,73)</v>
      </c>
      <c r="C807" s="4">
        <v>0.69131944444444549</v>
      </c>
      <c r="D807" s="4">
        <v>0.69148148148148247</v>
      </c>
      <c r="E807" s="2">
        <v>13.299999999999999</v>
      </c>
      <c r="F807" s="2">
        <v>13.319999999999999</v>
      </c>
      <c r="G807" s="1" t="s">
        <v>26</v>
      </c>
      <c r="H807" s="4">
        <f t="shared" si="161"/>
        <v>1.6203703703698835E-4</v>
      </c>
      <c r="I807">
        <f t="shared" si="154"/>
        <v>73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</row>
    <row r="808" spans="1:110" ht="14.25" customHeight="1" x14ac:dyDescent="0.3">
      <c r="A808" s="1">
        <f t="shared" si="152"/>
        <v>799</v>
      </c>
      <c r="B808" s="1" t="str">
        <f t="shared" ref="B808" si="191">"(9,"&amp;I808&amp;")"</f>
        <v>(9,73)</v>
      </c>
      <c r="C808" s="4">
        <v>0.69173611111111211</v>
      </c>
      <c r="D808" s="4">
        <v>0.69189814814814909</v>
      </c>
      <c r="E808" s="2">
        <v>13.299999999999999</v>
      </c>
      <c r="F808" s="2">
        <v>13.319999999999999</v>
      </c>
      <c r="G808" s="1" t="s">
        <v>26</v>
      </c>
      <c r="H808" s="4">
        <f t="shared" si="161"/>
        <v>1.6203703703698835E-4</v>
      </c>
      <c r="I808">
        <f t="shared" si="154"/>
        <v>73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</row>
    <row r="809" spans="1:110" ht="18" customHeight="1" x14ac:dyDescent="0.3">
      <c r="A809" s="38" t="s">
        <v>5</v>
      </c>
      <c r="B809" s="38"/>
      <c r="C809" s="38"/>
      <c r="D809" s="38"/>
      <c r="E809" s="38"/>
      <c r="F809" s="38"/>
      <c r="G809" s="38"/>
      <c r="H809" s="38"/>
      <c r="I809" s="24"/>
      <c r="J809" s="25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</row>
    <row r="810" spans="1:110" ht="29.25" customHeight="1" x14ac:dyDescent="0.3">
      <c r="A810" s="39" t="s">
        <v>13</v>
      </c>
      <c r="B810" s="40"/>
      <c r="C810" s="40"/>
      <c r="D810" s="41"/>
      <c r="E810" s="26">
        <f>SUM(E10:E808)</f>
        <v>10626.699999999946</v>
      </c>
      <c r="F810" s="48" t="s">
        <v>244</v>
      </c>
      <c r="G810" s="49"/>
      <c r="H810" s="26">
        <f>SUM(F10:F808)</f>
        <v>10689.619999999995</v>
      </c>
      <c r="I810" s="18"/>
      <c r="J810" s="19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</row>
    <row r="811" spans="1:110" ht="79.5" customHeight="1" x14ac:dyDescent="0.3">
      <c r="A811" s="39" t="s">
        <v>14</v>
      </c>
      <c r="B811" s="40"/>
      <c r="C811" s="41"/>
      <c r="D811" s="27">
        <f>A808</f>
        <v>799</v>
      </c>
      <c r="E811" s="28" t="s">
        <v>15</v>
      </c>
      <c r="F811" s="27">
        <f>D811</f>
        <v>799</v>
      </c>
      <c r="G811" s="31" t="s">
        <v>16</v>
      </c>
      <c r="H811" s="34" t="s">
        <v>22</v>
      </c>
      <c r="I811" s="32"/>
      <c r="J811" s="19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</row>
    <row r="812" spans="1:110" ht="39.75" customHeight="1" x14ac:dyDescent="0.3">
      <c r="A812" s="39" t="s">
        <v>17</v>
      </c>
      <c r="B812" s="40"/>
      <c r="C812" s="40"/>
      <c r="D812" s="41"/>
      <c r="E812" s="26">
        <f>MAX(F10:F808)</f>
        <v>13.45</v>
      </c>
      <c r="F812" s="39" t="s">
        <v>18</v>
      </c>
      <c r="G812" s="41"/>
      <c r="H812" s="26">
        <f>E708</f>
        <v>13.299999999999999</v>
      </c>
      <c r="I812" s="18"/>
      <c r="J812" s="19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</row>
    <row r="813" spans="1:110" ht="9.75" customHeight="1" x14ac:dyDescent="0.3">
      <c r="A813" s="29"/>
      <c r="B813" s="29"/>
      <c r="C813" s="29"/>
      <c r="D813" s="29"/>
      <c r="E813" s="30"/>
      <c r="F813" s="29"/>
      <c r="G813" s="29"/>
      <c r="H813" s="30"/>
      <c r="I813" s="18"/>
      <c r="J813" s="19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</row>
    <row r="814" spans="1:110" ht="26.25" customHeight="1" x14ac:dyDescent="0.3">
      <c r="A814" s="50" t="s">
        <v>202</v>
      </c>
      <c r="B814" s="51"/>
      <c r="C814" s="51"/>
      <c r="D814" s="52"/>
      <c r="E814" s="50" t="s">
        <v>203</v>
      </c>
      <c r="F814" s="51"/>
      <c r="G814" s="51"/>
      <c r="H814" s="52"/>
      <c r="I814" s="44"/>
      <c r="J814" s="45"/>
      <c r="K814" s="45"/>
      <c r="L814" s="45"/>
      <c r="M814" s="45"/>
      <c r="N814" s="45"/>
      <c r="O814" s="45"/>
      <c r="P814" s="45"/>
      <c r="Q814" s="45"/>
      <c r="R814" s="45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</row>
    <row r="815" spans="1:110" ht="26.25" customHeight="1" x14ac:dyDescent="0.3">
      <c r="A815" s="50" t="s">
        <v>204</v>
      </c>
      <c r="B815" s="51"/>
      <c r="C815" s="51"/>
      <c r="D815" s="52"/>
      <c r="E815" s="50" t="s">
        <v>205</v>
      </c>
      <c r="F815" s="51"/>
      <c r="G815" s="51"/>
      <c r="H815" s="52"/>
      <c r="I815" s="44"/>
      <c r="J815" s="45"/>
      <c r="K815" s="45"/>
      <c r="L815" s="45"/>
      <c r="M815" s="45"/>
      <c r="N815" s="45"/>
      <c r="O815" s="45"/>
      <c r="P815" s="45"/>
      <c r="Q815" s="45"/>
      <c r="R815" s="45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</row>
    <row r="816" spans="1:110" ht="15.6" x14ac:dyDescent="0.3">
      <c r="A816" s="53" t="s">
        <v>281</v>
      </c>
      <c r="B816" s="54"/>
      <c r="C816" s="54"/>
      <c r="D816" s="55"/>
      <c r="E816" s="53" t="s">
        <v>282</v>
      </c>
      <c r="F816" s="54"/>
      <c r="G816" s="54"/>
      <c r="H816" s="55"/>
      <c r="I816" s="46"/>
      <c r="J816" s="47"/>
      <c r="K816" s="47"/>
      <c r="L816" s="47"/>
      <c r="M816" s="47"/>
      <c r="N816" s="47"/>
      <c r="O816" s="47"/>
      <c r="P816" s="47"/>
      <c r="Q816" s="47"/>
      <c r="R816" s="47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</row>
    <row r="817" spans="1:110" ht="15" customHeight="1" x14ac:dyDescent="0.3">
      <c r="A817" s="56"/>
      <c r="B817" s="57"/>
      <c r="C817" s="57"/>
      <c r="D817" s="58"/>
      <c r="E817" s="56"/>
      <c r="F817" s="57"/>
      <c r="G817" s="57"/>
      <c r="H817" s="58"/>
      <c r="I817" s="42"/>
      <c r="J817" s="43"/>
      <c r="K817" s="43"/>
      <c r="L817" s="43"/>
      <c r="M817" s="43"/>
      <c r="N817" s="43"/>
      <c r="O817" s="43"/>
      <c r="P817" s="43"/>
      <c r="Q817" s="43"/>
      <c r="R817" s="4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</row>
    <row r="818" spans="1:110" ht="15" customHeight="1" x14ac:dyDescent="0.3">
      <c r="A818" s="56"/>
      <c r="B818" s="57"/>
      <c r="C818" s="57"/>
      <c r="D818" s="58"/>
      <c r="E818" s="56"/>
      <c r="F818" s="57"/>
      <c r="G818" s="57"/>
      <c r="H818" s="58"/>
      <c r="I818" s="42"/>
      <c r="J818" s="43"/>
      <c r="K818" s="43"/>
      <c r="L818" s="43"/>
      <c r="M818" s="43"/>
      <c r="N818" s="43"/>
      <c r="O818" s="43"/>
      <c r="P818" s="43"/>
      <c r="Q818" s="43"/>
      <c r="R818" s="4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</row>
    <row r="819" spans="1:110" ht="15" customHeight="1" x14ac:dyDescent="0.3">
      <c r="A819" s="56"/>
      <c r="B819" s="57"/>
      <c r="C819" s="57"/>
      <c r="D819" s="58"/>
      <c r="E819" s="56"/>
      <c r="F819" s="57"/>
      <c r="G819" s="57"/>
      <c r="H819" s="58"/>
      <c r="I819" s="42"/>
      <c r="J819" s="43"/>
      <c r="K819" s="43"/>
      <c r="L819" s="43"/>
      <c r="M819" s="43"/>
      <c r="N819" s="43"/>
      <c r="O819" s="43"/>
      <c r="P819" s="43"/>
      <c r="Q819" s="43"/>
      <c r="R819" s="4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</row>
    <row r="820" spans="1:110" ht="15" customHeight="1" x14ac:dyDescent="0.3">
      <c r="A820" s="56"/>
      <c r="B820" s="57"/>
      <c r="C820" s="57"/>
      <c r="D820" s="58"/>
      <c r="E820" s="56"/>
      <c r="F820" s="57"/>
      <c r="G820" s="57"/>
      <c r="H820" s="58"/>
      <c r="I820" s="42"/>
      <c r="J820" s="43"/>
      <c r="K820" s="43"/>
      <c r="L820" s="43"/>
      <c r="M820" s="43"/>
      <c r="N820" s="43"/>
      <c r="O820" s="43"/>
      <c r="P820" s="43"/>
      <c r="Q820" s="43"/>
      <c r="R820" s="4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</row>
    <row r="821" spans="1:110" ht="15" customHeight="1" x14ac:dyDescent="0.3">
      <c r="A821" s="59"/>
      <c r="B821" s="60"/>
      <c r="C821" s="60"/>
      <c r="D821" s="61"/>
      <c r="E821" s="59"/>
      <c r="F821" s="60"/>
      <c r="G821" s="60"/>
      <c r="H821" s="61"/>
      <c r="I821" s="42"/>
      <c r="J821" s="43"/>
      <c r="K821" s="43"/>
      <c r="L821" s="43"/>
      <c r="M821" s="43"/>
      <c r="N821" s="43"/>
      <c r="O821" s="43"/>
      <c r="P821" s="43"/>
      <c r="Q821" s="43"/>
      <c r="R821" s="4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</row>
    <row r="822" spans="1:110" ht="15" customHeight="1" x14ac:dyDescent="0.3">
      <c r="A822" s="33"/>
      <c r="B822" s="33"/>
      <c r="C822" s="33"/>
      <c r="D822" s="33"/>
      <c r="E822" s="33"/>
      <c r="F822" s="33"/>
      <c r="G822" s="33"/>
      <c r="H822" s="33"/>
      <c r="I822" s="42"/>
      <c r="J822" s="43"/>
      <c r="K822" s="43"/>
      <c r="L822" s="43"/>
      <c r="M822" s="43"/>
      <c r="N822" s="43"/>
      <c r="O822" s="43"/>
      <c r="P822" s="43"/>
      <c r="Q822" s="43"/>
      <c r="R822" s="4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</row>
    <row r="823" spans="1:110" ht="15" customHeight="1" x14ac:dyDescent="0.3">
      <c r="A823" s="33"/>
      <c r="B823" s="33"/>
      <c r="C823" s="33"/>
      <c r="D823" s="33"/>
      <c r="E823" s="33"/>
      <c r="F823" s="33"/>
      <c r="G823" s="33"/>
      <c r="H823" s="33"/>
      <c r="I823" s="42"/>
      <c r="J823" s="43"/>
      <c r="K823" s="43"/>
      <c r="L823" s="43"/>
      <c r="M823" s="43"/>
      <c r="N823" s="43"/>
      <c r="O823" s="43"/>
      <c r="P823" s="43"/>
      <c r="Q823" s="43"/>
      <c r="R823" s="4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</row>
    <row r="824" spans="1:110" ht="15" customHeight="1" x14ac:dyDescent="0.3">
      <c r="A824" s="33"/>
      <c r="B824" s="33"/>
      <c r="C824" s="33"/>
      <c r="D824" s="33"/>
      <c r="E824" s="33"/>
      <c r="F824" s="33"/>
      <c r="G824" s="33"/>
      <c r="H824" s="33"/>
      <c r="I824" s="42"/>
      <c r="J824" s="43"/>
      <c r="K824" s="43"/>
      <c r="L824" s="43"/>
      <c r="M824" s="43"/>
      <c r="N824" s="43"/>
      <c r="O824" s="43"/>
      <c r="P824" s="43"/>
      <c r="Q824" s="43"/>
      <c r="R824" s="4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</row>
    <row r="825" spans="1:110" ht="15" customHeight="1" x14ac:dyDescent="0.3">
      <c r="A825" s="33"/>
      <c r="B825" s="33"/>
      <c r="C825" s="33"/>
      <c r="D825" s="33"/>
      <c r="E825" s="33"/>
      <c r="F825" s="33"/>
      <c r="G825" s="33"/>
      <c r="H825" s="33"/>
      <c r="I825" s="42"/>
      <c r="J825" s="43"/>
      <c r="K825" s="43"/>
      <c r="L825" s="43"/>
      <c r="M825" s="43"/>
      <c r="N825" s="43"/>
      <c r="O825" s="43"/>
      <c r="P825" s="43"/>
      <c r="Q825" s="43"/>
      <c r="R825" s="4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</row>
    <row r="826" spans="1:110" x14ac:dyDescent="0.3">
      <c r="H826" s="4">
        <f t="shared" ref="H826:H829" si="192">D826-C826</f>
        <v>0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</row>
    <row r="827" spans="1:110" x14ac:dyDescent="0.3">
      <c r="H827" s="4">
        <f t="shared" si="192"/>
        <v>0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</row>
    <row r="828" spans="1:110" x14ac:dyDescent="0.3">
      <c r="H828" s="4">
        <f t="shared" si="192"/>
        <v>0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</row>
    <row r="829" spans="1:110" x14ac:dyDescent="0.3">
      <c r="H829" s="4">
        <f t="shared" si="192"/>
        <v>0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</row>
    <row r="830" spans="1:110" x14ac:dyDescent="0.3">
      <c r="H830" s="4">
        <f t="shared" ref="H830:H893" si="193">D830-C830</f>
        <v>0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</row>
    <row r="831" spans="1:110" x14ac:dyDescent="0.3">
      <c r="H831" s="4">
        <f t="shared" si="193"/>
        <v>0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</row>
    <row r="832" spans="1:110" x14ac:dyDescent="0.3">
      <c r="H832" s="4">
        <f t="shared" si="193"/>
        <v>0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</row>
    <row r="833" spans="8:110" x14ac:dyDescent="0.3">
      <c r="H833" s="4">
        <f t="shared" si="193"/>
        <v>0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</row>
    <row r="834" spans="8:110" x14ac:dyDescent="0.3">
      <c r="H834" s="4">
        <f t="shared" si="193"/>
        <v>0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</row>
    <row r="835" spans="8:110" x14ac:dyDescent="0.3">
      <c r="H835" s="4">
        <f t="shared" si="193"/>
        <v>0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</row>
    <row r="836" spans="8:110" x14ac:dyDescent="0.3">
      <c r="H836" s="4">
        <f t="shared" si="193"/>
        <v>0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</row>
    <row r="837" spans="8:110" x14ac:dyDescent="0.3">
      <c r="H837" s="4">
        <f t="shared" si="193"/>
        <v>0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</row>
    <row r="838" spans="8:110" x14ac:dyDescent="0.3">
      <c r="H838" s="4">
        <f t="shared" si="193"/>
        <v>0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</row>
    <row r="839" spans="8:110" x14ac:dyDescent="0.3">
      <c r="H839" s="4">
        <f t="shared" si="193"/>
        <v>0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</row>
    <row r="840" spans="8:110" x14ac:dyDescent="0.3">
      <c r="H840" s="4">
        <f t="shared" si="193"/>
        <v>0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</row>
    <row r="841" spans="8:110" x14ac:dyDescent="0.3">
      <c r="H841" s="4">
        <f t="shared" si="193"/>
        <v>0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</row>
    <row r="842" spans="8:110" x14ac:dyDescent="0.3">
      <c r="H842" s="4">
        <f t="shared" si="193"/>
        <v>0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</row>
    <row r="843" spans="8:110" x14ac:dyDescent="0.3">
      <c r="H843" s="4">
        <f t="shared" si="193"/>
        <v>0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</row>
    <row r="844" spans="8:110" x14ac:dyDescent="0.3">
      <c r="H844" s="4">
        <f t="shared" si="193"/>
        <v>0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</row>
    <row r="845" spans="8:110" x14ac:dyDescent="0.3">
      <c r="H845" s="4">
        <f t="shared" si="193"/>
        <v>0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</row>
    <row r="846" spans="8:110" x14ac:dyDescent="0.3">
      <c r="H846" s="4">
        <f t="shared" si="193"/>
        <v>0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</row>
    <row r="847" spans="8:110" x14ac:dyDescent="0.3">
      <c r="H847" s="4">
        <f t="shared" si="193"/>
        <v>0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</row>
    <row r="848" spans="8:110" x14ac:dyDescent="0.3">
      <c r="H848" s="4">
        <f t="shared" si="193"/>
        <v>0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</row>
    <row r="849" spans="8:110" x14ac:dyDescent="0.3">
      <c r="H849" s="4">
        <f t="shared" si="193"/>
        <v>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</row>
    <row r="850" spans="8:110" x14ac:dyDescent="0.3">
      <c r="H850" s="4">
        <f t="shared" si="193"/>
        <v>0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</row>
    <row r="851" spans="8:110" x14ac:dyDescent="0.3">
      <c r="H851" s="4">
        <f t="shared" si="193"/>
        <v>0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</row>
    <row r="852" spans="8:110" x14ac:dyDescent="0.3">
      <c r="H852" s="4">
        <f t="shared" si="193"/>
        <v>0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</row>
    <row r="853" spans="8:110" x14ac:dyDescent="0.3">
      <c r="H853" s="4">
        <f t="shared" si="193"/>
        <v>0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</row>
    <row r="854" spans="8:110" x14ac:dyDescent="0.3">
      <c r="H854" s="4">
        <f t="shared" si="193"/>
        <v>0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</row>
    <row r="855" spans="8:110" x14ac:dyDescent="0.3">
      <c r="H855" s="4">
        <f t="shared" si="193"/>
        <v>0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</row>
    <row r="856" spans="8:110" x14ac:dyDescent="0.3">
      <c r="H856" s="4">
        <f t="shared" si="193"/>
        <v>0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</row>
    <row r="857" spans="8:110" x14ac:dyDescent="0.3">
      <c r="H857" s="4">
        <f t="shared" si="193"/>
        <v>0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</row>
    <row r="858" spans="8:110" x14ac:dyDescent="0.3">
      <c r="H858" s="4">
        <f t="shared" si="193"/>
        <v>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</row>
    <row r="859" spans="8:110" x14ac:dyDescent="0.3">
      <c r="H859" s="4">
        <f t="shared" si="193"/>
        <v>0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</row>
    <row r="860" spans="8:110" x14ac:dyDescent="0.3">
      <c r="H860" s="4">
        <f t="shared" si="193"/>
        <v>0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</row>
    <row r="861" spans="8:110" x14ac:dyDescent="0.3">
      <c r="H861" s="4">
        <f t="shared" si="193"/>
        <v>0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</row>
    <row r="862" spans="8:110" x14ac:dyDescent="0.3">
      <c r="H862" s="4">
        <f t="shared" si="193"/>
        <v>0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</row>
    <row r="863" spans="8:110" x14ac:dyDescent="0.3">
      <c r="H863" s="4">
        <f t="shared" si="193"/>
        <v>0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</row>
    <row r="864" spans="8:110" x14ac:dyDescent="0.3">
      <c r="H864" s="4">
        <f t="shared" si="193"/>
        <v>0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</row>
    <row r="865" spans="8:110" x14ac:dyDescent="0.3">
      <c r="H865" s="4">
        <f t="shared" si="193"/>
        <v>0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</row>
    <row r="866" spans="8:110" x14ac:dyDescent="0.3">
      <c r="H866" s="4">
        <f t="shared" si="193"/>
        <v>0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</row>
    <row r="867" spans="8:110" x14ac:dyDescent="0.3">
      <c r="H867" s="4">
        <f t="shared" si="193"/>
        <v>0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</row>
    <row r="868" spans="8:110" x14ac:dyDescent="0.3">
      <c r="H868" s="4">
        <f t="shared" si="193"/>
        <v>0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</row>
    <row r="869" spans="8:110" x14ac:dyDescent="0.3">
      <c r="H869" s="4">
        <f t="shared" si="193"/>
        <v>0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</row>
    <row r="870" spans="8:110" x14ac:dyDescent="0.3">
      <c r="H870" s="4">
        <f t="shared" si="193"/>
        <v>0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</row>
    <row r="871" spans="8:110" x14ac:dyDescent="0.3">
      <c r="H871" s="4">
        <f t="shared" si="193"/>
        <v>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</row>
    <row r="872" spans="8:110" x14ac:dyDescent="0.3">
      <c r="H872" s="4">
        <f t="shared" si="193"/>
        <v>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</row>
    <row r="873" spans="8:110" x14ac:dyDescent="0.3">
      <c r="H873" s="4">
        <f t="shared" si="193"/>
        <v>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</row>
    <row r="874" spans="8:110" x14ac:dyDescent="0.3">
      <c r="H874" s="4">
        <f t="shared" si="193"/>
        <v>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</row>
    <row r="875" spans="8:110" x14ac:dyDescent="0.3">
      <c r="H875" s="4">
        <f t="shared" si="193"/>
        <v>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</row>
    <row r="876" spans="8:110" x14ac:dyDescent="0.3">
      <c r="H876" s="4">
        <f t="shared" si="193"/>
        <v>0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</row>
    <row r="877" spans="8:110" x14ac:dyDescent="0.3">
      <c r="H877" s="4">
        <f t="shared" si="193"/>
        <v>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</row>
    <row r="878" spans="8:110" x14ac:dyDescent="0.3">
      <c r="H878" s="4">
        <f t="shared" si="193"/>
        <v>0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</row>
    <row r="879" spans="8:110" x14ac:dyDescent="0.3">
      <c r="H879" s="4">
        <f t="shared" si="193"/>
        <v>0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</row>
    <row r="880" spans="8:110" x14ac:dyDescent="0.3">
      <c r="H880" s="4">
        <f t="shared" si="193"/>
        <v>0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</row>
    <row r="881" spans="8:110" x14ac:dyDescent="0.3">
      <c r="H881" s="4">
        <f t="shared" si="193"/>
        <v>0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</row>
    <row r="882" spans="8:110" x14ac:dyDescent="0.3">
      <c r="H882" s="4">
        <f t="shared" si="193"/>
        <v>0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</row>
    <row r="883" spans="8:110" x14ac:dyDescent="0.3">
      <c r="H883" s="4">
        <f t="shared" si="193"/>
        <v>0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</row>
    <row r="884" spans="8:110" x14ac:dyDescent="0.3">
      <c r="H884" s="4">
        <f t="shared" si="193"/>
        <v>0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</row>
    <row r="885" spans="8:110" x14ac:dyDescent="0.3">
      <c r="H885" s="4">
        <f t="shared" si="193"/>
        <v>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</row>
    <row r="886" spans="8:110" x14ac:dyDescent="0.3">
      <c r="H886" s="4">
        <f t="shared" si="193"/>
        <v>0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</row>
    <row r="887" spans="8:110" x14ac:dyDescent="0.3">
      <c r="H887" s="4">
        <f t="shared" si="193"/>
        <v>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</row>
    <row r="888" spans="8:110" x14ac:dyDescent="0.3">
      <c r="H888" s="4">
        <f t="shared" si="193"/>
        <v>0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</row>
    <row r="889" spans="8:110" x14ac:dyDescent="0.3">
      <c r="H889" s="4">
        <f t="shared" si="193"/>
        <v>0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</row>
    <row r="890" spans="8:110" x14ac:dyDescent="0.3">
      <c r="H890" s="4">
        <f t="shared" si="193"/>
        <v>0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</row>
    <row r="891" spans="8:110" x14ac:dyDescent="0.3">
      <c r="H891" s="4">
        <f t="shared" si="193"/>
        <v>0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</row>
    <row r="892" spans="8:110" x14ac:dyDescent="0.3">
      <c r="H892" s="4">
        <f t="shared" si="193"/>
        <v>0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</row>
    <row r="893" spans="8:110" x14ac:dyDescent="0.3">
      <c r="H893" s="4">
        <f t="shared" si="193"/>
        <v>0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</row>
    <row r="894" spans="8:110" x14ac:dyDescent="0.3">
      <c r="H894" s="4">
        <f t="shared" ref="H894:H957" si="194">D894-C894</f>
        <v>0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</row>
    <row r="895" spans="8:110" x14ac:dyDescent="0.3">
      <c r="H895" s="4">
        <f t="shared" si="194"/>
        <v>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</row>
    <row r="896" spans="8:110" x14ac:dyDescent="0.3">
      <c r="H896" s="4">
        <f t="shared" si="194"/>
        <v>0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</row>
    <row r="897" spans="8:110" x14ac:dyDescent="0.3">
      <c r="H897" s="4">
        <f t="shared" si="194"/>
        <v>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</row>
    <row r="898" spans="8:110" x14ac:dyDescent="0.3">
      <c r="H898" s="4">
        <f t="shared" si="194"/>
        <v>0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</row>
    <row r="899" spans="8:110" x14ac:dyDescent="0.3">
      <c r="H899" s="4">
        <f t="shared" si="194"/>
        <v>0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</row>
    <row r="900" spans="8:110" x14ac:dyDescent="0.3">
      <c r="H900" s="4">
        <f t="shared" si="194"/>
        <v>0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</row>
    <row r="901" spans="8:110" x14ac:dyDescent="0.3">
      <c r="H901" s="4">
        <f t="shared" si="194"/>
        <v>0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</row>
    <row r="902" spans="8:110" x14ac:dyDescent="0.3">
      <c r="H902" s="4">
        <f t="shared" si="194"/>
        <v>0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</row>
    <row r="903" spans="8:110" x14ac:dyDescent="0.3">
      <c r="H903" s="4">
        <f t="shared" si="194"/>
        <v>0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</row>
    <row r="904" spans="8:110" x14ac:dyDescent="0.3">
      <c r="H904" s="4">
        <f t="shared" si="194"/>
        <v>0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</row>
    <row r="905" spans="8:110" x14ac:dyDescent="0.3">
      <c r="H905" s="4">
        <f t="shared" si="194"/>
        <v>0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</row>
    <row r="906" spans="8:110" x14ac:dyDescent="0.3">
      <c r="H906" s="4">
        <f t="shared" si="194"/>
        <v>0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</row>
    <row r="907" spans="8:110" x14ac:dyDescent="0.3">
      <c r="H907" s="4">
        <f t="shared" si="194"/>
        <v>0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</row>
    <row r="908" spans="8:110" x14ac:dyDescent="0.3">
      <c r="H908" s="4">
        <f t="shared" si="194"/>
        <v>0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</row>
    <row r="909" spans="8:110" x14ac:dyDescent="0.3">
      <c r="H909" s="4">
        <f t="shared" si="194"/>
        <v>0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</row>
    <row r="910" spans="8:110" x14ac:dyDescent="0.3">
      <c r="H910" s="4">
        <f t="shared" si="194"/>
        <v>0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</row>
    <row r="911" spans="8:110" x14ac:dyDescent="0.3">
      <c r="H911" s="4">
        <f t="shared" si="194"/>
        <v>0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</row>
    <row r="912" spans="8:110" x14ac:dyDescent="0.3">
      <c r="H912" s="4">
        <f t="shared" si="194"/>
        <v>0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</row>
    <row r="913" spans="8:110" x14ac:dyDescent="0.3">
      <c r="H913" s="4">
        <f t="shared" si="194"/>
        <v>0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</row>
    <row r="914" spans="8:110" x14ac:dyDescent="0.3">
      <c r="H914" s="4">
        <f t="shared" si="194"/>
        <v>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</row>
    <row r="915" spans="8:110" x14ac:dyDescent="0.3">
      <c r="H915" s="4">
        <f t="shared" si="194"/>
        <v>0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</row>
    <row r="916" spans="8:110" x14ac:dyDescent="0.3">
      <c r="H916" s="4">
        <f t="shared" si="194"/>
        <v>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</row>
    <row r="917" spans="8:110" x14ac:dyDescent="0.3">
      <c r="H917" s="4">
        <f t="shared" si="194"/>
        <v>0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</row>
    <row r="918" spans="8:110" x14ac:dyDescent="0.3">
      <c r="H918" s="4">
        <f t="shared" si="194"/>
        <v>0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</row>
    <row r="919" spans="8:110" x14ac:dyDescent="0.3">
      <c r="H919" s="4">
        <f t="shared" si="194"/>
        <v>0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</row>
    <row r="920" spans="8:110" x14ac:dyDescent="0.3">
      <c r="H920" s="4">
        <f t="shared" si="194"/>
        <v>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</row>
    <row r="921" spans="8:110" x14ac:dyDescent="0.3">
      <c r="H921" s="4">
        <f t="shared" si="194"/>
        <v>0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</row>
    <row r="922" spans="8:110" x14ac:dyDescent="0.3">
      <c r="H922" s="4">
        <f t="shared" si="194"/>
        <v>0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</row>
    <row r="923" spans="8:110" x14ac:dyDescent="0.3">
      <c r="H923" s="4">
        <f t="shared" si="194"/>
        <v>0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</row>
    <row r="924" spans="8:110" x14ac:dyDescent="0.3">
      <c r="H924" s="4">
        <f t="shared" si="194"/>
        <v>0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</row>
    <row r="925" spans="8:110" x14ac:dyDescent="0.3">
      <c r="H925" s="4">
        <f t="shared" si="194"/>
        <v>0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</row>
    <row r="926" spans="8:110" x14ac:dyDescent="0.3">
      <c r="H926" s="4">
        <f t="shared" si="194"/>
        <v>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</row>
    <row r="927" spans="8:110" x14ac:dyDescent="0.3">
      <c r="H927" s="4">
        <f t="shared" si="194"/>
        <v>0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</row>
    <row r="928" spans="8:110" x14ac:dyDescent="0.3">
      <c r="H928" s="4">
        <f t="shared" si="194"/>
        <v>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</row>
    <row r="929" spans="8:110" x14ac:dyDescent="0.3">
      <c r="H929" s="4">
        <f t="shared" si="194"/>
        <v>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</row>
    <row r="930" spans="8:110" x14ac:dyDescent="0.3">
      <c r="H930" s="4">
        <f t="shared" si="194"/>
        <v>0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</row>
    <row r="931" spans="8:110" x14ac:dyDescent="0.3">
      <c r="H931" s="4">
        <f t="shared" si="194"/>
        <v>0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</row>
    <row r="932" spans="8:110" x14ac:dyDescent="0.3">
      <c r="H932" s="4">
        <f t="shared" si="194"/>
        <v>0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</row>
    <row r="933" spans="8:110" x14ac:dyDescent="0.3">
      <c r="H933" s="4">
        <f t="shared" si="194"/>
        <v>0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</row>
    <row r="934" spans="8:110" x14ac:dyDescent="0.3">
      <c r="H934" s="4">
        <f t="shared" si="194"/>
        <v>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</row>
    <row r="935" spans="8:110" x14ac:dyDescent="0.3">
      <c r="H935" s="4">
        <f t="shared" si="194"/>
        <v>0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</row>
    <row r="936" spans="8:110" x14ac:dyDescent="0.3">
      <c r="H936" s="4">
        <f t="shared" si="194"/>
        <v>0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</row>
    <row r="937" spans="8:110" x14ac:dyDescent="0.3">
      <c r="H937" s="4">
        <f t="shared" si="194"/>
        <v>0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</row>
    <row r="938" spans="8:110" x14ac:dyDescent="0.3">
      <c r="H938" s="4">
        <f t="shared" si="194"/>
        <v>0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</row>
    <row r="939" spans="8:110" x14ac:dyDescent="0.3">
      <c r="H939" s="4">
        <f t="shared" si="194"/>
        <v>0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</row>
    <row r="940" spans="8:110" x14ac:dyDescent="0.3">
      <c r="H940" s="4">
        <f t="shared" si="194"/>
        <v>0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</row>
    <row r="941" spans="8:110" x14ac:dyDescent="0.3">
      <c r="H941" s="4">
        <f t="shared" si="194"/>
        <v>0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</row>
    <row r="942" spans="8:110" x14ac:dyDescent="0.3">
      <c r="H942" s="4">
        <f t="shared" si="194"/>
        <v>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</row>
    <row r="943" spans="8:110" x14ac:dyDescent="0.3">
      <c r="H943" s="4">
        <f t="shared" si="194"/>
        <v>0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</row>
    <row r="944" spans="8:110" x14ac:dyDescent="0.3">
      <c r="H944" s="4">
        <f t="shared" si="194"/>
        <v>0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</row>
    <row r="945" spans="8:110" x14ac:dyDescent="0.3">
      <c r="H945" s="4">
        <f t="shared" si="194"/>
        <v>0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</row>
    <row r="946" spans="8:110" x14ac:dyDescent="0.3">
      <c r="H946" s="4">
        <f t="shared" si="194"/>
        <v>0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</row>
    <row r="947" spans="8:110" x14ac:dyDescent="0.3">
      <c r="H947" s="4">
        <f t="shared" si="194"/>
        <v>0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</row>
    <row r="948" spans="8:110" x14ac:dyDescent="0.3">
      <c r="H948" s="4">
        <f t="shared" si="194"/>
        <v>0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</row>
    <row r="949" spans="8:110" x14ac:dyDescent="0.3">
      <c r="H949" s="4">
        <f t="shared" si="194"/>
        <v>0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</row>
    <row r="950" spans="8:110" x14ac:dyDescent="0.3">
      <c r="H950" s="4">
        <f t="shared" si="194"/>
        <v>0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</row>
    <row r="951" spans="8:110" x14ac:dyDescent="0.3">
      <c r="H951" s="4">
        <f t="shared" si="194"/>
        <v>0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</row>
    <row r="952" spans="8:110" x14ac:dyDescent="0.3">
      <c r="H952" s="4">
        <f t="shared" si="194"/>
        <v>0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</row>
    <row r="953" spans="8:110" x14ac:dyDescent="0.3">
      <c r="H953" s="4">
        <f t="shared" si="194"/>
        <v>0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</row>
    <row r="954" spans="8:110" x14ac:dyDescent="0.3">
      <c r="H954" s="4">
        <f t="shared" si="194"/>
        <v>0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</row>
    <row r="955" spans="8:110" x14ac:dyDescent="0.3">
      <c r="H955" s="4">
        <f t="shared" si="194"/>
        <v>0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</row>
    <row r="956" spans="8:110" x14ac:dyDescent="0.3">
      <c r="H956" s="4">
        <f t="shared" si="194"/>
        <v>0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</row>
    <row r="957" spans="8:110" x14ac:dyDescent="0.3">
      <c r="H957" s="4">
        <f t="shared" si="194"/>
        <v>0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</row>
    <row r="958" spans="8:110" x14ac:dyDescent="0.3">
      <c r="H958" s="4">
        <f t="shared" ref="H958:H1021" si="195">D958-C958</f>
        <v>0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</row>
    <row r="959" spans="8:110" x14ac:dyDescent="0.3">
      <c r="H959" s="4">
        <f t="shared" si="195"/>
        <v>0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</row>
    <row r="960" spans="8:110" x14ac:dyDescent="0.3">
      <c r="H960" s="4">
        <f t="shared" si="195"/>
        <v>0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</row>
    <row r="961" spans="8:110" x14ac:dyDescent="0.3">
      <c r="H961" s="4">
        <f t="shared" si="195"/>
        <v>0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</row>
    <row r="962" spans="8:110" x14ac:dyDescent="0.3">
      <c r="H962" s="4">
        <f t="shared" si="195"/>
        <v>0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</row>
    <row r="963" spans="8:110" x14ac:dyDescent="0.3">
      <c r="H963" s="4">
        <f t="shared" si="195"/>
        <v>0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</row>
    <row r="964" spans="8:110" x14ac:dyDescent="0.3">
      <c r="H964" s="4">
        <f t="shared" si="195"/>
        <v>0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</row>
    <row r="965" spans="8:110" x14ac:dyDescent="0.3">
      <c r="H965" s="4">
        <f t="shared" si="195"/>
        <v>0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</row>
    <row r="966" spans="8:110" x14ac:dyDescent="0.3">
      <c r="H966" s="4">
        <f t="shared" si="195"/>
        <v>0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</row>
    <row r="967" spans="8:110" x14ac:dyDescent="0.3">
      <c r="H967" s="4">
        <f t="shared" si="195"/>
        <v>0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</row>
    <row r="968" spans="8:110" x14ac:dyDescent="0.3">
      <c r="H968" s="4">
        <f t="shared" si="195"/>
        <v>0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</row>
    <row r="969" spans="8:110" x14ac:dyDescent="0.3">
      <c r="H969" s="4">
        <f t="shared" si="195"/>
        <v>0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</row>
    <row r="970" spans="8:110" x14ac:dyDescent="0.3">
      <c r="H970" s="4">
        <f t="shared" si="195"/>
        <v>0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</row>
    <row r="971" spans="8:110" x14ac:dyDescent="0.3">
      <c r="H971" s="4">
        <f t="shared" si="195"/>
        <v>0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</row>
    <row r="972" spans="8:110" x14ac:dyDescent="0.3">
      <c r="H972" s="4">
        <f t="shared" si="195"/>
        <v>0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</row>
    <row r="973" spans="8:110" x14ac:dyDescent="0.3">
      <c r="H973" s="4">
        <f t="shared" si="195"/>
        <v>0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</row>
    <row r="974" spans="8:110" x14ac:dyDescent="0.3">
      <c r="H974" s="4">
        <f t="shared" si="195"/>
        <v>0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</row>
    <row r="975" spans="8:110" x14ac:dyDescent="0.3">
      <c r="H975" s="4">
        <f t="shared" si="195"/>
        <v>0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</row>
    <row r="976" spans="8:110" x14ac:dyDescent="0.3">
      <c r="H976" s="4">
        <f t="shared" si="195"/>
        <v>0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</row>
    <row r="977" spans="8:110" x14ac:dyDescent="0.3">
      <c r="H977" s="4">
        <f t="shared" si="195"/>
        <v>0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</row>
    <row r="978" spans="8:110" x14ac:dyDescent="0.3">
      <c r="H978" s="4">
        <f t="shared" si="195"/>
        <v>0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</row>
    <row r="979" spans="8:110" x14ac:dyDescent="0.3">
      <c r="H979" s="4">
        <f t="shared" si="195"/>
        <v>0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</row>
    <row r="980" spans="8:110" x14ac:dyDescent="0.3">
      <c r="H980" s="4">
        <f t="shared" si="195"/>
        <v>0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</row>
    <row r="981" spans="8:110" x14ac:dyDescent="0.3">
      <c r="H981" s="4">
        <f t="shared" si="195"/>
        <v>0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</row>
    <row r="982" spans="8:110" x14ac:dyDescent="0.3">
      <c r="H982" s="4">
        <f t="shared" si="195"/>
        <v>0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</row>
    <row r="983" spans="8:110" x14ac:dyDescent="0.3">
      <c r="H983" s="4">
        <f t="shared" si="195"/>
        <v>0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</row>
    <row r="984" spans="8:110" x14ac:dyDescent="0.3">
      <c r="H984" s="4">
        <f t="shared" si="195"/>
        <v>0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</row>
    <row r="985" spans="8:110" x14ac:dyDescent="0.3">
      <c r="H985" s="4">
        <f t="shared" si="195"/>
        <v>0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</row>
    <row r="986" spans="8:110" x14ac:dyDescent="0.3">
      <c r="H986" s="4">
        <f t="shared" si="195"/>
        <v>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</row>
    <row r="987" spans="8:110" x14ac:dyDescent="0.3">
      <c r="H987" s="4">
        <f t="shared" si="195"/>
        <v>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</row>
    <row r="988" spans="8:110" x14ac:dyDescent="0.3">
      <c r="H988" s="4">
        <f t="shared" si="195"/>
        <v>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</row>
    <row r="989" spans="8:110" x14ac:dyDescent="0.3">
      <c r="H989" s="4">
        <f t="shared" si="195"/>
        <v>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</row>
    <row r="990" spans="8:110" x14ac:dyDescent="0.3">
      <c r="H990" s="4">
        <f t="shared" si="195"/>
        <v>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</row>
    <row r="991" spans="8:110" x14ac:dyDescent="0.3">
      <c r="H991" s="4">
        <f t="shared" si="195"/>
        <v>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</row>
    <row r="992" spans="8:110" x14ac:dyDescent="0.3">
      <c r="H992" s="4">
        <f t="shared" si="195"/>
        <v>0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</row>
    <row r="993" spans="8:110" x14ac:dyDescent="0.3">
      <c r="H993" s="4">
        <f t="shared" si="195"/>
        <v>0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</row>
    <row r="994" spans="8:110" x14ac:dyDescent="0.3">
      <c r="H994" s="4">
        <f t="shared" si="195"/>
        <v>0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</row>
    <row r="995" spans="8:110" x14ac:dyDescent="0.3">
      <c r="H995" s="4">
        <f t="shared" si="195"/>
        <v>0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</row>
    <row r="996" spans="8:110" x14ac:dyDescent="0.3">
      <c r="H996" s="4">
        <f t="shared" si="195"/>
        <v>0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</row>
    <row r="997" spans="8:110" x14ac:dyDescent="0.3">
      <c r="H997" s="4">
        <f t="shared" si="195"/>
        <v>0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</row>
    <row r="998" spans="8:110" x14ac:dyDescent="0.3">
      <c r="H998" s="4">
        <f t="shared" si="195"/>
        <v>0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</row>
    <row r="999" spans="8:110" x14ac:dyDescent="0.3">
      <c r="H999" s="4">
        <f t="shared" si="195"/>
        <v>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</row>
    <row r="1000" spans="8:110" x14ac:dyDescent="0.3">
      <c r="H1000" s="4">
        <f t="shared" si="195"/>
        <v>0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</row>
    <row r="1001" spans="8:110" x14ac:dyDescent="0.3">
      <c r="H1001" s="4">
        <f t="shared" si="195"/>
        <v>0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</row>
    <row r="1002" spans="8:110" x14ac:dyDescent="0.3">
      <c r="H1002" s="4">
        <f t="shared" si="195"/>
        <v>0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</row>
    <row r="1003" spans="8:110" x14ac:dyDescent="0.3">
      <c r="H1003" s="4">
        <f t="shared" si="195"/>
        <v>0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</row>
    <row r="1004" spans="8:110" x14ac:dyDescent="0.3">
      <c r="H1004" s="4">
        <f t="shared" si="195"/>
        <v>0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</row>
    <row r="1005" spans="8:110" x14ac:dyDescent="0.3">
      <c r="H1005" s="4">
        <f t="shared" si="195"/>
        <v>0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</row>
    <row r="1006" spans="8:110" x14ac:dyDescent="0.3">
      <c r="H1006" s="4">
        <f t="shared" si="195"/>
        <v>0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</row>
    <row r="1007" spans="8:110" x14ac:dyDescent="0.3">
      <c r="H1007" s="4">
        <f t="shared" si="195"/>
        <v>0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</row>
    <row r="1008" spans="8:110" x14ac:dyDescent="0.3">
      <c r="H1008" s="4">
        <f t="shared" si="195"/>
        <v>0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</row>
    <row r="1009" spans="8:110" x14ac:dyDescent="0.3">
      <c r="H1009" s="4">
        <f t="shared" si="195"/>
        <v>0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</row>
    <row r="1010" spans="8:110" x14ac:dyDescent="0.3">
      <c r="H1010" s="4">
        <f t="shared" si="195"/>
        <v>0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</row>
    <row r="1011" spans="8:110" x14ac:dyDescent="0.3">
      <c r="H1011" s="4">
        <f t="shared" si="195"/>
        <v>0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</row>
    <row r="1012" spans="8:110" x14ac:dyDescent="0.3">
      <c r="H1012" s="4">
        <f t="shared" si="195"/>
        <v>0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</row>
    <row r="1013" spans="8:110" x14ac:dyDescent="0.3">
      <c r="H1013" s="4">
        <f t="shared" si="195"/>
        <v>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</row>
    <row r="1014" spans="8:110" x14ac:dyDescent="0.3">
      <c r="H1014" s="4">
        <f t="shared" si="195"/>
        <v>0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</row>
    <row r="1015" spans="8:110" x14ac:dyDescent="0.3">
      <c r="H1015" s="4">
        <f t="shared" si="195"/>
        <v>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</row>
    <row r="1016" spans="8:110" x14ac:dyDescent="0.3">
      <c r="H1016" s="4">
        <f t="shared" si="195"/>
        <v>0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</row>
    <row r="1017" spans="8:110" x14ac:dyDescent="0.3">
      <c r="H1017" s="4">
        <f t="shared" si="195"/>
        <v>0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</row>
    <row r="1018" spans="8:110" x14ac:dyDescent="0.3">
      <c r="H1018" s="4">
        <f t="shared" si="195"/>
        <v>0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</row>
    <row r="1019" spans="8:110" x14ac:dyDescent="0.3">
      <c r="H1019" s="4">
        <f t="shared" si="195"/>
        <v>0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</row>
    <row r="1020" spans="8:110" x14ac:dyDescent="0.3">
      <c r="H1020" s="4">
        <f t="shared" si="195"/>
        <v>0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</row>
    <row r="1021" spans="8:110" x14ac:dyDescent="0.3">
      <c r="H1021" s="4">
        <f t="shared" si="195"/>
        <v>0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</row>
    <row r="1022" spans="8:110" x14ac:dyDescent="0.3">
      <c r="H1022" s="4">
        <f t="shared" ref="H1022:H1085" si="196">D1022-C1022</f>
        <v>0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</row>
    <row r="1023" spans="8:110" x14ac:dyDescent="0.3">
      <c r="H1023" s="4">
        <f t="shared" si="196"/>
        <v>0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</row>
    <row r="1024" spans="8:110" x14ac:dyDescent="0.3">
      <c r="H1024" s="4">
        <f t="shared" si="196"/>
        <v>0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</row>
    <row r="1025" spans="8:110" x14ac:dyDescent="0.3">
      <c r="H1025" s="4">
        <f t="shared" si="196"/>
        <v>0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</row>
    <row r="1026" spans="8:110" x14ac:dyDescent="0.3">
      <c r="H1026" s="4">
        <f t="shared" si="196"/>
        <v>0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</row>
    <row r="1027" spans="8:110" x14ac:dyDescent="0.3">
      <c r="H1027" s="4">
        <f t="shared" si="196"/>
        <v>0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</row>
    <row r="1028" spans="8:110" x14ac:dyDescent="0.3">
      <c r="H1028" s="4">
        <f t="shared" si="196"/>
        <v>0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</row>
    <row r="1029" spans="8:110" x14ac:dyDescent="0.3">
      <c r="H1029" s="4">
        <f t="shared" si="196"/>
        <v>0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</row>
    <row r="1030" spans="8:110" x14ac:dyDescent="0.3">
      <c r="H1030" s="4">
        <f t="shared" si="196"/>
        <v>0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</row>
    <row r="1031" spans="8:110" x14ac:dyDescent="0.3">
      <c r="H1031" s="4">
        <f t="shared" si="196"/>
        <v>0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</row>
    <row r="1032" spans="8:110" x14ac:dyDescent="0.3">
      <c r="H1032" s="4">
        <f t="shared" si="196"/>
        <v>0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</row>
    <row r="1033" spans="8:110" x14ac:dyDescent="0.3">
      <c r="H1033" s="4">
        <f t="shared" si="196"/>
        <v>0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</row>
    <row r="1034" spans="8:110" x14ac:dyDescent="0.3">
      <c r="H1034" s="4">
        <f t="shared" si="196"/>
        <v>0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</row>
    <row r="1035" spans="8:110" x14ac:dyDescent="0.3">
      <c r="H1035" s="4">
        <f t="shared" si="196"/>
        <v>0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</row>
    <row r="1036" spans="8:110" x14ac:dyDescent="0.3">
      <c r="H1036" s="4">
        <f t="shared" si="196"/>
        <v>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</row>
    <row r="1037" spans="8:110" x14ac:dyDescent="0.3">
      <c r="H1037" s="4">
        <f t="shared" si="196"/>
        <v>0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</row>
    <row r="1038" spans="8:110" x14ac:dyDescent="0.3">
      <c r="H1038" s="4">
        <f t="shared" si="196"/>
        <v>0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</row>
    <row r="1039" spans="8:110" x14ac:dyDescent="0.3">
      <c r="H1039" s="4">
        <f t="shared" si="196"/>
        <v>0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</row>
    <row r="1040" spans="8:110" x14ac:dyDescent="0.3">
      <c r="H1040" s="4">
        <f t="shared" si="196"/>
        <v>0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</row>
    <row r="1041" spans="8:110" x14ac:dyDescent="0.3">
      <c r="H1041" s="4">
        <f t="shared" si="196"/>
        <v>0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</row>
    <row r="1042" spans="8:110" x14ac:dyDescent="0.3">
      <c r="H1042" s="4">
        <f t="shared" si="196"/>
        <v>0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</row>
    <row r="1043" spans="8:110" x14ac:dyDescent="0.3">
      <c r="H1043" s="4">
        <f t="shared" si="196"/>
        <v>0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</row>
    <row r="1044" spans="8:110" x14ac:dyDescent="0.3">
      <c r="H1044" s="4">
        <f t="shared" si="196"/>
        <v>0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</row>
    <row r="1045" spans="8:110" x14ac:dyDescent="0.3">
      <c r="H1045" s="4">
        <f t="shared" si="196"/>
        <v>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</row>
    <row r="1046" spans="8:110" x14ac:dyDescent="0.3">
      <c r="H1046" s="4">
        <f t="shared" si="196"/>
        <v>0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</row>
    <row r="1047" spans="8:110" x14ac:dyDescent="0.3">
      <c r="H1047" s="4">
        <f t="shared" si="196"/>
        <v>0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</row>
    <row r="1048" spans="8:110" x14ac:dyDescent="0.3">
      <c r="H1048" s="4">
        <f t="shared" si="196"/>
        <v>0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</row>
    <row r="1049" spans="8:110" x14ac:dyDescent="0.3">
      <c r="H1049" s="4">
        <f t="shared" si="196"/>
        <v>0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</row>
    <row r="1050" spans="8:110" x14ac:dyDescent="0.3">
      <c r="H1050" s="4">
        <f t="shared" si="196"/>
        <v>0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</row>
    <row r="1051" spans="8:110" x14ac:dyDescent="0.3">
      <c r="H1051" s="4">
        <f t="shared" si="196"/>
        <v>0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</row>
    <row r="1052" spans="8:110" x14ac:dyDescent="0.3">
      <c r="H1052" s="4">
        <f t="shared" si="196"/>
        <v>0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</row>
    <row r="1053" spans="8:110" x14ac:dyDescent="0.3">
      <c r="H1053" s="4">
        <f t="shared" si="196"/>
        <v>0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</row>
    <row r="1054" spans="8:110" x14ac:dyDescent="0.3">
      <c r="H1054" s="4">
        <f t="shared" si="196"/>
        <v>0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</row>
    <row r="1055" spans="8:110" x14ac:dyDescent="0.3">
      <c r="H1055" s="4">
        <f t="shared" si="196"/>
        <v>0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</row>
    <row r="1056" spans="8:110" x14ac:dyDescent="0.3">
      <c r="H1056" s="4">
        <f t="shared" si="196"/>
        <v>0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</row>
    <row r="1057" spans="8:110" x14ac:dyDescent="0.3">
      <c r="H1057" s="4">
        <f t="shared" si="196"/>
        <v>0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</row>
    <row r="1058" spans="8:110" x14ac:dyDescent="0.3">
      <c r="H1058" s="4">
        <f t="shared" si="196"/>
        <v>0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</row>
    <row r="1059" spans="8:110" x14ac:dyDescent="0.3">
      <c r="H1059" s="4">
        <f t="shared" si="196"/>
        <v>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</row>
    <row r="1060" spans="8:110" x14ac:dyDescent="0.3">
      <c r="H1060" s="4">
        <f t="shared" si="196"/>
        <v>0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</row>
    <row r="1061" spans="8:110" x14ac:dyDescent="0.3">
      <c r="H1061" s="4">
        <f t="shared" si="196"/>
        <v>0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</row>
    <row r="1062" spans="8:110" x14ac:dyDescent="0.3">
      <c r="H1062" s="4">
        <f t="shared" si="196"/>
        <v>0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</row>
    <row r="1063" spans="8:110" x14ac:dyDescent="0.3">
      <c r="H1063" s="4">
        <f t="shared" si="196"/>
        <v>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</row>
    <row r="1064" spans="8:110" x14ac:dyDescent="0.3">
      <c r="H1064" s="4">
        <f t="shared" si="196"/>
        <v>0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</row>
    <row r="1065" spans="8:110" x14ac:dyDescent="0.3">
      <c r="H1065" s="4">
        <f t="shared" si="196"/>
        <v>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</row>
    <row r="1066" spans="8:110" x14ac:dyDescent="0.3">
      <c r="H1066" s="4">
        <f t="shared" si="196"/>
        <v>0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</row>
    <row r="1067" spans="8:110" x14ac:dyDescent="0.3">
      <c r="H1067" s="4">
        <f t="shared" si="196"/>
        <v>0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</row>
    <row r="1068" spans="8:110" x14ac:dyDescent="0.3">
      <c r="H1068" s="4">
        <f t="shared" si="196"/>
        <v>0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</row>
    <row r="1069" spans="8:110" x14ac:dyDescent="0.3">
      <c r="H1069" s="4">
        <f t="shared" si="196"/>
        <v>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</row>
    <row r="1070" spans="8:110" x14ac:dyDescent="0.3">
      <c r="H1070" s="4">
        <f t="shared" si="196"/>
        <v>0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</row>
    <row r="1071" spans="8:110" x14ac:dyDescent="0.3">
      <c r="H1071" s="4">
        <f t="shared" si="196"/>
        <v>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</row>
    <row r="1072" spans="8:110" x14ac:dyDescent="0.3">
      <c r="H1072" s="4">
        <f t="shared" si="196"/>
        <v>0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</row>
    <row r="1073" spans="8:110" x14ac:dyDescent="0.3">
      <c r="H1073" s="4">
        <f t="shared" si="196"/>
        <v>0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</row>
    <row r="1074" spans="8:110" x14ac:dyDescent="0.3">
      <c r="H1074" s="4">
        <f t="shared" si="196"/>
        <v>0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</row>
    <row r="1075" spans="8:110" x14ac:dyDescent="0.3">
      <c r="H1075" s="4">
        <f t="shared" si="196"/>
        <v>0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</row>
    <row r="1076" spans="8:110" x14ac:dyDescent="0.3">
      <c r="H1076" s="4">
        <f t="shared" si="196"/>
        <v>0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</row>
    <row r="1077" spans="8:110" x14ac:dyDescent="0.3">
      <c r="H1077" s="4">
        <f t="shared" si="196"/>
        <v>0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</row>
    <row r="1078" spans="8:110" x14ac:dyDescent="0.3">
      <c r="H1078" s="4">
        <f t="shared" si="196"/>
        <v>0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</row>
    <row r="1079" spans="8:110" x14ac:dyDescent="0.3">
      <c r="H1079" s="4">
        <f t="shared" si="196"/>
        <v>0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</row>
    <row r="1080" spans="8:110" x14ac:dyDescent="0.3">
      <c r="H1080" s="4">
        <f t="shared" si="196"/>
        <v>0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</row>
    <row r="1081" spans="8:110" x14ac:dyDescent="0.3">
      <c r="H1081" s="4">
        <f t="shared" si="196"/>
        <v>0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</row>
    <row r="1082" spans="8:110" x14ac:dyDescent="0.3">
      <c r="H1082" s="4">
        <f t="shared" si="196"/>
        <v>0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</row>
    <row r="1083" spans="8:110" x14ac:dyDescent="0.3">
      <c r="H1083" s="4">
        <f t="shared" si="196"/>
        <v>0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</row>
    <row r="1084" spans="8:110" x14ac:dyDescent="0.3">
      <c r="H1084" s="4">
        <f t="shared" si="196"/>
        <v>0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</row>
    <row r="1085" spans="8:110" x14ac:dyDescent="0.3">
      <c r="H1085" s="4">
        <f t="shared" si="196"/>
        <v>0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</row>
    <row r="1086" spans="8:110" x14ac:dyDescent="0.3">
      <c r="H1086" s="4">
        <f t="shared" ref="H1086:H1149" si="197">D1086-C1086</f>
        <v>0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</row>
    <row r="1087" spans="8:110" x14ac:dyDescent="0.3">
      <c r="H1087" s="4">
        <f t="shared" si="197"/>
        <v>0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</row>
    <row r="1088" spans="8:110" x14ac:dyDescent="0.3">
      <c r="H1088" s="4">
        <f t="shared" si="197"/>
        <v>0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</row>
    <row r="1089" spans="8:110" x14ac:dyDescent="0.3">
      <c r="H1089" s="4">
        <f t="shared" si="197"/>
        <v>0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</row>
    <row r="1090" spans="8:110" x14ac:dyDescent="0.3">
      <c r="H1090" s="4">
        <f t="shared" si="197"/>
        <v>0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</row>
    <row r="1091" spans="8:110" x14ac:dyDescent="0.3">
      <c r="H1091" s="4">
        <f t="shared" si="197"/>
        <v>0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</row>
    <row r="1092" spans="8:110" x14ac:dyDescent="0.3">
      <c r="H1092" s="4">
        <f t="shared" si="197"/>
        <v>0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</row>
    <row r="1093" spans="8:110" x14ac:dyDescent="0.3">
      <c r="H1093" s="4">
        <f t="shared" si="197"/>
        <v>0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</row>
    <row r="1094" spans="8:110" x14ac:dyDescent="0.3">
      <c r="H1094" s="4">
        <f t="shared" si="197"/>
        <v>0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</row>
    <row r="1095" spans="8:110" x14ac:dyDescent="0.3">
      <c r="H1095" s="4">
        <f t="shared" si="197"/>
        <v>0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</row>
    <row r="1096" spans="8:110" x14ac:dyDescent="0.3">
      <c r="H1096" s="4">
        <f t="shared" si="197"/>
        <v>0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</row>
    <row r="1097" spans="8:110" x14ac:dyDescent="0.3">
      <c r="H1097" s="4">
        <f t="shared" si="197"/>
        <v>0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</row>
    <row r="1098" spans="8:110" x14ac:dyDescent="0.3">
      <c r="H1098" s="4">
        <f t="shared" si="197"/>
        <v>0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</row>
    <row r="1099" spans="8:110" x14ac:dyDescent="0.3">
      <c r="H1099" s="4">
        <f t="shared" si="197"/>
        <v>0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</row>
    <row r="1100" spans="8:110" x14ac:dyDescent="0.3">
      <c r="H1100" s="4">
        <f t="shared" si="197"/>
        <v>0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</row>
    <row r="1101" spans="8:110" x14ac:dyDescent="0.3">
      <c r="H1101" s="4">
        <f t="shared" si="197"/>
        <v>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</row>
    <row r="1102" spans="8:110" x14ac:dyDescent="0.3">
      <c r="H1102" s="4">
        <f t="shared" si="197"/>
        <v>0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</row>
    <row r="1103" spans="8:110" x14ac:dyDescent="0.3">
      <c r="H1103" s="4">
        <f t="shared" si="197"/>
        <v>0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</row>
    <row r="1104" spans="8:110" x14ac:dyDescent="0.3">
      <c r="H1104" s="4">
        <f t="shared" si="197"/>
        <v>0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</row>
    <row r="1105" spans="8:110" x14ac:dyDescent="0.3">
      <c r="H1105" s="4">
        <f t="shared" si="197"/>
        <v>0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</row>
    <row r="1106" spans="8:110" x14ac:dyDescent="0.3">
      <c r="H1106" s="4">
        <f t="shared" si="197"/>
        <v>0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</row>
    <row r="1107" spans="8:110" x14ac:dyDescent="0.3">
      <c r="H1107" s="4">
        <f t="shared" si="197"/>
        <v>0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</row>
    <row r="1108" spans="8:110" x14ac:dyDescent="0.3">
      <c r="H1108" s="4">
        <f t="shared" si="197"/>
        <v>0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</row>
    <row r="1109" spans="8:110" x14ac:dyDescent="0.3">
      <c r="H1109" s="4">
        <f t="shared" si="197"/>
        <v>0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</row>
    <row r="1110" spans="8:110" x14ac:dyDescent="0.3">
      <c r="H1110" s="4">
        <f t="shared" si="197"/>
        <v>0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</row>
    <row r="1111" spans="8:110" x14ac:dyDescent="0.3">
      <c r="H1111" s="4">
        <f t="shared" si="197"/>
        <v>0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</row>
    <row r="1112" spans="8:110" x14ac:dyDescent="0.3">
      <c r="H1112" s="4">
        <f t="shared" si="197"/>
        <v>0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</row>
    <row r="1113" spans="8:110" x14ac:dyDescent="0.3">
      <c r="H1113" s="4">
        <f t="shared" si="197"/>
        <v>0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</row>
    <row r="1114" spans="8:110" x14ac:dyDescent="0.3">
      <c r="H1114" s="4">
        <f t="shared" si="197"/>
        <v>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</row>
    <row r="1115" spans="8:110" x14ac:dyDescent="0.3">
      <c r="H1115" s="4">
        <f t="shared" si="197"/>
        <v>0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</row>
    <row r="1116" spans="8:110" x14ac:dyDescent="0.3">
      <c r="H1116" s="4">
        <f t="shared" si="197"/>
        <v>0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</row>
    <row r="1117" spans="8:110" x14ac:dyDescent="0.3">
      <c r="H1117" s="4">
        <f t="shared" si="197"/>
        <v>0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</row>
    <row r="1118" spans="8:110" x14ac:dyDescent="0.3">
      <c r="H1118" s="4">
        <f t="shared" si="197"/>
        <v>0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</row>
    <row r="1119" spans="8:110" x14ac:dyDescent="0.3">
      <c r="H1119" s="4">
        <f t="shared" si="197"/>
        <v>0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</row>
    <row r="1120" spans="8:110" x14ac:dyDescent="0.3">
      <c r="H1120" s="4">
        <f t="shared" si="197"/>
        <v>0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</row>
    <row r="1121" spans="8:110" x14ac:dyDescent="0.3">
      <c r="H1121" s="4">
        <f t="shared" si="197"/>
        <v>0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</row>
    <row r="1122" spans="8:110" x14ac:dyDescent="0.3">
      <c r="H1122" s="4">
        <f t="shared" si="197"/>
        <v>0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</row>
    <row r="1123" spans="8:110" x14ac:dyDescent="0.3">
      <c r="H1123" s="4">
        <f t="shared" si="197"/>
        <v>0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</row>
    <row r="1124" spans="8:110" x14ac:dyDescent="0.3">
      <c r="H1124" s="4">
        <f t="shared" si="197"/>
        <v>0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</row>
    <row r="1125" spans="8:110" x14ac:dyDescent="0.3">
      <c r="H1125" s="4">
        <f t="shared" si="197"/>
        <v>0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</row>
    <row r="1126" spans="8:110" x14ac:dyDescent="0.3">
      <c r="H1126" s="4">
        <f t="shared" si="197"/>
        <v>0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</row>
    <row r="1127" spans="8:110" x14ac:dyDescent="0.3">
      <c r="H1127" s="4">
        <f t="shared" si="197"/>
        <v>0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</row>
    <row r="1128" spans="8:110" x14ac:dyDescent="0.3">
      <c r="H1128" s="4">
        <f t="shared" si="197"/>
        <v>0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</row>
    <row r="1129" spans="8:110" x14ac:dyDescent="0.3">
      <c r="H1129" s="4">
        <f t="shared" si="197"/>
        <v>0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</row>
    <row r="1130" spans="8:110" x14ac:dyDescent="0.3">
      <c r="H1130" s="4">
        <f t="shared" si="197"/>
        <v>0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</row>
    <row r="1131" spans="8:110" x14ac:dyDescent="0.3">
      <c r="H1131" s="4">
        <f t="shared" si="197"/>
        <v>0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</row>
    <row r="1132" spans="8:110" x14ac:dyDescent="0.3">
      <c r="H1132" s="4">
        <f t="shared" si="197"/>
        <v>0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</row>
    <row r="1133" spans="8:110" x14ac:dyDescent="0.3">
      <c r="H1133" s="4">
        <f t="shared" si="197"/>
        <v>0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/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</row>
    <row r="1134" spans="8:110" x14ac:dyDescent="0.3">
      <c r="H1134" s="4">
        <f t="shared" si="197"/>
        <v>0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</row>
    <row r="1135" spans="8:110" x14ac:dyDescent="0.3">
      <c r="H1135" s="4">
        <f t="shared" si="197"/>
        <v>0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</row>
    <row r="1136" spans="8:110" x14ac:dyDescent="0.3">
      <c r="H1136" s="4">
        <f t="shared" si="197"/>
        <v>0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</row>
    <row r="1137" spans="8:110" x14ac:dyDescent="0.3">
      <c r="H1137" s="4">
        <f t="shared" si="197"/>
        <v>0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</row>
    <row r="1138" spans="8:110" x14ac:dyDescent="0.3">
      <c r="H1138" s="4">
        <f t="shared" si="197"/>
        <v>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</row>
    <row r="1139" spans="8:110" x14ac:dyDescent="0.3">
      <c r="H1139" s="4">
        <f t="shared" si="197"/>
        <v>0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</row>
    <row r="1140" spans="8:110" x14ac:dyDescent="0.3">
      <c r="H1140" s="4">
        <f t="shared" si="197"/>
        <v>0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</row>
    <row r="1141" spans="8:110" x14ac:dyDescent="0.3">
      <c r="H1141" s="4">
        <f t="shared" si="197"/>
        <v>0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</row>
    <row r="1142" spans="8:110" x14ac:dyDescent="0.3">
      <c r="H1142" s="4">
        <f t="shared" si="197"/>
        <v>0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</row>
    <row r="1143" spans="8:110" x14ac:dyDescent="0.3">
      <c r="H1143" s="4">
        <f t="shared" si="197"/>
        <v>0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</row>
    <row r="1144" spans="8:110" x14ac:dyDescent="0.3">
      <c r="H1144" s="4">
        <f t="shared" si="197"/>
        <v>0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</row>
    <row r="1145" spans="8:110" x14ac:dyDescent="0.3">
      <c r="H1145" s="4">
        <f t="shared" si="197"/>
        <v>0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</row>
    <row r="1146" spans="8:110" x14ac:dyDescent="0.3">
      <c r="H1146" s="4">
        <f t="shared" si="197"/>
        <v>0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</row>
    <row r="1147" spans="8:110" x14ac:dyDescent="0.3">
      <c r="H1147" s="4">
        <f t="shared" si="197"/>
        <v>0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</row>
    <row r="1148" spans="8:110" x14ac:dyDescent="0.3">
      <c r="H1148" s="4">
        <f t="shared" si="197"/>
        <v>0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</row>
    <row r="1149" spans="8:110" x14ac:dyDescent="0.3">
      <c r="H1149" s="4">
        <f t="shared" si="197"/>
        <v>0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</row>
    <row r="1150" spans="8:110" x14ac:dyDescent="0.3">
      <c r="H1150" s="4">
        <f t="shared" ref="H1150:H1213" si="198">D1150-C1150</f>
        <v>0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</row>
    <row r="1151" spans="8:110" x14ac:dyDescent="0.3">
      <c r="H1151" s="4">
        <f t="shared" si="198"/>
        <v>0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</row>
    <row r="1152" spans="8:110" x14ac:dyDescent="0.3">
      <c r="H1152" s="4">
        <f t="shared" si="198"/>
        <v>0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</row>
    <row r="1153" spans="8:110" x14ac:dyDescent="0.3">
      <c r="H1153" s="4">
        <f t="shared" si="198"/>
        <v>0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</row>
    <row r="1154" spans="8:110" x14ac:dyDescent="0.3">
      <c r="H1154" s="4">
        <f t="shared" si="198"/>
        <v>0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</row>
    <row r="1155" spans="8:110" x14ac:dyDescent="0.3">
      <c r="H1155" s="4">
        <f t="shared" si="198"/>
        <v>0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</row>
    <row r="1156" spans="8:110" x14ac:dyDescent="0.3">
      <c r="H1156" s="4">
        <f t="shared" si="198"/>
        <v>0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</row>
    <row r="1157" spans="8:110" x14ac:dyDescent="0.3">
      <c r="H1157" s="4">
        <f t="shared" si="198"/>
        <v>0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  <c r="CL1157" s="3"/>
      <c r="CM1157" s="3"/>
      <c r="CN1157" s="3"/>
      <c r="CO1157" s="3"/>
      <c r="CP1157" s="3"/>
      <c r="CQ1157" s="3"/>
      <c r="CR1157" s="3"/>
      <c r="CS1157" s="3"/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</row>
    <row r="1158" spans="8:110" x14ac:dyDescent="0.3">
      <c r="H1158" s="4">
        <f t="shared" si="198"/>
        <v>0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</row>
    <row r="1159" spans="8:110" x14ac:dyDescent="0.3">
      <c r="H1159" s="4">
        <f t="shared" si="198"/>
        <v>0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</row>
    <row r="1160" spans="8:110" x14ac:dyDescent="0.3">
      <c r="H1160" s="4">
        <f t="shared" si="198"/>
        <v>0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</row>
    <row r="1161" spans="8:110" x14ac:dyDescent="0.3">
      <c r="H1161" s="4">
        <f t="shared" si="198"/>
        <v>0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</row>
    <row r="1162" spans="8:110" x14ac:dyDescent="0.3">
      <c r="H1162" s="4">
        <f t="shared" si="198"/>
        <v>0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</row>
    <row r="1163" spans="8:110" x14ac:dyDescent="0.3">
      <c r="H1163" s="4">
        <f t="shared" si="198"/>
        <v>0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</row>
    <row r="1164" spans="8:110" x14ac:dyDescent="0.3">
      <c r="H1164" s="4">
        <f t="shared" si="198"/>
        <v>0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</row>
    <row r="1165" spans="8:110" x14ac:dyDescent="0.3">
      <c r="H1165" s="4">
        <f t="shared" si="198"/>
        <v>0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</row>
    <row r="1166" spans="8:110" x14ac:dyDescent="0.3">
      <c r="H1166" s="4">
        <f t="shared" si="198"/>
        <v>0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</row>
    <row r="1167" spans="8:110" x14ac:dyDescent="0.3">
      <c r="H1167" s="4">
        <f t="shared" si="198"/>
        <v>0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</row>
    <row r="1168" spans="8:110" x14ac:dyDescent="0.3">
      <c r="H1168" s="4">
        <f t="shared" si="198"/>
        <v>0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</row>
    <row r="1169" spans="8:110" x14ac:dyDescent="0.3">
      <c r="H1169" s="4">
        <f t="shared" si="198"/>
        <v>0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</row>
    <row r="1170" spans="8:110" x14ac:dyDescent="0.3">
      <c r="H1170" s="4">
        <f t="shared" si="198"/>
        <v>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</row>
    <row r="1171" spans="8:110" x14ac:dyDescent="0.3">
      <c r="H1171" s="4">
        <f t="shared" si="198"/>
        <v>0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</row>
    <row r="1172" spans="8:110" x14ac:dyDescent="0.3">
      <c r="H1172" s="4">
        <f t="shared" si="198"/>
        <v>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</row>
    <row r="1173" spans="8:110" x14ac:dyDescent="0.3">
      <c r="H1173" s="4">
        <f t="shared" si="198"/>
        <v>0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</row>
    <row r="1174" spans="8:110" x14ac:dyDescent="0.3">
      <c r="H1174" s="4">
        <f t="shared" si="198"/>
        <v>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</row>
    <row r="1175" spans="8:110" x14ac:dyDescent="0.3">
      <c r="H1175" s="4">
        <f t="shared" si="198"/>
        <v>0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</row>
    <row r="1176" spans="8:110" x14ac:dyDescent="0.3">
      <c r="H1176" s="4">
        <f t="shared" si="198"/>
        <v>0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  <c r="CI1176" s="3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</row>
    <row r="1177" spans="8:110" x14ac:dyDescent="0.3">
      <c r="H1177" s="4">
        <f t="shared" si="198"/>
        <v>0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  <c r="CI1177" s="3"/>
      <c r="CJ1177" s="3"/>
      <c r="CK1177" s="3"/>
      <c r="CL1177" s="3"/>
      <c r="CM1177" s="3"/>
      <c r="CN1177" s="3"/>
      <c r="CO1177" s="3"/>
      <c r="CP1177" s="3"/>
      <c r="CQ1177" s="3"/>
      <c r="CR1177" s="3"/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</row>
    <row r="1178" spans="8:110" x14ac:dyDescent="0.3">
      <c r="H1178" s="4">
        <f t="shared" si="198"/>
        <v>0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</row>
    <row r="1179" spans="8:110" x14ac:dyDescent="0.3">
      <c r="H1179" s="4">
        <f t="shared" si="198"/>
        <v>0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</row>
    <row r="1180" spans="8:110" x14ac:dyDescent="0.3">
      <c r="H1180" s="4">
        <f t="shared" si="198"/>
        <v>0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3"/>
      <c r="CG1180" s="3"/>
      <c r="CH1180" s="3"/>
      <c r="CI1180" s="3"/>
      <c r="CJ1180" s="3"/>
      <c r="CK1180" s="3"/>
      <c r="CL1180" s="3"/>
      <c r="CM1180" s="3"/>
      <c r="CN1180" s="3"/>
      <c r="CO1180" s="3"/>
      <c r="CP1180" s="3"/>
      <c r="CQ1180" s="3"/>
      <c r="CR1180" s="3"/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</row>
    <row r="1181" spans="8:110" x14ac:dyDescent="0.3">
      <c r="H1181" s="4">
        <f t="shared" si="198"/>
        <v>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</row>
    <row r="1182" spans="8:110" x14ac:dyDescent="0.3">
      <c r="H1182" s="4">
        <f t="shared" si="198"/>
        <v>0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</row>
    <row r="1183" spans="8:110" x14ac:dyDescent="0.3">
      <c r="H1183" s="4">
        <f t="shared" si="198"/>
        <v>0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</row>
    <row r="1184" spans="8:110" x14ac:dyDescent="0.3">
      <c r="H1184" s="4">
        <f t="shared" si="198"/>
        <v>0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</row>
    <row r="1185" spans="8:110" x14ac:dyDescent="0.3">
      <c r="H1185" s="4">
        <f t="shared" si="198"/>
        <v>0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</row>
    <row r="1186" spans="8:110" x14ac:dyDescent="0.3">
      <c r="H1186" s="4">
        <f t="shared" si="198"/>
        <v>0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</row>
    <row r="1187" spans="8:110" x14ac:dyDescent="0.3">
      <c r="H1187" s="4">
        <f t="shared" si="198"/>
        <v>0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</row>
    <row r="1188" spans="8:110" x14ac:dyDescent="0.3">
      <c r="H1188" s="4">
        <f t="shared" si="198"/>
        <v>0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</row>
    <row r="1189" spans="8:110" x14ac:dyDescent="0.3">
      <c r="H1189" s="4">
        <f t="shared" si="198"/>
        <v>0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</row>
    <row r="1190" spans="8:110" x14ac:dyDescent="0.3">
      <c r="H1190" s="4">
        <f t="shared" si="198"/>
        <v>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</row>
    <row r="1191" spans="8:110" x14ac:dyDescent="0.3">
      <c r="H1191" s="4">
        <f t="shared" si="198"/>
        <v>0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</row>
    <row r="1192" spans="8:110" x14ac:dyDescent="0.3">
      <c r="H1192" s="4">
        <f t="shared" si="198"/>
        <v>0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</row>
    <row r="1193" spans="8:110" x14ac:dyDescent="0.3">
      <c r="H1193" s="4">
        <f t="shared" si="198"/>
        <v>0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</row>
    <row r="1194" spans="8:110" x14ac:dyDescent="0.3">
      <c r="H1194" s="4">
        <f t="shared" si="198"/>
        <v>0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</row>
    <row r="1195" spans="8:110" x14ac:dyDescent="0.3">
      <c r="H1195" s="4">
        <f t="shared" si="198"/>
        <v>0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  <c r="CI1195" s="3"/>
      <c r="CJ1195" s="3"/>
      <c r="CK1195" s="3"/>
      <c r="CL1195" s="3"/>
      <c r="CM1195" s="3"/>
      <c r="CN1195" s="3"/>
      <c r="CO1195" s="3"/>
      <c r="CP1195" s="3"/>
      <c r="CQ1195" s="3"/>
      <c r="CR1195" s="3"/>
      <c r="CS1195" s="3"/>
      <c r="CT1195" s="3"/>
      <c r="CU1195" s="3"/>
      <c r="CV1195" s="3"/>
      <c r="CW1195" s="3"/>
      <c r="CX1195" s="3"/>
      <c r="CY1195" s="3"/>
      <c r="CZ1195" s="3"/>
      <c r="DA1195" s="3"/>
      <c r="DB1195" s="3"/>
      <c r="DC1195" s="3"/>
      <c r="DD1195" s="3"/>
      <c r="DE1195" s="3"/>
      <c r="DF1195" s="3"/>
    </row>
    <row r="1196" spans="8:110" x14ac:dyDescent="0.3">
      <c r="H1196" s="4">
        <f t="shared" si="198"/>
        <v>0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</row>
    <row r="1197" spans="8:110" x14ac:dyDescent="0.3">
      <c r="H1197" s="4">
        <f t="shared" si="198"/>
        <v>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  <c r="CG1197" s="3"/>
      <c r="CH1197" s="3"/>
      <c r="CI1197" s="3"/>
      <c r="CJ1197" s="3"/>
      <c r="CK1197" s="3"/>
      <c r="CL1197" s="3"/>
      <c r="CM1197" s="3"/>
      <c r="CN1197" s="3"/>
      <c r="CO1197" s="3"/>
      <c r="CP1197" s="3"/>
      <c r="CQ1197" s="3"/>
      <c r="CR1197" s="3"/>
      <c r="CS1197" s="3"/>
      <c r="CT1197" s="3"/>
      <c r="CU1197" s="3"/>
      <c r="CV1197" s="3"/>
      <c r="CW1197" s="3"/>
      <c r="CX1197" s="3"/>
      <c r="CY1197" s="3"/>
      <c r="CZ1197" s="3"/>
      <c r="DA1197" s="3"/>
      <c r="DB1197" s="3"/>
      <c r="DC1197" s="3"/>
      <c r="DD1197" s="3"/>
      <c r="DE1197" s="3"/>
      <c r="DF1197" s="3"/>
    </row>
    <row r="1198" spans="8:110" x14ac:dyDescent="0.3">
      <c r="H1198" s="4">
        <f t="shared" si="198"/>
        <v>0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</row>
    <row r="1199" spans="8:110" x14ac:dyDescent="0.3">
      <c r="H1199" s="4">
        <f t="shared" si="198"/>
        <v>0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3"/>
      <c r="CD1199" s="3"/>
      <c r="CE1199" s="3"/>
      <c r="CF1199" s="3"/>
      <c r="CG1199" s="3"/>
      <c r="CH1199" s="3"/>
      <c r="CI1199" s="3"/>
      <c r="CJ1199" s="3"/>
      <c r="CK1199" s="3"/>
      <c r="CL1199" s="3"/>
      <c r="CM1199" s="3"/>
      <c r="CN1199" s="3"/>
      <c r="CO1199" s="3"/>
      <c r="CP1199" s="3"/>
      <c r="CQ1199" s="3"/>
      <c r="CR1199" s="3"/>
      <c r="CS1199" s="3"/>
      <c r="CT1199" s="3"/>
      <c r="CU1199" s="3"/>
      <c r="CV1199" s="3"/>
      <c r="CW1199" s="3"/>
      <c r="CX1199" s="3"/>
      <c r="CY1199" s="3"/>
      <c r="CZ1199" s="3"/>
      <c r="DA1199" s="3"/>
      <c r="DB1199" s="3"/>
      <c r="DC1199" s="3"/>
      <c r="DD1199" s="3"/>
      <c r="DE1199" s="3"/>
      <c r="DF1199" s="3"/>
    </row>
    <row r="1200" spans="8:110" x14ac:dyDescent="0.3">
      <c r="H1200" s="4">
        <f t="shared" si="198"/>
        <v>0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/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</row>
    <row r="1201" spans="8:110" x14ac:dyDescent="0.3">
      <c r="H1201" s="4">
        <f t="shared" si="198"/>
        <v>0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  <c r="CD1201" s="3"/>
      <c r="CE1201" s="3"/>
      <c r="CF1201" s="3"/>
      <c r="CG1201" s="3"/>
      <c r="CH1201" s="3"/>
      <c r="CI1201" s="3"/>
      <c r="CJ1201" s="3"/>
      <c r="CK1201" s="3"/>
      <c r="CL1201" s="3"/>
      <c r="CM1201" s="3"/>
      <c r="CN1201" s="3"/>
      <c r="CO1201" s="3"/>
      <c r="CP1201" s="3"/>
      <c r="CQ1201" s="3"/>
      <c r="CR1201" s="3"/>
      <c r="CS1201" s="3"/>
      <c r="CT1201" s="3"/>
      <c r="CU1201" s="3"/>
      <c r="CV1201" s="3"/>
      <c r="CW1201" s="3"/>
      <c r="CX1201" s="3"/>
      <c r="CY1201" s="3"/>
      <c r="CZ1201" s="3"/>
      <c r="DA1201" s="3"/>
      <c r="DB1201" s="3"/>
      <c r="DC1201" s="3"/>
      <c r="DD1201" s="3"/>
      <c r="DE1201" s="3"/>
      <c r="DF1201" s="3"/>
    </row>
    <row r="1202" spans="8:110" x14ac:dyDescent="0.3">
      <c r="H1202" s="4">
        <f t="shared" si="198"/>
        <v>0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</row>
    <row r="1203" spans="8:110" x14ac:dyDescent="0.3">
      <c r="H1203" s="4">
        <f t="shared" si="198"/>
        <v>0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  <c r="CG1203" s="3"/>
      <c r="CH1203" s="3"/>
      <c r="CI1203" s="3"/>
      <c r="CJ1203" s="3"/>
      <c r="CK1203" s="3"/>
      <c r="CL1203" s="3"/>
      <c r="CM1203" s="3"/>
      <c r="CN1203" s="3"/>
      <c r="CO1203" s="3"/>
      <c r="CP1203" s="3"/>
      <c r="CQ1203" s="3"/>
      <c r="CR1203" s="3"/>
      <c r="CS1203" s="3"/>
      <c r="CT1203" s="3"/>
      <c r="CU1203" s="3"/>
      <c r="CV1203" s="3"/>
      <c r="CW1203" s="3"/>
      <c r="CX1203" s="3"/>
      <c r="CY1203" s="3"/>
      <c r="CZ1203" s="3"/>
      <c r="DA1203" s="3"/>
      <c r="DB1203" s="3"/>
      <c r="DC1203" s="3"/>
      <c r="DD1203" s="3"/>
      <c r="DE1203" s="3"/>
      <c r="DF1203" s="3"/>
    </row>
    <row r="1204" spans="8:110" x14ac:dyDescent="0.3">
      <c r="H1204" s="4">
        <f t="shared" si="198"/>
        <v>0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/>
      <c r="CU1204" s="3"/>
      <c r="CV1204" s="3"/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</row>
    <row r="1205" spans="8:110" x14ac:dyDescent="0.3">
      <c r="H1205" s="4">
        <f t="shared" si="198"/>
        <v>0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/>
      <c r="CN1205" s="3"/>
      <c r="CO1205" s="3"/>
      <c r="CP1205" s="3"/>
      <c r="CQ1205" s="3"/>
      <c r="CR1205" s="3"/>
      <c r="CS1205" s="3"/>
      <c r="CT1205" s="3"/>
      <c r="CU1205" s="3"/>
      <c r="CV1205" s="3"/>
      <c r="CW1205" s="3"/>
      <c r="CX1205" s="3"/>
      <c r="CY1205" s="3"/>
      <c r="CZ1205" s="3"/>
      <c r="DA1205" s="3"/>
      <c r="DB1205" s="3"/>
      <c r="DC1205" s="3"/>
      <c r="DD1205" s="3"/>
      <c r="DE1205" s="3"/>
      <c r="DF1205" s="3"/>
    </row>
    <row r="1206" spans="8:110" x14ac:dyDescent="0.3">
      <c r="H1206" s="4">
        <f t="shared" si="198"/>
        <v>0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/>
      <c r="CV1206" s="3"/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</row>
    <row r="1207" spans="8:110" x14ac:dyDescent="0.3">
      <c r="H1207" s="4">
        <f t="shared" si="198"/>
        <v>0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  <c r="CD1207" s="3"/>
      <c r="CE1207" s="3"/>
      <c r="CF1207" s="3"/>
      <c r="CG1207" s="3"/>
      <c r="CH1207" s="3"/>
      <c r="CI1207" s="3"/>
      <c r="CJ1207" s="3"/>
      <c r="CK1207" s="3"/>
      <c r="CL1207" s="3"/>
      <c r="CM1207" s="3"/>
      <c r="CN1207" s="3"/>
      <c r="CO1207" s="3"/>
      <c r="CP1207" s="3"/>
      <c r="CQ1207" s="3"/>
      <c r="CR1207" s="3"/>
      <c r="CS1207" s="3"/>
      <c r="CT1207" s="3"/>
      <c r="CU1207" s="3"/>
      <c r="CV1207" s="3"/>
      <c r="CW1207" s="3"/>
      <c r="CX1207" s="3"/>
      <c r="CY1207" s="3"/>
      <c r="CZ1207" s="3"/>
      <c r="DA1207" s="3"/>
      <c r="DB1207" s="3"/>
      <c r="DC1207" s="3"/>
      <c r="DD1207" s="3"/>
      <c r="DE1207" s="3"/>
      <c r="DF1207" s="3"/>
    </row>
    <row r="1208" spans="8:110" x14ac:dyDescent="0.3">
      <c r="H1208" s="4">
        <f t="shared" si="198"/>
        <v>0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</row>
    <row r="1209" spans="8:110" x14ac:dyDescent="0.3">
      <c r="H1209" s="4">
        <f t="shared" si="198"/>
        <v>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  <c r="CW1209" s="3"/>
      <c r="CX1209" s="3"/>
      <c r="CY1209" s="3"/>
      <c r="CZ1209" s="3"/>
      <c r="DA1209" s="3"/>
      <c r="DB1209" s="3"/>
      <c r="DC1209" s="3"/>
      <c r="DD1209" s="3"/>
      <c r="DE1209" s="3"/>
      <c r="DF1209" s="3"/>
    </row>
    <row r="1210" spans="8:110" x14ac:dyDescent="0.3">
      <c r="H1210" s="4">
        <f t="shared" si="198"/>
        <v>0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</row>
    <row r="1211" spans="8:110" x14ac:dyDescent="0.3">
      <c r="H1211" s="4">
        <f t="shared" si="198"/>
        <v>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  <c r="CW1211" s="3"/>
      <c r="CX1211" s="3"/>
      <c r="CY1211" s="3"/>
      <c r="CZ1211" s="3"/>
      <c r="DA1211" s="3"/>
      <c r="DB1211" s="3"/>
      <c r="DC1211" s="3"/>
      <c r="DD1211" s="3"/>
      <c r="DE1211" s="3"/>
      <c r="DF1211" s="3"/>
    </row>
    <row r="1212" spans="8:110" x14ac:dyDescent="0.3">
      <c r="H1212" s="4">
        <f t="shared" si="198"/>
        <v>0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</row>
    <row r="1213" spans="8:110" x14ac:dyDescent="0.3">
      <c r="H1213" s="4">
        <f t="shared" si="198"/>
        <v>0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  <c r="CW1213" s="3"/>
      <c r="CX1213" s="3"/>
      <c r="CY1213" s="3"/>
      <c r="CZ1213" s="3"/>
      <c r="DA1213" s="3"/>
      <c r="DB1213" s="3"/>
      <c r="DC1213" s="3"/>
      <c r="DD1213" s="3"/>
      <c r="DE1213" s="3"/>
      <c r="DF1213" s="3"/>
    </row>
    <row r="1214" spans="8:110" x14ac:dyDescent="0.3">
      <c r="H1214" s="4">
        <f t="shared" ref="H1214:H1277" si="199">D1214-C1214</f>
        <v>0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</row>
    <row r="1215" spans="8:110" x14ac:dyDescent="0.3">
      <c r="H1215" s="4">
        <f t="shared" si="199"/>
        <v>0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3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</row>
    <row r="1216" spans="8:110" x14ac:dyDescent="0.3">
      <c r="H1216" s="4">
        <f t="shared" si="199"/>
        <v>0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/>
      <c r="CN1216" s="3"/>
      <c r="CO1216" s="3"/>
      <c r="CP1216" s="3"/>
      <c r="CQ1216" s="3"/>
      <c r="CR1216" s="3"/>
      <c r="CS1216" s="3"/>
      <c r="CT1216" s="3"/>
      <c r="CU1216" s="3"/>
      <c r="CV1216" s="3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</row>
    <row r="1217" spans="8:110" x14ac:dyDescent="0.3">
      <c r="H1217" s="4">
        <f t="shared" si="199"/>
        <v>0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  <c r="CI1217" s="3"/>
      <c r="CJ1217" s="3"/>
      <c r="CK1217" s="3"/>
      <c r="CL1217" s="3"/>
      <c r="CM1217" s="3"/>
      <c r="CN1217" s="3"/>
      <c r="CO1217" s="3"/>
      <c r="CP1217" s="3"/>
      <c r="CQ1217" s="3"/>
      <c r="CR1217" s="3"/>
      <c r="CS1217" s="3"/>
      <c r="CT1217" s="3"/>
      <c r="CU1217" s="3"/>
      <c r="CV1217" s="3"/>
      <c r="CW1217" s="3"/>
      <c r="CX1217" s="3"/>
      <c r="CY1217" s="3"/>
      <c r="CZ1217" s="3"/>
      <c r="DA1217" s="3"/>
      <c r="DB1217" s="3"/>
      <c r="DC1217" s="3"/>
      <c r="DD1217" s="3"/>
      <c r="DE1217" s="3"/>
      <c r="DF1217" s="3"/>
    </row>
    <row r="1218" spans="8:110" x14ac:dyDescent="0.3">
      <c r="H1218" s="4">
        <f t="shared" si="199"/>
        <v>0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3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</row>
    <row r="1219" spans="8:110" x14ac:dyDescent="0.3">
      <c r="H1219" s="4">
        <f t="shared" si="199"/>
        <v>0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  <c r="CB1219" s="3"/>
      <c r="CC1219" s="3"/>
      <c r="CD1219" s="3"/>
      <c r="CE1219" s="3"/>
      <c r="CF1219" s="3"/>
      <c r="CG1219" s="3"/>
      <c r="CH1219" s="3"/>
      <c r="CI1219" s="3"/>
      <c r="CJ1219" s="3"/>
      <c r="CK1219" s="3"/>
      <c r="CL1219" s="3"/>
      <c r="CM1219" s="3"/>
      <c r="CN1219" s="3"/>
      <c r="CO1219" s="3"/>
      <c r="CP1219" s="3"/>
      <c r="CQ1219" s="3"/>
      <c r="CR1219" s="3"/>
      <c r="CS1219" s="3"/>
      <c r="CT1219" s="3"/>
      <c r="CU1219" s="3"/>
      <c r="CV1219" s="3"/>
      <c r="CW1219" s="3"/>
      <c r="CX1219" s="3"/>
      <c r="CY1219" s="3"/>
      <c r="CZ1219" s="3"/>
      <c r="DA1219" s="3"/>
      <c r="DB1219" s="3"/>
      <c r="DC1219" s="3"/>
      <c r="DD1219" s="3"/>
      <c r="DE1219" s="3"/>
      <c r="DF1219" s="3"/>
    </row>
    <row r="1220" spans="8:110" x14ac:dyDescent="0.3">
      <c r="H1220" s="4">
        <f t="shared" si="199"/>
        <v>0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  <c r="CL1220" s="3"/>
      <c r="CM1220" s="3"/>
      <c r="CN1220" s="3"/>
      <c r="CO1220" s="3"/>
      <c r="CP1220" s="3"/>
      <c r="CQ1220" s="3"/>
      <c r="CR1220" s="3"/>
      <c r="CS1220" s="3"/>
      <c r="CT1220" s="3"/>
      <c r="CU1220" s="3"/>
      <c r="CV1220" s="3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</row>
    <row r="1221" spans="8:110" x14ac:dyDescent="0.3">
      <c r="H1221" s="4">
        <f t="shared" si="199"/>
        <v>0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  <c r="CI1221" s="3"/>
      <c r="CJ1221" s="3"/>
      <c r="CK1221" s="3"/>
      <c r="CL1221" s="3"/>
      <c r="CM1221" s="3"/>
      <c r="CN1221" s="3"/>
      <c r="CO1221" s="3"/>
      <c r="CP1221" s="3"/>
      <c r="CQ1221" s="3"/>
      <c r="CR1221" s="3"/>
      <c r="CS1221" s="3"/>
      <c r="CT1221" s="3"/>
      <c r="CU1221" s="3"/>
      <c r="CV1221" s="3"/>
      <c r="CW1221" s="3"/>
      <c r="CX1221" s="3"/>
      <c r="CY1221" s="3"/>
      <c r="CZ1221" s="3"/>
      <c r="DA1221" s="3"/>
      <c r="DB1221" s="3"/>
      <c r="DC1221" s="3"/>
      <c r="DD1221" s="3"/>
      <c r="DE1221" s="3"/>
      <c r="DF1221" s="3"/>
    </row>
    <row r="1222" spans="8:110" x14ac:dyDescent="0.3">
      <c r="H1222" s="4">
        <f t="shared" si="199"/>
        <v>0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/>
      <c r="CV1222" s="3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</row>
    <row r="1223" spans="8:110" x14ac:dyDescent="0.3">
      <c r="H1223" s="4">
        <f t="shared" si="199"/>
        <v>0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/>
      <c r="CC1223" s="3"/>
      <c r="CD1223" s="3"/>
      <c r="CE1223" s="3"/>
      <c r="CF1223" s="3"/>
      <c r="CG1223" s="3"/>
      <c r="CH1223" s="3"/>
      <c r="CI1223" s="3"/>
      <c r="CJ1223" s="3"/>
      <c r="CK1223" s="3"/>
      <c r="CL1223" s="3"/>
      <c r="CM1223" s="3"/>
      <c r="CN1223" s="3"/>
      <c r="CO1223" s="3"/>
      <c r="CP1223" s="3"/>
      <c r="CQ1223" s="3"/>
      <c r="CR1223" s="3"/>
      <c r="CS1223" s="3"/>
      <c r="CT1223" s="3"/>
      <c r="CU1223" s="3"/>
      <c r="CV1223" s="3"/>
      <c r="CW1223" s="3"/>
      <c r="CX1223" s="3"/>
      <c r="CY1223" s="3"/>
      <c r="CZ1223" s="3"/>
      <c r="DA1223" s="3"/>
      <c r="DB1223" s="3"/>
      <c r="DC1223" s="3"/>
      <c r="DD1223" s="3"/>
      <c r="DE1223" s="3"/>
      <c r="DF1223" s="3"/>
    </row>
    <row r="1224" spans="8:110" x14ac:dyDescent="0.3">
      <c r="H1224" s="4">
        <f t="shared" si="199"/>
        <v>0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  <c r="CL1224" s="3"/>
      <c r="CM1224" s="3"/>
      <c r="CN1224" s="3"/>
      <c r="CO1224" s="3"/>
      <c r="CP1224" s="3"/>
      <c r="CQ1224" s="3"/>
      <c r="CR1224" s="3"/>
      <c r="CS1224" s="3"/>
      <c r="CT1224" s="3"/>
      <c r="CU1224" s="3"/>
      <c r="CV1224" s="3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</row>
    <row r="1225" spans="8:110" x14ac:dyDescent="0.3">
      <c r="H1225" s="4">
        <f t="shared" si="199"/>
        <v>0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/>
      <c r="CC1225" s="3"/>
      <c r="CD1225" s="3"/>
      <c r="CE1225" s="3"/>
      <c r="CF1225" s="3"/>
      <c r="CG1225" s="3"/>
      <c r="CH1225" s="3"/>
      <c r="CI1225" s="3"/>
      <c r="CJ1225" s="3"/>
      <c r="CK1225" s="3"/>
      <c r="CL1225" s="3"/>
      <c r="CM1225" s="3"/>
      <c r="CN1225" s="3"/>
      <c r="CO1225" s="3"/>
      <c r="CP1225" s="3"/>
      <c r="CQ1225" s="3"/>
      <c r="CR1225" s="3"/>
      <c r="CS1225" s="3"/>
      <c r="CT1225" s="3"/>
      <c r="CU1225" s="3"/>
      <c r="CV1225" s="3"/>
      <c r="CW1225" s="3"/>
      <c r="CX1225" s="3"/>
      <c r="CY1225" s="3"/>
      <c r="CZ1225" s="3"/>
      <c r="DA1225" s="3"/>
      <c r="DB1225" s="3"/>
      <c r="DC1225" s="3"/>
      <c r="DD1225" s="3"/>
      <c r="DE1225" s="3"/>
      <c r="DF1225" s="3"/>
    </row>
    <row r="1226" spans="8:110" x14ac:dyDescent="0.3">
      <c r="H1226" s="4">
        <f t="shared" si="199"/>
        <v>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/>
      <c r="CV1226" s="3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</row>
    <row r="1227" spans="8:110" x14ac:dyDescent="0.3">
      <c r="H1227" s="4">
        <f t="shared" si="199"/>
        <v>0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  <c r="CD1227" s="3"/>
      <c r="CE1227" s="3"/>
      <c r="CF1227" s="3"/>
      <c r="CG1227" s="3"/>
      <c r="CH1227" s="3"/>
      <c r="CI1227" s="3"/>
      <c r="CJ1227" s="3"/>
      <c r="CK1227" s="3"/>
      <c r="CL1227" s="3"/>
      <c r="CM1227" s="3"/>
      <c r="CN1227" s="3"/>
      <c r="CO1227" s="3"/>
      <c r="CP1227" s="3"/>
      <c r="CQ1227" s="3"/>
      <c r="CR1227" s="3"/>
      <c r="CS1227" s="3"/>
      <c r="CT1227" s="3"/>
      <c r="CU1227" s="3"/>
      <c r="CV1227" s="3"/>
      <c r="CW1227" s="3"/>
      <c r="CX1227" s="3"/>
      <c r="CY1227" s="3"/>
      <c r="CZ1227" s="3"/>
      <c r="DA1227" s="3"/>
      <c r="DB1227" s="3"/>
      <c r="DC1227" s="3"/>
      <c r="DD1227" s="3"/>
      <c r="DE1227" s="3"/>
      <c r="DF1227" s="3"/>
    </row>
    <row r="1228" spans="8:110" x14ac:dyDescent="0.3">
      <c r="H1228" s="4">
        <f t="shared" si="199"/>
        <v>0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/>
      <c r="CV1228" s="3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</row>
    <row r="1229" spans="8:110" x14ac:dyDescent="0.3">
      <c r="H1229" s="4">
        <f t="shared" si="199"/>
        <v>0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  <c r="CD1229" s="3"/>
      <c r="CE1229" s="3"/>
      <c r="CF1229" s="3"/>
      <c r="CG1229" s="3"/>
      <c r="CH1229" s="3"/>
      <c r="CI1229" s="3"/>
      <c r="CJ1229" s="3"/>
      <c r="CK1229" s="3"/>
      <c r="CL1229" s="3"/>
      <c r="CM1229" s="3"/>
      <c r="CN1229" s="3"/>
      <c r="CO1229" s="3"/>
      <c r="CP1229" s="3"/>
      <c r="CQ1229" s="3"/>
      <c r="CR1229" s="3"/>
      <c r="CS1229" s="3"/>
      <c r="CT1229" s="3"/>
      <c r="CU1229" s="3"/>
      <c r="CV1229" s="3"/>
      <c r="CW1229" s="3"/>
      <c r="CX1229" s="3"/>
      <c r="CY1229" s="3"/>
      <c r="CZ1229" s="3"/>
      <c r="DA1229" s="3"/>
      <c r="DB1229" s="3"/>
      <c r="DC1229" s="3"/>
      <c r="DD1229" s="3"/>
      <c r="DE1229" s="3"/>
      <c r="DF1229" s="3"/>
    </row>
    <row r="1230" spans="8:110" x14ac:dyDescent="0.3">
      <c r="H1230" s="4">
        <f t="shared" si="199"/>
        <v>0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/>
      <c r="CU1230" s="3"/>
      <c r="CV1230" s="3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</row>
    <row r="1231" spans="8:110" x14ac:dyDescent="0.3">
      <c r="H1231" s="4">
        <f t="shared" si="199"/>
        <v>0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/>
      <c r="CC1231" s="3"/>
      <c r="CD1231" s="3"/>
      <c r="CE1231" s="3"/>
      <c r="CF1231" s="3"/>
      <c r="CG1231" s="3"/>
      <c r="CH1231" s="3"/>
      <c r="CI1231" s="3"/>
      <c r="CJ1231" s="3"/>
      <c r="CK1231" s="3"/>
      <c r="CL1231" s="3"/>
      <c r="CM1231" s="3"/>
      <c r="CN1231" s="3"/>
      <c r="CO1231" s="3"/>
      <c r="CP1231" s="3"/>
      <c r="CQ1231" s="3"/>
      <c r="CR1231" s="3"/>
      <c r="CS1231" s="3"/>
      <c r="CT1231" s="3"/>
      <c r="CU1231" s="3"/>
      <c r="CV1231" s="3"/>
      <c r="CW1231" s="3"/>
      <c r="CX1231" s="3"/>
      <c r="CY1231" s="3"/>
      <c r="CZ1231" s="3"/>
      <c r="DA1231" s="3"/>
      <c r="DB1231" s="3"/>
      <c r="DC1231" s="3"/>
      <c r="DD1231" s="3"/>
      <c r="DE1231" s="3"/>
      <c r="DF1231" s="3"/>
    </row>
    <row r="1232" spans="8:110" x14ac:dyDescent="0.3">
      <c r="H1232" s="4">
        <f t="shared" si="199"/>
        <v>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/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</row>
    <row r="1233" spans="8:110" x14ac:dyDescent="0.3">
      <c r="H1233" s="4">
        <f t="shared" si="199"/>
        <v>0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/>
      <c r="CN1233" s="3"/>
      <c r="CO1233" s="3"/>
      <c r="CP1233" s="3"/>
      <c r="CQ1233" s="3"/>
      <c r="CR1233" s="3"/>
      <c r="CS1233" s="3"/>
      <c r="CT1233" s="3"/>
      <c r="CU1233" s="3"/>
      <c r="CV1233" s="3"/>
      <c r="CW1233" s="3"/>
      <c r="CX1233" s="3"/>
      <c r="CY1233" s="3"/>
      <c r="CZ1233" s="3"/>
      <c r="DA1233" s="3"/>
      <c r="DB1233" s="3"/>
      <c r="DC1233" s="3"/>
      <c r="DD1233" s="3"/>
      <c r="DE1233" s="3"/>
      <c r="DF1233" s="3"/>
    </row>
    <row r="1234" spans="8:110" x14ac:dyDescent="0.3">
      <c r="H1234" s="4">
        <f t="shared" si="199"/>
        <v>0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/>
      <c r="CB1234" s="3"/>
      <c r="CC1234" s="3"/>
      <c r="CD1234" s="3"/>
      <c r="CE1234" s="3"/>
      <c r="CF1234" s="3"/>
      <c r="CG1234" s="3"/>
      <c r="CH1234" s="3"/>
      <c r="CI1234" s="3"/>
      <c r="CJ1234" s="3"/>
      <c r="CK1234" s="3"/>
      <c r="CL1234" s="3"/>
      <c r="CM1234" s="3"/>
      <c r="CN1234" s="3"/>
      <c r="CO1234" s="3"/>
      <c r="CP1234" s="3"/>
      <c r="CQ1234" s="3"/>
      <c r="CR1234" s="3"/>
      <c r="CS1234" s="3"/>
      <c r="CT1234" s="3"/>
      <c r="CU1234" s="3"/>
      <c r="CV1234" s="3"/>
      <c r="CW1234" s="3"/>
      <c r="CX1234" s="3"/>
      <c r="CY1234" s="3"/>
      <c r="CZ1234" s="3"/>
      <c r="DA1234" s="3"/>
      <c r="DB1234" s="3"/>
      <c r="DC1234" s="3"/>
      <c r="DD1234" s="3"/>
      <c r="DE1234" s="3"/>
      <c r="DF1234" s="3"/>
    </row>
    <row r="1235" spans="8:110" x14ac:dyDescent="0.3">
      <c r="H1235" s="4">
        <f t="shared" si="199"/>
        <v>0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3"/>
      <c r="BV1235" s="3"/>
      <c r="BW1235" s="3"/>
      <c r="BX1235" s="3"/>
      <c r="BY1235" s="3"/>
      <c r="BZ1235" s="3"/>
      <c r="CA1235" s="3"/>
      <c r="CB1235" s="3"/>
      <c r="CC1235" s="3"/>
      <c r="CD1235" s="3"/>
      <c r="CE1235" s="3"/>
      <c r="CF1235" s="3"/>
      <c r="CG1235" s="3"/>
      <c r="CH1235" s="3"/>
      <c r="CI1235" s="3"/>
      <c r="CJ1235" s="3"/>
      <c r="CK1235" s="3"/>
      <c r="CL1235" s="3"/>
      <c r="CM1235" s="3"/>
      <c r="CN1235" s="3"/>
      <c r="CO1235" s="3"/>
      <c r="CP1235" s="3"/>
      <c r="CQ1235" s="3"/>
      <c r="CR1235" s="3"/>
      <c r="CS1235" s="3"/>
      <c r="CT1235" s="3"/>
      <c r="CU1235" s="3"/>
      <c r="CV1235" s="3"/>
      <c r="CW1235" s="3"/>
      <c r="CX1235" s="3"/>
      <c r="CY1235" s="3"/>
      <c r="CZ1235" s="3"/>
      <c r="DA1235" s="3"/>
      <c r="DB1235" s="3"/>
      <c r="DC1235" s="3"/>
      <c r="DD1235" s="3"/>
      <c r="DE1235" s="3"/>
      <c r="DF1235" s="3"/>
    </row>
    <row r="1236" spans="8:110" x14ac:dyDescent="0.3">
      <c r="H1236" s="4">
        <f t="shared" si="199"/>
        <v>0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3"/>
      <c r="CA1236" s="3"/>
      <c r="CB1236" s="3"/>
      <c r="CC1236" s="3"/>
      <c r="CD1236" s="3"/>
      <c r="CE1236" s="3"/>
      <c r="CF1236" s="3"/>
      <c r="CG1236" s="3"/>
      <c r="CH1236" s="3"/>
      <c r="CI1236" s="3"/>
      <c r="CJ1236" s="3"/>
      <c r="CK1236" s="3"/>
      <c r="CL1236" s="3"/>
      <c r="CM1236" s="3"/>
      <c r="CN1236" s="3"/>
      <c r="CO1236" s="3"/>
      <c r="CP1236" s="3"/>
      <c r="CQ1236" s="3"/>
      <c r="CR1236" s="3"/>
      <c r="CS1236" s="3"/>
      <c r="CT1236" s="3"/>
      <c r="CU1236" s="3"/>
      <c r="CV1236" s="3"/>
      <c r="CW1236" s="3"/>
      <c r="CX1236" s="3"/>
      <c r="CY1236" s="3"/>
      <c r="CZ1236" s="3"/>
      <c r="DA1236" s="3"/>
      <c r="DB1236" s="3"/>
      <c r="DC1236" s="3"/>
      <c r="DD1236" s="3"/>
      <c r="DE1236" s="3"/>
      <c r="DF1236" s="3"/>
    </row>
    <row r="1237" spans="8:110" x14ac:dyDescent="0.3">
      <c r="H1237" s="4">
        <f t="shared" si="199"/>
        <v>0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3"/>
      <c r="BV1237" s="3"/>
      <c r="BW1237" s="3"/>
      <c r="BX1237" s="3"/>
      <c r="BY1237" s="3"/>
      <c r="BZ1237" s="3"/>
      <c r="CA1237" s="3"/>
      <c r="CB1237" s="3"/>
      <c r="CC1237" s="3"/>
      <c r="CD1237" s="3"/>
      <c r="CE1237" s="3"/>
      <c r="CF1237" s="3"/>
      <c r="CG1237" s="3"/>
      <c r="CH1237" s="3"/>
      <c r="CI1237" s="3"/>
      <c r="CJ1237" s="3"/>
      <c r="CK1237" s="3"/>
      <c r="CL1237" s="3"/>
      <c r="CM1237" s="3"/>
      <c r="CN1237" s="3"/>
      <c r="CO1237" s="3"/>
      <c r="CP1237" s="3"/>
      <c r="CQ1237" s="3"/>
      <c r="CR1237" s="3"/>
      <c r="CS1237" s="3"/>
      <c r="CT1237" s="3"/>
      <c r="CU1237" s="3"/>
      <c r="CV1237" s="3"/>
      <c r="CW1237" s="3"/>
      <c r="CX1237" s="3"/>
      <c r="CY1237" s="3"/>
      <c r="CZ1237" s="3"/>
      <c r="DA1237" s="3"/>
      <c r="DB1237" s="3"/>
      <c r="DC1237" s="3"/>
      <c r="DD1237" s="3"/>
      <c r="DE1237" s="3"/>
      <c r="DF1237" s="3"/>
    </row>
    <row r="1238" spans="8:110" x14ac:dyDescent="0.3">
      <c r="H1238" s="4">
        <f t="shared" si="199"/>
        <v>0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  <c r="BZ1238" s="3"/>
      <c r="CA1238" s="3"/>
      <c r="CB1238" s="3"/>
      <c r="CC1238" s="3"/>
      <c r="CD1238" s="3"/>
      <c r="CE1238" s="3"/>
      <c r="CF1238" s="3"/>
      <c r="CG1238" s="3"/>
      <c r="CH1238" s="3"/>
      <c r="CI1238" s="3"/>
      <c r="CJ1238" s="3"/>
      <c r="CK1238" s="3"/>
      <c r="CL1238" s="3"/>
      <c r="CM1238" s="3"/>
      <c r="CN1238" s="3"/>
      <c r="CO1238" s="3"/>
      <c r="CP1238" s="3"/>
      <c r="CQ1238" s="3"/>
      <c r="CR1238" s="3"/>
      <c r="CS1238" s="3"/>
      <c r="CT1238" s="3"/>
      <c r="CU1238" s="3"/>
      <c r="CV1238" s="3"/>
      <c r="CW1238" s="3"/>
      <c r="CX1238" s="3"/>
      <c r="CY1238" s="3"/>
      <c r="CZ1238" s="3"/>
      <c r="DA1238" s="3"/>
      <c r="DB1238" s="3"/>
      <c r="DC1238" s="3"/>
      <c r="DD1238" s="3"/>
      <c r="DE1238" s="3"/>
      <c r="DF1238" s="3"/>
    </row>
    <row r="1239" spans="8:110" x14ac:dyDescent="0.3">
      <c r="H1239" s="4">
        <f t="shared" si="199"/>
        <v>0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3"/>
      <c r="BV1239" s="3"/>
      <c r="BW1239" s="3"/>
      <c r="BX1239" s="3"/>
      <c r="BY1239" s="3"/>
      <c r="BZ1239" s="3"/>
      <c r="CA1239" s="3"/>
      <c r="CB1239" s="3"/>
      <c r="CC1239" s="3"/>
      <c r="CD1239" s="3"/>
      <c r="CE1239" s="3"/>
      <c r="CF1239" s="3"/>
      <c r="CG1239" s="3"/>
      <c r="CH1239" s="3"/>
      <c r="CI1239" s="3"/>
      <c r="CJ1239" s="3"/>
      <c r="CK1239" s="3"/>
      <c r="CL1239" s="3"/>
      <c r="CM1239" s="3"/>
      <c r="CN1239" s="3"/>
      <c r="CO1239" s="3"/>
      <c r="CP1239" s="3"/>
      <c r="CQ1239" s="3"/>
      <c r="CR1239" s="3"/>
      <c r="CS1239" s="3"/>
      <c r="CT1239" s="3"/>
      <c r="CU1239" s="3"/>
      <c r="CV1239" s="3"/>
      <c r="CW1239" s="3"/>
      <c r="CX1239" s="3"/>
      <c r="CY1239" s="3"/>
      <c r="CZ1239" s="3"/>
      <c r="DA1239" s="3"/>
      <c r="DB1239" s="3"/>
      <c r="DC1239" s="3"/>
      <c r="DD1239" s="3"/>
      <c r="DE1239" s="3"/>
      <c r="DF1239" s="3"/>
    </row>
    <row r="1240" spans="8:110" x14ac:dyDescent="0.3">
      <c r="H1240" s="4">
        <f t="shared" si="199"/>
        <v>0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/>
      <c r="BZ1240" s="3"/>
      <c r="CA1240" s="3"/>
      <c r="CB1240" s="3"/>
      <c r="CC1240" s="3"/>
      <c r="CD1240" s="3"/>
      <c r="CE1240" s="3"/>
      <c r="CF1240" s="3"/>
      <c r="CG1240" s="3"/>
      <c r="CH1240" s="3"/>
      <c r="CI1240" s="3"/>
      <c r="CJ1240" s="3"/>
      <c r="CK1240" s="3"/>
      <c r="CL1240" s="3"/>
      <c r="CM1240" s="3"/>
      <c r="CN1240" s="3"/>
      <c r="CO1240" s="3"/>
      <c r="CP1240" s="3"/>
      <c r="CQ1240" s="3"/>
      <c r="CR1240" s="3"/>
      <c r="CS1240" s="3"/>
      <c r="CT1240" s="3"/>
      <c r="CU1240" s="3"/>
      <c r="CV1240" s="3"/>
      <c r="CW1240" s="3"/>
      <c r="CX1240" s="3"/>
      <c r="CY1240" s="3"/>
      <c r="CZ1240" s="3"/>
      <c r="DA1240" s="3"/>
      <c r="DB1240" s="3"/>
      <c r="DC1240" s="3"/>
      <c r="DD1240" s="3"/>
      <c r="DE1240" s="3"/>
      <c r="DF1240" s="3"/>
    </row>
    <row r="1241" spans="8:110" x14ac:dyDescent="0.3">
      <c r="H1241" s="4">
        <f t="shared" si="199"/>
        <v>0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/>
      <c r="BN1241" s="3"/>
      <c r="BO1241" s="3"/>
      <c r="BP1241" s="3"/>
      <c r="BQ1241" s="3"/>
      <c r="BR1241" s="3"/>
      <c r="BS1241" s="3"/>
      <c r="BT1241" s="3"/>
      <c r="BU1241" s="3"/>
      <c r="BV1241" s="3"/>
      <c r="BW1241" s="3"/>
      <c r="BX1241" s="3"/>
      <c r="BY1241" s="3"/>
      <c r="BZ1241" s="3"/>
      <c r="CA1241" s="3"/>
      <c r="CB1241" s="3"/>
      <c r="CC1241" s="3"/>
      <c r="CD1241" s="3"/>
      <c r="CE1241" s="3"/>
      <c r="CF1241" s="3"/>
      <c r="CG1241" s="3"/>
      <c r="CH1241" s="3"/>
      <c r="CI1241" s="3"/>
      <c r="CJ1241" s="3"/>
      <c r="CK1241" s="3"/>
      <c r="CL1241" s="3"/>
      <c r="CM1241" s="3"/>
      <c r="CN1241" s="3"/>
      <c r="CO1241" s="3"/>
      <c r="CP1241" s="3"/>
      <c r="CQ1241" s="3"/>
      <c r="CR1241" s="3"/>
      <c r="CS1241" s="3"/>
      <c r="CT1241" s="3"/>
      <c r="CU1241" s="3"/>
      <c r="CV1241" s="3"/>
      <c r="CW1241" s="3"/>
      <c r="CX1241" s="3"/>
      <c r="CY1241" s="3"/>
      <c r="CZ1241" s="3"/>
      <c r="DA1241" s="3"/>
      <c r="DB1241" s="3"/>
      <c r="DC1241" s="3"/>
      <c r="DD1241" s="3"/>
      <c r="DE1241" s="3"/>
      <c r="DF1241" s="3"/>
    </row>
    <row r="1242" spans="8:110" x14ac:dyDescent="0.3">
      <c r="H1242" s="4">
        <f t="shared" si="199"/>
        <v>0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X1242" s="3"/>
      <c r="BY1242" s="3"/>
      <c r="BZ1242" s="3"/>
      <c r="CA1242" s="3"/>
      <c r="CB1242" s="3"/>
      <c r="CC1242" s="3"/>
      <c r="CD1242" s="3"/>
      <c r="CE1242" s="3"/>
      <c r="CF1242" s="3"/>
      <c r="CG1242" s="3"/>
      <c r="CH1242" s="3"/>
      <c r="CI1242" s="3"/>
      <c r="CJ1242" s="3"/>
      <c r="CK1242" s="3"/>
      <c r="CL1242" s="3"/>
      <c r="CM1242" s="3"/>
      <c r="CN1242" s="3"/>
      <c r="CO1242" s="3"/>
      <c r="CP1242" s="3"/>
      <c r="CQ1242" s="3"/>
      <c r="CR1242" s="3"/>
      <c r="CS1242" s="3"/>
      <c r="CT1242" s="3"/>
      <c r="CU1242" s="3"/>
      <c r="CV1242" s="3"/>
      <c r="CW1242" s="3"/>
      <c r="CX1242" s="3"/>
      <c r="CY1242" s="3"/>
      <c r="CZ1242" s="3"/>
      <c r="DA1242" s="3"/>
      <c r="DB1242" s="3"/>
      <c r="DC1242" s="3"/>
      <c r="DD1242" s="3"/>
      <c r="DE1242" s="3"/>
      <c r="DF1242" s="3"/>
    </row>
    <row r="1243" spans="8:110" x14ac:dyDescent="0.3">
      <c r="H1243" s="4">
        <f t="shared" si="199"/>
        <v>0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  <c r="BM1243" s="3"/>
      <c r="BN1243" s="3"/>
      <c r="BO1243" s="3"/>
      <c r="BP1243" s="3"/>
      <c r="BQ1243" s="3"/>
      <c r="BR1243" s="3"/>
      <c r="BS1243" s="3"/>
      <c r="BT1243" s="3"/>
      <c r="BU1243" s="3"/>
      <c r="BV1243" s="3"/>
      <c r="BW1243" s="3"/>
      <c r="BX1243" s="3"/>
      <c r="BY1243" s="3"/>
      <c r="BZ1243" s="3"/>
      <c r="CA1243" s="3"/>
      <c r="CB1243" s="3"/>
      <c r="CC1243" s="3"/>
      <c r="CD1243" s="3"/>
      <c r="CE1243" s="3"/>
      <c r="CF1243" s="3"/>
      <c r="CG1243" s="3"/>
      <c r="CH1243" s="3"/>
      <c r="CI1243" s="3"/>
      <c r="CJ1243" s="3"/>
      <c r="CK1243" s="3"/>
      <c r="CL1243" s="3"/>
      <c r="CM1243" s="3"/>
      <c r="CN1243" s="3"/>
      <c r="CO1243" s="3"/>
      <c r="CP1243" s="3"/>
      <c r="CQ1243" s="3"/>
      <c r="CR1243" s="3"/>
      <c r="CS1243" s="3"/>
      <c r="CT1243" s="3"/>
      <c r="CU1243" s="3"/>
      <c r="CV1243" s="3"/>
      <c r="CW1243" s="3"/>
      <c r="CX1243" s="3"/>
      <c r="CY1243" s="3"/>
      <c r="CZ1243" s="3"/>
      <c r="DA1243" s="3"/>
      <c r="DB1243" s="3"/>
      <c r="DC1243" s="3"/>
      <c r="DD1243" s="3"/>
      <c r="DE1243" s="3"/>
      <c r="DF1243" s="3"/>
    </row>
    <row r="1244" spans="8:110" x14ac:dyDescent="0.3">
      <c r="H1244" s="4">
        <f t="shared" si="199"/>
        <v>0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/>
      <c r="BZ1244" s="3"/>
      <c r="CA1244" s="3"/>
      <c r="CB1244" s="3"/>
      <c r="CC1244" s="3"/>
      <c r="CD1244" s="3"/>
      <c r="CE1244" s="3"/>
      <c r="CF1244" s="3"/>
      <c r="CG1244" s="3"/>
      <c r="CH1244" s="3"/>
      <c r="CI1244" s="3"/>
      <c r="CJ1244" s="3"/>
      <c r="CK1244" s="3"/>
      <c r="CL1244" s="3"/>
      <c r="CM1244" s="3"/>
      <c r="CN1244" s="3"/>
      <c r="CO1244" s="3"/>
      <c r="CP1244" s="3"/>
      <c r="CQ1244" s="3"/>
      <c r="CR1244" s="3"/>
      <c r="CS1244" s="3"/>
      <c r="CT1244" s="3"/>
      <c r="CU1244" s="3"/>
      <c r="CV1244" s="3"/>
      <c r="CW1244" s="3"/>
      <c r="CX1244" s="3"/>
      <c r="CY1244" s="3"/>
      <c r="CZ1244" s="3"/>
      <c r="DA1244" s="3"/>
      <c r="DB1244" s="3"/>
      <c r="DC1244" s="3"/>
      <c r="DD1244" s="3"/>
      <c r="DE1244" s="3"/>
      <c r="DF1244" s="3"/>
    </row>
    <row r="1245" spans="8:110" x14ac:dyDescent="0.3">
      <c r="H1245" s="4">
        <f t="shared" si="199"/>
        <v>0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</row>
    <row r="1246" spans="8:110" x14ac:dyDescent="0.3">
      <c r="H1246" s="4">
        <f t="shared" si="199"/>
        <v>0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/>
      <c r="BZ1246" s="3"/>
      <c r="CA1246" s="3"/>
      <c r="CB1246" s="3"/>
      <c r="CC1246" s="3"/>
      <c r="CD1246" s="3"/>
      <c r="CE1246" s="3"/>
      <c r="CF1246" s="3"/>
      <c r="CG1246" s="3"/>
      <c r="CH1246" s="3"/>
      <c r="CI1246" s="3"/>
      <c r="CJ1246" s="3"/>
      <c r="CK1246" s="3"/>
      <c r="CL1246" s="3"/>
      <c r="CM1246" s="3"/>
      <c r="CN1246" s="3"/>
      <c r="CO1246" s="3"/>
      <c r="CP1246" s="3"/>
      <c r="CQ1246" s="3"/>
      <c r="CR1246" s="3"/>
      <c r="CS1246" s="3"/>
      <c r="CT1246" s="3"/>
      <c r="CU1246" s="3"/>
      <c r="CV1246" s="3"/>
      <c r="CW1246" s="3"/>
      <c r="CX1246" s="3"/>
      <c r="CY1246" s="3"/>
      <c r="CZ1246" s="3"/>
      <c r="DA1246" s="3"/>
      <c r="DB1246" s="3"/>
      <c r="DC1246" s="3"/>
      <c r="DD1246" s="3"/>
      <c r="DE1246" s="3"/>
      <c r="DF1246" s="3"/>
    </row>
    <row r="1247" spans="8:110" x14ac:dyDescent="0.3">
      <c r="H1247" s="4">
        <f t="shared" si="199"/>
        <v>0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  <c r="BQ1247" s="3"/>
      <c r="BR1247" s="3"/>
      <c r="BS1247" s="3"/>
      <c r="BT1247" s="3"/>
      <c r="BU1247" s="3"/>
      <c r="BV1247" s="3"/>
      <c r="BW1247" s="3"/>
      <c r="BX1247" s="3"/>
      <c r="BY1247" s="3"/>
      <c r="BZ1247" s="3"/>
      <c r="CA1247" s="3"/>
      <c r="CB1247" s="3"/>
      <c r="CC1247" s="3"/>
      <c r="CD1247" s="3"/>
      <c r="CE1247" s="3"/>
      <c r="CF1247" s="3"/>
      <c r="CG1247" s="3"/>
      <c r="CH1247" s="3"/>
      <c r="CI1247" s="3"/>
      <c r="CJ1247" s="3"/>
      <c r="CK1247" s="3"/>
      <c r="CL1247" s="3"/>
      <c r="CM1247" s="3"/>
      <c r="CN1247" s="3"/>
      <c r="CO1247" s="3"/>
      <c r="CP1247" s="3"/>
      <c r="CQ1247" s="3"/>
      <c r="CR1247" s="3"/>
      <c r="CS1247" s="3"/>
      <c r="CT1247" s="3"/>
      <c r="CU1247" s="3"/>
      <c r="CV1247" s="3"/>
      <c r="CW1247" s="3"/>
      <c r="CX1247" s="3"/>
      <c r="CY1247" s="3"/>
      <c r="CZ1247" s="3"/>
      <c r="DA1247" s="3"/>
      <c r="DB1247" s="3"/>
      <c r="DC1247" s="3"/>
      <c r="DD1247" s="3"/>
      <c r="DE1247" s="3"/>
      <c r="DF1247" s="3"/>
    </row>
    <row r="1248" spans="8:110" x14ac:dyDescent="0.3">
      <c r="H1248" s="4">
        <f t="shared" si="199"/>
        <v>0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  <c r="BQ1248" s="3"/>
      <c r="BR1248" s="3"/>
      <c r="BS1248" s="3"/>
      <c r="BT1248" s="3"/>
      <c r="BU1248" s="3"/>
      <c r="BV1248" s="3"/>
      <c r="BW1248" s="3"/>
      <c r="BX1248" s="3"/>
      <c r="BY1248" s="3"/>
      <c r="BZ1248" s="3"/>
      <c r="CA1248" s="3"/>
      <c r="CB1248" s="3"/>
      <c r="CC1248" s="3"/>
      <c r="CD1248" s="3"/>
      <c r="CE1248" s="3"/>
      <c r="CF1248" s="3"/>
      <c r="CG1248" s="3"/>
      <c r="CH1248" s="3"/>
      <c r="CI1248" s="3"/>
      <c r="CJ1248" s="3"/>
      <c r="CK1248" s="3"/>
      <c r="CL1248" s="3"/>
      <c r="CM1248" s="3"/>
      <c r="CN1248" s="3"/>
      <c r="CO1248" s="3"/>
      <c r="CP1248" s="3"/>
      <c r="CQ1248" s="3"/>
      <c r="CR1248" s="3"/>
      <c r="CS1248" s="3"/>
      <c r="CT1248" s="3"/>
      <c r="CU1248" s="3"/>
      <c r="CV1248" s="3"/>
      <c r="CW1248" s="3"/>
      <c r="CX1248" s="3"/>
      <c r="CY1248" s="3"/>
      <c r="CZ1248" s="3"/>
      <c r="DA1248" s="3"/>
      <c r="DB1248" s="3"/>
      <c r="DC1248" s="3"/>
      <c r="DD1248" s="3"/>
      <c r="DE1248" s="3"/>
      <c r="DF1248" s="3"/>
    </row>
    <row r="1249" spans="8:110" x14ac:dyDescent="0.3">
      <c r="H1249" s="4">
        <f t="shared" si="199"/>
        <v>0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  <c r="BM1249" s="3"/>
      <c r="BN1249" s="3"/>
      <c r="BO1249" s="3"/>
      <c r="BP1249" s="3"/>
      <c r="BQ1249" s="3"/>
      <c r="BR1249" s="3"/>
      <c r="BS1249" s="3"/>
      <c r="BT1249" s="3"/>
      <c r="BU1249" s="3"/>
      <c r="BV1249" s="3"/>
      <c r="BW1249" s="3"/>
      <c r="BX1249" s="3"/>
      <c r="BY1249" s="3"/>
      <c r="BZ1249" s="3"/>
      <c r="CA1249" s="3"/>
      <c r="CB1249" s="3"/>
      <c r="CC1249" s="3"/>
      <c r="CD1249" s="3"/>
      <c r="CE1249" s="3"/>
      <c r="CF1249" s="3"/>
      <c r="CG1249" s="3"/>
      <c r="CH1249" s="3"/>
      <c r="CI1249" s="3"/>
      <c r="CJ1249" s="3"/>
      <c r="CK1249" s="3"/>
      <c r="CL1249" s="3"/>
      <c r="CM1249" s="3"/>
      <c r="CN1249" s="3"/>
      <c r="CO1249" s="3"/>
      <c r="CP1249" s="3"/>
      <c r="CQ1249" s="3"/>
      <c r="CR1249" s="3"/>
      <c r="CS1249" s="3"/>
      <c r="CT1249" s="3"/>
      <c r="CU1249" s="3"/>
      <c r="CV1249" s="3"/>
      <c r="CW1249" s="3"/>
      <c r="CX1249" s="3"/>
      <c r="CY1249" s="3"/>
      <c r="CZ1249" s="3"/>
      <c r="DA1249" s="3"/>
      <c r="DB1249" s="3"/>
      <c r="DC1249" s="3"/>
      <c r="DD1249" s="3"/>
      <c r="DE1249" s="3"/>
      <c r="DF1249" s="3"/>
    </row>
    <row r="1250" spans="8:110" x14ac:dyDescent="0.3">
      <c r="H1250" s="4">
        <f t="shared" si="199"/>
        <v>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3"/>
      <c r="BR1250" s="3"/>
      <c r="BS1250" s="3"/>
      <c r="BT1250" s="3"/>
      <c r="BU1250" s="3"/>
      <c r="BV1250" s="3"/>
      <c r="BW1250" s="3"/>
      <c r="BX1250" s="3"/>
      <c r="BY1250" s="3"/>
      <c r="BZ1250" s="3"/>
      <c r="CA1250" s="3"/>
      <c r="CB1250" s="3"/>
      <c r="CC1250" s="3"/>
      <c r="CD1250" s="3"/>
      <c r="CE1250" s="3"/>
      <c r="CF1250" s="3"/>
      <c r="CG1250" s="3"/>
      <c r="CH1250" s="3"/>
      <c r="CI1250" s="3"/>
      <c r="CJ1250" s="3"/>
      <c r="CK1250" s="3"/>
      <c r="CL1250" s="3"/>
      <c r="CM1250" s="3"/>
      <c r="CN1250" s="3"/>
      <c r="CO1250" s="3"/>
      <c r="CP1250" s="3"/>
      <c r="CQ1250" s="3"/>
      <c r="CR1250" s="3"/>
      <c r="CS1250" s="3"/>
      <c r="CT1250" s="3"/>
      <c r="CU1250" s="3"/>
      <c r="CV1250" s="3"/>
      <c r="CW1250" s="3"/>
      <c r="CX1250" s="3"/>
      <c r="CY1250" s="3"/>
      <c r="CZ1250" s="3"/>
      <c r="DA1250" s="3"/>
      <c r="DB1250" s="3"/>
      <c r="DC1250" s="3"/>
      <c r="DD1250" s="3"/>
      <c r="DE1250" s="3"/>
      <c r="DF1250" s="3"/>
    </row>
    <row r="1251" spans="8:110" x14ac:dyDescent="0.3">
      <c r="H1251" s="4">
        <f t="shared" si="199"/>
        <v>0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3"/>
      <c r="BO1251" s="3"/>
      <c r="BP1251" s="3"/>
      <c r="BQ1251" s="3"/>
      <c r="BR1251" s="3"/>
      <c r="BS1251" s="3"/>
      <c r="BT1251" s="3"/>
      <c r="BU1251" s="3"/>
      <c r="BV1251" s="3"/>
      <c r="BW1251" s="3"/>
      <c r="BX1251" s="3"/>
      <c r="BY1251" s="3"/>
      <c r="BZ1251" s="3"/>
      <c r="CA1251" s="3"/>
      <c r="CB1251" s="3"/>
      <c r="CC1251" s="3"/>
      <c r="CD1251" s="3"/>
      <c r="CE1251" s="3"/>
      <c r="CF1251" s="3"/>
      <c r="CG1251" s="3"/>
      <c r="CH1251" s="3"/>
      <c r="CI1251" s="3"/>
      <c r="CJ1251" s="3"/>
      <c r="CK1251" s="3"/>
      <c r="CL1251" s="3"/>
      <c r="CM1251" s="3"/>
      <c r="CN1251" s="3"/>
      <c r="CO1251" s="3"/>
      <c r="CP1251" s="3"/>
      <c r="CQ1251" s="3"/>
      <c r="CR1251" s="3"/>
      <c r="CS1251" s="3"/>
      <c r="CT1251" s="3"/>
      <c r="CU1251" s="3"/>
      <c r="CV1251" s="3"/>
      <c r="CW1251" s="3"/>
      <c r="CX1251" s="3"/>
      <c r="CY1251" s="3"/>
      <c r="CZ1251" s="3"/>
      <c r="DA1251" s="3"/>
      <c r="DB1251" s="3"/>
      <c r="DC1251" s="3"/>
      <c r="DD1251" s="3"/>
      <c r="DE1251" s="3"/>
      <c r="DF1251" s="3"/>
    </row>
    <row r="1252" spans="8:110" x14ac:dyDescent="0.3">
      <c r="H1252" s="4">
        <f t="shared" si="199"/>
        <v>0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/>
      <c r="BZ1252" s="3"/>
      <c r="CA1252" s="3"/>
      <c r="CB1252" s="3"/>
      <c r="CC1252" s="3"/>
      <c r="CD1252" s="3"/>
      <c r="CE1252" s="3"/>
      <c r="CF1252" s="3"/>
      <c r="CG1252" s="3"/>
      <c r="CH1252" s="3"/>
      <c r="CI1252" s="3"/>
      <c r="CJ1252" s="3"/>
      <c r="CK1252" s="3"/>
      <c r="CL1252" s="3"/>
      <c r="CM1252" s="3"/>
      <c r="CN1252" s="3"/>
      <c r="CO1252" s="3"/>
      <c r="CP1252" s="3"/>
      <c r="CQ1252" s="3"/>
      <c r="CR1252" s="3"/>
      <c r="CS1252" s="3"/>
      <c r="CT1252" s="3"/>
      <c r="CU1252" s="3"/>
      <c r="CV1252" s="3"/>
      <c r="CW1252" s="3"/>
      <c r="CX1252" s="3"/>
      <c r="CY1252" s="3"/>
      <c r="CZ1252" s="3"/>
      <c r="DA1252" s="3"/>
      <c r="DB1252" s="3"/>
      <c r="DC1252" s="3"/>
      <c r="DD1252" s="3"/>
      <c r="DE1252" s="3"/>
      <c r="DF1252" s="3"/>
    </row>
    <row r="1253" spans="8:110" x14ac:dyDescent="0.3">
      <c r="H1253" s="4">
        <f t="shared" si="199"/>
        <v>0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/>
      <c r="BK1253" s="3"/>
      <c r="BL1253" s="3"/>
      <c r="BM1253" s="3"/>
      <c r="BN1253" s="3"/>
      <c r="BO1253" s="3"/>
      <c r="BP1253" s="3"/>
      <c r="BQ1253" s="3"/>
      <c r="BR1253" s="3"/>
      <c r="BS1253" s="3"/>
      <c r="BT1253" s="3"/>
      <c r="BU1253" s="3"/>
      <c r="BV1253" s="3"/>
      <c r="BW1253" s="3"/>
      <c r="BX1253" s="3"/>
      <c r="BY1253" s="3"/>
      <c r="BZ1253" s="3"/>
      <c r="CA1253" s="3"/>
      <c r="CB1253" s="3"/>
      <c r="CC1253" s="3"/>
      <c r="CD1253" s="3"/>
      <c r="CE1253" s="3"/>
      <c r="CF1253" s="3"/>
      <c r="CG1253" s="3"/>
      <c r="CH1253" s="3"/>
      <c r="CI1253" s="3"/>
      <c r="CJ1253" s="3"/>
      <c r="CK1253" s="3"/>
      <c r="CL1253" s="3"/>
      <c r="CM1253" s="3"/>
      <c r="CN1253" s="3"/>
      <c r="CO1253" s="3"/>
      <c r="CP1253" s="3"/>
      <c r="CQ1253" s="3"/>
      <c r="CR1253" s="3"/>
      <c r="CS1253" s="3"/>
      <c r="CT1253" s="3"/>
      <c r="CU1253" s="3"/>
      <c r="CV1253" s="3"/>
      <c r="CW1253" s="3"/>
      <c r="CX1253" s="3"/>
      <c r="CY1253" s="3"/>
      <c r="CZ1253" s="3"/>
      <c r="DA1253" s="3"/>
      <c r="DB1253" s="3"/>
      <c r="DC1253" s="3"/>
      <c r="DD1253" s="3"/>
      <c r="DE1253" s="3"/>
      <c r="DF1253" s="3"/>
    </row>
    <row r="1254" spans="8:110" x14ac:dyDescent="0.3">
      <c r="H1254" s="4">
        <f t="shared" si="199"/>
        <v>0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/>
      <c r="BZ1254" s="3"/>
      <c r="CA1254" s="3"/>
      <c r="CB1254" s="3"/>
      <c r="CC1254" s="3"/>
      <c r="CD1254" s="3"/>
      <c r="CE1254" s="3"/>
      <c r="CF1254" s="3"/>
      <c r="CG1254" s="3"/>
      <c r="CH1254" s="3"/>
      <c r="CI1254" s="3"/>
      <c r="CJ1254" s="3"/>
      <c r="CK1254" s="3"/>
      <c r="CL1254" s="3"/>
      <c r="CM1254" s="3"/>
      <c r="CN1254" s="3"/>
      <c r="CO1254" s="3"/>
      <c r="CP1254" s="3"/>
      <c r="CQ1254" s="3"/>
      <c r="CR1254" s="3"/>
      <c r="CS1254" s="3"/>
      <c r="CT1254" s="3"/>
      <c r="CU1254" s="3"/>
      <c r="CV1254" s="3"/>
      <c r="CW1254" s="3"/>
      <c r="CX1254" s="3"/>
      <c r="CY1254" s="3"/>
      <c r="CZ1254" s="3"/>
      <c r="DA1254" s="3"/>
      <c r="DB1254" s="3"/>
      <c r="DC1254" s="3"/>
      <c r="DD1254" s="3"/>
      <c r="DE1254" s="3"/>
      <c r="DF1254" s="3"/>
    </row>
    <row r="1255" spans="8:110" x14ac:dyDescent="0.3">
      <c r="H1255" s="4">
        <f t="shared" si="199"/>
        <v>0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/>
      <c r="BN1255" s="3"/>
      <c r="BO1255" s="3"/>
      <c r="BP1255" s="3"/>
      <c r="BQ1255" s="3"/>
      <c r="BR1255" s="3"/>
      <c r="BS1255" s="3"/>
      <c r="BT1255" s="3"/>
      <c r="BU1255" s="3"/>
      <c r="BV1255" s="3"/>
      <c r="BW1255" s="3"/>
      <c r="BX1255" s="3"/>
      <c r="BY1255" s="3"/>
      <c r="BZ1255" s="3"/>
      <c r="CA1255" s="3"/>
      <c r="CB1255" s="3"/>
      <c r="CC1255" s="3"/>
      <c r="CD1255" s="3"/>
      <c r="CE1255" s="3"/>
      <c r="CF1255" s="3"/>
      <c r="CG1255" s="3"/>
      <c r="CH1255" s="3"/>
      <c r="CI1255" s="3"/>
      <c r="CJ1255" s="3"/>
      <c r="CK1255" s="3"/>
      <c r="CL1255" s="3"/>
      <c r="CM1255" s="3"/>
      <c r="CN1255" s="3"/>
      <c r="CO1255" s="3"/>
      <c r="CP1255" s="3"/>
      <c r="CQ1255" s="3"/>
      <c r="CR1255" s="3"/>
      <c r="CS1255" s="3"/>
      <c r="CT1255" s="3"/>
      <c r="CU1255" s="3"/>
      <c r="CV1255" s="3"/>
      <c r="CW1255" s="3"/>
      <c r="CX1255" s="3"/>
      <c r="CY1255" s="3"/>
      <c r="CZ1255" s="3"/>
      <c r="DA1255" s="3"/>
      <c r="DB1255" s="3"/>
      <c r="DC1255" s="3"/>
      <c r="DD1255" s="3"/>
      <c r="DE1255" s="3"/>
      <c r="DF1255" s="3"/>
    </row>
    <row r="1256" spans="8:110" x14ac:dyDescent="0.3">
      <c r="H1256" s="4">
        <f t="shared" si="199"/>
        <v>0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/>
      <c r="BN1256" s="3"/>
      <c r="BO1256" s="3"/>
      <c r="BP1256" s="3"/>
      <c r="BQ1256" s="3"/>
      <c r="BR1256" s="3"/>
      <c r="BS1256" s="3"/>
      <c r="BT1256" s="3"/>
      <c r="BU1256" s="3"/>
      <c r="BV1256" s="3"/>
      <c r="BW1256" s="3"/>
      <c r="BX1256" s="3"/>
      <c r="BY1256" s="3"/>
      <c r="BZ1256" s="3"/>
      <c r="CA1256" s="3"/>
      <c r="CB1256" s="3"/>
      <c r="CC1256" s="3"/>
      <c r="CD1256" s="3"/>
      <c r="CE1256" s="3"/>
      <c r="CF1256" s="3"/>
      <c r="CG1256" s="3"/>
      <c r="CH1256" s="3"/>
      <c r="CI1256" s="3"/>
      <c r="CJ1256" s="3"/>
      <c r="CK1256" s="3"/>
      <c r="CL1256" s="3"/>
      <c r="CM1256" s="3"/>
      <c r="CN1256" s="3"/>
      <c r="CO1256" s="3"/>
      <c r="CP1256" s="3"/>
      <c r="CQ1256" s="3"/>
      <c r="CR1256" s="3"/>
      <c r="CS1256" s="3"/>
      <c r="CT1256" s="3"/>
      <c r="CU1256" s="3"/>
      <c r="CV1256" s="3"/>
      <c r="CW1256" s="3"/>
      <c r="CX1256" s="3"/>
      <c r="CY1256" s="3"/>
      <c r="CZ1256" s="3"/>
      <c r="DA1256" s="3"/>
      <c r="DB1256" s="3"/>
      <c r="DC1256" s="3"/>
      <c r="DD1256" s="3"/>
      <c r="DE1256" s="3"/>
      <c r="DF1256" s="3"/>
    </row>
    <row r="1257" spans="8:110" x14ac:dyDescent="0.3">
      <c r="H1257" s="4">
        <f t="shared" si="199"/>
        <v>0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  <c r="BK1257" s="3"/>
      <c r="BL1257" s="3"/>
      <c r="BM1257" s="3"/>
      <c r="BN1257" s="3"/>
      <c r="BO1257" s="3"/>
      <c r="BP1257" s="3"/>
      <c r="BQ1257" s="3"/>
      <c r="BR1257" s="3"/>
      <c r="BS1257" s="3"/>
      <c r="BT1257" s="3"/>
      <c r="BU1257" s="3"/>
      <c r="BV1257" s="3"/>
      <c r="BW1257" s="3"/>
      <c r="BX1257" s="3"/>
      <c r="BY1257" s="3"/>
      <c r="BZ1257" s="3"/>
      <c r="CA1257" s="3"/>
      <c r="CB1257" s="3"/>
      <c r="CC1257" s="3"/>
      <c r="CD1257" s="3"/>
      <c r="CE1257" s="3"/>
      <c r="CF1257" s="3"/>
      <c r="CG1257" s="3"/>
      <c r="CH1257" s="3"/>
      <c r="CI1257" s="3"/>
      <c r="CJ1257" s="3"/>
      <c r="CK1257" s="3"/>
      <c r="CL1257" s="3"/>
      <c r="CM1257" s="3"/>
      <c r="CN1257" s="3"/>
      <c r="CO1257" s="3"/>
      <c r="CP1257" s="3"/>
      <c r="CQ1257" s="3"/>
      <c r="CR1257" s="3"/>
      <c r="CS1257" s="3"/>
      <c r="CT1257" s="3"/>
      <c r="CU1257" s="3"/>
      <c r="CV1257" s="3"/>
      <c r="CW1257" s="3"/>
      <c r="CX1257" s="3"/>
      <c r="CY1257" s="3"/>
      <c r="CZ1257" s="3"/>
      <c r="DA1257" s="3"/>
      <c r="DB1257" s="3"/>
      <c r="DC1257" s="3"/>
      <c r="DD1257" s="3"/>
      <c r="DE1257" s="3"/>
      <c r="DF1257" s="3"/>
    </row>
    <row r="1258" spans="8:110" x14ac:dyDescent="0.3">
      <c r="H1258" s="4">
        <f t="shared" si="199"/>
        <v>0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/>
      <c r="BN1258" s="3"/>
      <c r="BO1258" s="3"/>
      <c r="BP1258" s="3"/>
      <c r="BQ1258" s="3"/>
      <c r="BR1258" s="3"/>
      <c r="BS1258" s="3"/>
      <c r="BT1258" s="3"/>
      <c r="BU1258" s="3"/>
      <c r="BV1258" s="3"/>
      <c r="BW1258" s="3"/>
      <c r="BX1258" s="3"/>
      <c r="BY1258" s="3"/>
      <c r="BZ1258" s="3"/>
      <c r="CA1258" s="3"/>
      <c r="CB1258" s="3"/>
      <c r="CC1258" s="3"/>
      <c r="CD1258" s="3"/>
      <c r="CE1258" s="3"/>
      <c r="CF1258" s="3"/>
      <c r="CG1258" s="3"/>
      <c r="CH1258" s="3"/>
      <c r="CI1258" s="3"/>
      <c r="CJ1258" s="3"/>
      <c r="CK1258" s="3"/>
      <c r="CL1258" s="3"/>
      <c r="CM1258" s="3"/>
      <c r="CN1258" s="3"/>
      <c r="CO1258" s="3"/>
      <c r="CP1258" s="3"/>
      <c r="CQ1258" s="3"/>
      <c r="CR1258" s="3"/>
      <c r="CS1258" s="3"/>
      <c r="CT1258" s="3"/>
      <c r="CU1258" s="3"/>
      <c r="CV1258" s="3"/>
      <c r="CW1258" s="3"/>
      <c r="CX1258" s="3"/>
      <c r="CY1258" s="3"/>
      <c r="CZ1258" s="3"/>
      <c r="DA1258" s="3"/>
      <c r="DB1258" s="3"/>
      <c r="DC1258" s="3"/>
      <c r="DD1258" s="3"/>
      <c r="DE1258" s="3"/>
      <c r="DF1258" s="3"/>
    </row>
    <row r="1259" spans="8:110" x14ac:dyDescent="0.3">
      <c r="H1259" s="4">
        <f t="shared" si="199"/>
        <v>0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/>
      <c r="BK1259" s="3"/>
      <c r="BL1259" s="3"/>
      <c r="BM1259" s="3"/>
      <c r="BN1259" s="3"/>
      <c r="BO1259" s="3"/>
      <c r="BP1259" s="3"/>
      <c r="BQ1259" s="3"/>
      <c r="BR1259" s="3"/>
      <c r="BS1259" s="3"/>
      <c r="BT1259" s="3"/>
      <c r="BU1259" s="3"/>
      <c r="BV1259" s="3"/>
      <c r="BW1259" s="3"/>
      <c r="BX1259" s="3"/>
      <c r="BY1259" s="3"/>
      <c r="BZ1259" s="3"/>
      <c r="CA1259" s="3"/>
      <c r="CB1259" s="3"/>
      <c r="CC1259" s="3"/>
      <c r="CD1259" s="3"/>
      <c r="CE1259" s="3"/>
      <c r="CF1259" s="3"/>
      <c r="CG1259" s="3"/>
      <c r="CH1259" s="3"/>
      <c r="CI1259" s="3"/>
      <c r="CJ1259" s="3"/>
      <c r="CK1259" s="3"/>
      <c r="CL1259" s="3"/>
      <c r="CM1259" s="3"/>
      <c r="CN1259" s="3"/>
      <c r="CO1259" s="3"/>
      <c r="CP1259" s="3"/>
      <c r="CQ1259" s="3"/>
      <c r="CR1259" s="3"/>
      <c r="CS1259" s="3"/>
      <c r="CT1259" s="3"/>
      <c r="CU1259" s="3"/>
      <c r="CV1259" s="3"/>
      <c r="CW1259" s="3"/>
      <c r="CX1259" s="3"/>
      <c r="CY1259" s="3"/>
      <c r="CZ1259" s="3"/>
      <c r="DA1259" s="3"/>
      <c r="DB1259" s="3"/>
      <c r="DC1259" s="3"/>
      <c r="DD1259" s="3"/>
      <c r="DE1259" s="3"/>
      <c r="DF1259" s="3"/>
    </row>
    <row r="1260" spans="8:110" x14ac:dyDescent="0.3">
      <c r="H1260" s="4">
        <f t="shared" si="199"/>
        <v>0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/>
      <c r="BN1260" s="3"/>
      <c r="BO1260" s="3"/>
      <c r="BP1260" s="3"/>
      <c r="BQ1260" s="3"/>
      <c r="BR1260" s="3"/>
      <c r="BS1260" s="3"/>
      <c r="BT1260" s="3"/>
      <c r="BU1260" s="3"/>
      <c r="BV1260" s="3"/>
      <c r="BW1260" s="3"/>
      <c r="BX1260" s="3"/>
      <c r="BY1260" s="3"/>
      <c r="BZ1260" s="3"/>
      <c r="CA1260" s="3"/>
      <c r="CB1260" s="3"/>
      <c r="CC1260" s="3"/>
      <c r="CD1260" s="3"/>
      <c r="CE1260" s="3"/>
      <c r="CF1260" s="3"/>
      <c r="CG1260" s="3"/>
      <c r="CH1260" s="3"/>
      <c r="CI1260" s="3"/>
      <c r="CJ1260" s="3"/>
      <c r="CK1260" s="3"/>
      <c r="CL1260" s="3"/>
      <c r="CM1260" s="3"/>
      <c r="CN1260" s="3"/>
      <c r="CO1260" s="3"/>
      <c r="CP1260" s="3"/>
      <c r="CQ1260" s="3"/>
      <c r="CR1260" s="3"/>
      <c r="CS1260" s="3"/>
      <c r="CT1260" s="3"/>
      <c r="CU1260" s="3"/>
      <c r="CV1260" s="3"/>
      <c r="CW1260" s="3"/>
      <c r="CX1260" s="3"/>
      <c r="CY1260" s="3"/>
      <c r="CZ1260" s="3"/>
      <c r="DA1260" s="3"/>
      <c r="DB1260" s="3"/>
      <c r="DC1260" s="3"/>
      <c r="DD1260" s="3"/>
      <c r="DE1260" s="3"/>
      <c r="DF1260" s="3"/>
    </row>
    <row r="1261" spans="8:110" x14ac:dyDescent="0.3">
      <c r="H1261" s="4">
        <f t="shared" si="199"/>
        <v>0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/>
      <c r="BK1261" s="3"/>
      <c r="BL1261" s="3"/>
      <c r="BM1261" s="3"/>
      <c r="BN1261" s="3"/>
      <c r="BO1261" s="3"/>
      <c r="BP1261" s="3"/>
      <c r="BQ1261" s="3"/>
      <c r="BR1261" s="3"/>
      <c r="BS1261" s="3"/>
      <c r="BT1261" s="3"/>
      <c r="BU1261" s="3"/>
      <c r="BV1261" s="3"/>
      <c r="BW1261" s="3"/>
      <c r="BX1261" s="3"/>
      <c r="BY1261" s="3"/>
      <c r="BZ1261" s="3"/>
      <c r="CA1261" s="3"/>
      <c r="CB1261" s="3"/>
      <c r="CC1261" s="3"/>
      <c r="CD1261" s="3"/>
      <c r="CE1261" s="3"/>
      <c r="CF1261" s="3"/>
      <c r="CG1261" s="3"/>
      <c r="CH1261" s="3"/>
      <c r="CI1261" s="3"/>
      <c r="CJ1261" s="3"/>
      <c r="CK1261" s="3"/>
      <c r="CL1261" s="3"/>
      <c r="CM1261" s="3"/>
      <c r="CN1261" s="3"/>
      <c r="CO1261" s="3"/>
      <c r="CP1261" s="3"/>
      <c r="CQ1261" s="3"/>
      <c r="CR1261" s="3"/>
      <c r="CS1261" s="3"/>
      <c r="CT1261" s="3"/>
      <c r="CU1261" s="3"/>
      <c r="CV1261" s="3"/>
      <c r="CW1261" s="3"/>
      <c r="CX1261" s="3"/>
      <c r="CY1261" s="3"/>
      <c r="CZ1261" s="3"/>
      <c r="DA1261" s="3"/>
      <c r="DB1261" s="3"/>
      <c r="DC1261" s="3"/>
      <c r="DD1261" s="3"/>
      <c r="DE1261" s="3"/>
      <c r="DF1261" s="3"/>
    </row>
    <row r="1262" spans="8:110" x14ac:dyDescent="0.3">
      <c r="H1262" s="4">
        <f t="shared" si="199"/>
        <v>0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/>
      <c r="BZ1262" s="3"/>
      <c r="CA1262" s="3"/>
      <c r="CB1262" s="3"/>
      <c r="CC1262" s="3"/>
      <c r="CD1262" s="3"/>
      <c r="CE1262" s="3"/>
      <c r="CF1262" s="3"/>
      <c r="CG1262" s="3"/>
      <c r="CH1262" s="3"/>
      <c r="CI1262" s="3"/>
      <c r="CJ1262" s="3"/>
      <c r="CK1262" s="3"/>
      <c r="CL1262" s="3"/>
      <c r="CM1262" s="3"/>
      <c r="CN1262" s="3"/>
      <c r="CO1262" s="3"/>
      <c r="CP1262" s="3"/>
      <c r="CQ1262" s="3"/>
      <c r="CR1262" s="3"/>
      <c r="CS1262" s="3"/>
      <c r="CT1262" s="3"/>
      <c r="CU1262" s="3"/>
      <c r="CV1262" s="3"/>
      <c r="CW1262" s="3"/>
      <c r="CX1262" s="3"/>
      <c r="CY1262" s="3"/>
      <c r="CZ1262" s="3"/>
      <c r="DA1262" s="3"/>
      <c r="DB1262" s="3"/>
      <c r="DC1262" s="3"/>
      <c r="DD1262" s="3"/>
      <c r="DE1262" s="3"/>
      <c r="DF1262" s="3"/>
    </row>
    <row r="1263" spans="8:110" x14ac:dyDescent="0.3">
      <c r="H1263" s="4">
        <f t="shared" si="199"/>
        <v>0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  <c r="BK1263" s="3"/>
      <c r="BL1263" s="3"/>
      <c r="BM1263" s="3"/>
      <c r="BN1263" s="3"/>
      <c r="BO1263" s="3"/>
      <c r="BP1263" s="3"/>
      <c r="BQ1263" s="3"/>
      <c r="BR1263" s="3"/>
      <c r="BS1263" s="3"/>
      <c r="BT1263" s="3"/>
      <c r="BU1263" s="3"/>
      <c r="BV1263" s="3"/>
      <c r="BW1263" s="3"/>
      <c r="BX1263" s="3"/>
      <c r="BY1263" s="3"/>
      <c r="BZ1263" s="3"/>
      <c r="CA1263" s="3"/>
      <c r="CB1263" s="3"/>
      <c r="CC1263" s="3"/>
      <c r="CD1263" s="3"/>
      <c r="CE1263" s="3"/>
      <c r="CF1263" s="3"/>
      <c r="CG1263" s="3"/>
      <c r="CH1263" s="3"/>
      <c r="CI1263" s="3"/>
      <c r="CJ1263" s="3"/>
      <c r="CK1263" s="3"/>
      <c r="CL1263" s="3"/>
      <c r="CM1263" s="3"/>
      <c r="CN1263" s="3"/>
      <c r="CO1263" s="3"/>
      <c r="CP1263" s="3"/>
      <c r="CQ1263" s="3"/>
      <c r="CR1263" s="3"/>
      <c r="CS1263" s="3"/>
      <c r="CT1263" s="3"/>
      <c r="CU1263" s="3"/>
      <c r="CV1263" s="3"/>
      <c r="CW1263" s="3"/>
      <c r="CX1263" s="3"/>
      <c r="CY1263" s="3"/>
      <c r="CZ1263" s="3"/>
      <c r="DA1263" s="3"/>
      <c r="DB1263" s="3"/>
      <c r="DC1263" s="3"/>
      <c r="DD1263" s="3"/>
      <c r="DE1263" s="3"/>
      <c r="DF1263" s="3"/>
    </row>
    <row r="1264" spans="8:110" x14ac:dyDescent="0.3">
      <c r="H1264" s="4">
        <f t="shared" si="199"/>
        <v>0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  <c r="BQ1264" s="3"/>
      <c r="BR1264" s="3"/>
      <c r="BS1264" s="3"/>
      <c r="BT1264" s="3"/>
      <c r="BU1264" s="3"/>
      <c r="BV1264" s="3"/>
      <c r="BW1264" s="3"/>
      <c r="BX1264" s="3"/>
      <c r="BY1264" s="3"/>
      <c r="BZ1264" s="3"/>
      <c r="CA1264" s="3"/>
      <c r="CB1264" s="3"/>
      <c r="CC1264" s="3"/>
      <c r="CD1264" s="3"/>
      <c r="CE1264" s="3"/>
      <c r="CF1264" s="3"/>
      <c r="CG1264" s="3"/>
      <c r="CH1264" s="3"/>
      <c r="CI1264" s="3"/>
      <c r="CJ1264" s="3"/>
      <c r="CK1264" s="3"/>
      <c r="CL1264" s="3"/>
      <c r="CM1264" s="3"/>
      <c r="CN1264" s="3"/>
      <c r="CO1264" s="3"/>
      <c r="CP1264" s="3"/>
      <c r="CQ1264" s="3"/>
      <c r="CR1264" s="3"/>
      <c r="CS1264" s="3"/>
      <c r="CT1264" s="3"/>
      <c r="CU1264" s="3"/>
      <c r="CV1264" s="3"/>
      <c r="CW1264" s="3"/>
      <c r="CX1264" s="3"/>
      <c r="CY1264" s="3"/>
      <c r="CZ1264" s="3"/>
      <c r="DA1264" s="3"/>
      <c r="DB1264" s="3"/>
      <c r="DC1264" s="3"/>
      <c r="DD1264" s="3"/>
      <c r="DE1264" s="3"/>
      <c r="DF1264" s="3"/>
    </row>
    <row r="1265" spans="8:110" x14ac:dyDescent="0.3">
      <c r="H1265" s="4">
        <f t="shared" si="199"/>
        <v>0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/>
      <c r="BK1265" s="3"/>
      <c r="BL1265" s="3"/>
      <c r="BM1265" s="3"/>
      <c r="BN1265" s="3"/>
      <c r="BO1265" s="3"/>
      <c r="BP1265" s="3"/>
      <c r="BQ1265" s="3"/>
      <c r="BR1265" s="3"/>
      <c r="BS1265" s="3"/>
      <c r="BT1265" s="3"/>
      <c r="BU1265" s="3"/>
      <c r="BV1265" s="3"/>
      <c r="BW1265" s="3"/>
      <c r="BX1265" s="3"/>
      <c r="BY1265" s="3"/>
      <c r="BZ1265" s="3"/>
      <c r="CA1265" s="3"/>
      <c r="CB1265" s="3"/>
      <c r="CC1265" s="3"/>
      <c r="CD1265" s="3"/>
      <c r="CE1265" s="3"/>
      <c r="CF1265" s="3"/>
      <c r="CG1265" s="3"/>
      <c r="CH1265" s="3"/>
      <c r="CI1265" s="3"/>
      <c r="CJ1265" s="3"/>
      <c r="CK1265" s="3"/>
      <c r="CL1265" s="3"/>
      <c r="CM1265" s="3"/>
      <c r="CN1265" s="3"/>
      <c r="CO1265" s="3"/>
      <c r="CP1265" s="3"/>
      <c r="CQ1265" s="3"/>
      <c r="CR1265" s="3"/>
      <c r="CS1265" s="3"/>
      <c r="CT1265" s="3"/>
      <c r="CU1265" s="3"/>
      <c r="CV1265" s="3"/>
      <c r="CW1265" s="3"/>
      <c r="CX1265" s="3"/>
      <c r="CY1265" s="3"/>
      <c r="CZ1265" s="3"/>
      <c r="DA1265" s="3"/>
      <c r="DB1265" s="3"/>
      <c r="DC1265" s="3"/>
      <c r="DD1265" s="3"/>
      <c r="DE1265" s="3"/>
      <c r="DF1265" s="3"/>
    </row>
    <row r="1266" spans="8:110" x14ac:dyDescent="0.3">
      <c r="H1266" s="4">
        <f t="shared" si="199"/>
        <v>0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  <c r="BM1266" s="3"/>
      <c r="BN1266" s="3"/>
      <c r="BO1266" s="3"/>
      <c r="BP1266" s="3"/>
      <c r="BQ1266" s="3"/>
      <c r="BR1266" s="3"/>
      <c r="BS1266" s="3"/>
      <c r="BT1266" s="3"/>
      <c r="BU1266" s="3"/>
      <c r="BV1266" s="3"/>
      <c r="BW1266" s="3"/>
      <c r="BX1266" s="3"/>
      <c r="BY1266" s="3"/>
      <c r="BZ1266" s="3"/>
      <c r="CA1266" s="3"/>
      <c r="CB1266" s="3"/>
      <c r="CC1266" s="3"/>
      <c r="CD1266" s="3"/>
      <c r="CE1266" s="3"/>
      <c r="CF1266" s="3"/>
      <c r="CG1266" s="3"/>
      <c r="CH1266" s="3"/>
      <c r="CI1266" s="3"/>
      <c r="CJ1266" s="3"/>
      <c r="CK1266" s="3"/>
      <c r="CL1266" s="3"/>
      <c r="CM1266" s="3"/>
      <c r="CN1266" s="3"/>
      <c r="CO1266" s="3"/>
      <c r="CP1266" s="3"/>
      <c r="CQ1266" s="3"/>
      <c r="CR1266" s="3"/>
      <c r="CS1266" s="3"/>
      <c r="CT1266" s="3"/>
      <c r="CU1266" s="3"/>
      <c r="CV1266" s="3"/>
      <c r="CW1266" s="3"/>
      <c r="CX1266" s="3"/>
      <c r="CY1266" s="3"/>
      <c r="CZ1266" s="3"/>
      <c r="DA1266" s="3"/>
      <c r="DB1266" s="3"/>
      <c r="DC1266" s="3"/>
      <c r="DD1266" s="3"/>
      <c r="DE1266" s="3"/>
      <c r="DF1266" s="3"/>
    </row>
    <row r="1267" spans="8:110" x14ac:dyDescent="0.3">
      <c r="H1267" s="4">
        <f t="shared" si="199"/>
        <v>0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  <c r="BM1267" s="3"/>
      <c r="BN1267" s="3"/>
      <c r="BO1267" s="3"/>
      <c r="BP1267" s="3"/>
      <c r="BQ1267" s="3"/>
      <c r="BR1267" s="3"/>
      <c r="BS1267" s="3"/>
      <c r="BT1267" s="3"/>
      <c r="BU1267" s="3"/>
      <c r="BV1267" s="3"/>
      <c r="BW1267" s="3"/>
      <c r="BX1267" s="3"/>
      <c r="BY1267" s="3"/>
      <c r="BZ1267" s="3"/>
      <c r="CA1267" s="3"/>
      <c r="CB1267" s="3"/>
      <c r="CC1267" s="3"/>
      <c r="CD1267" s="3"/>
      <c r="CE1267" s="3"/>
      <c r="CF1267" s="3"/>
      <c r="CG1267" s="3"/>
      <c r="CH1267" s="3"/>
      <c r="CI1267" s="3"/>
      <c r="CJ1267" s="3"/>
      <c r="CK1267" s="3"/>
      <c r="CL1267" s="3"/>
      <c r="CM1267" s="3"/>
      <c r="CN1267" s="3"/>
      <c r="CO1267" s="3"/>
      <c r="CP1267" s="3"/>
      <c r="CQ1267" s="3"/>
      <c r="CR1267" s="3"/>
      <c r="CS1267" s="3"/>
      <c r="CT1267" s="3"/>
      <c r="CU1267" s="3"/>
      <c r="CV1267" s="3"/>
      <c r="CW1267" s="3"/>
      <c r="CX1267" s="3"/>
      <c r="CY1267" s="3"/>
      <c r="CZ1267" s="3"/>
      <c r="DA1267" s="3"/>
      <c r="DB1267" s="3"/>
      <c r="DC1267" s="3"/>
      <c r="DD1267" s="3"/>
      <c r="DE1267" s="3"/>
      <c r="DF1267" s="3"/>
    </row>
    <row r="1268" spans="8:110" x14ac:dyDescent="0.3">
      <c r="H1268" s="4">
        <f t="shared" si="199"/>
        <v>0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3"/>
      <c r="BR1268" s="3"/>
      <c r="BS1268" s="3"/>
      <c r="BT1268" s="3"/>
      <c r="BU1268" s="3"/>
      <c r="BV1268" s="3"/>
      <c r="BW1268" s="3"/>
      <c r="BX1268" s="3"/>
      <c r="BY1268" s="3"/>
      <c r="BZ1268" s="3"/>
      <c r="CA1268" s="3"/>
      <c r="CB1268" s="3"/>
      <c r="CC1268" s="3"/>
      <c r="CD1268" s="3"/>
      <c r="CE1268" s="3"/>
      <c r="CF1268" s="3"/>
      <c r="CG1268" s="3"/>
      <c r="CH1268" s="3"/>
      <c r="CI1268" s="3"/>
      <c r="CJ1268" s="3"/>
      <c r="CK1268" s="3"/>
      <c r="CL1268" s="3"/>
      <c r="CM1268" s="3"/>
      <c r="CN1268" s="3"/>
      <c r="CO1268" s="3"/>
      <c r="CP1268" s="3"/>
      <c r="CQ1268" s="3"/>
      <c r="CR1268" s="3"/>
      <c r="CS1268" s="3"/>
      <c r="CT1268" s="3"/>
      <c r="CU1268" s="3"/>
      <c r="CV1268" s="3"/>
      <c r="CW1268" s="3"/>
      <c r="CX1268" s="3"/>
      <c r="CY1268" s="3"/>
      <c r="CZ1268" s="3"/>
      <c r="DA1268" s="3"/>
      <c r="DB1268" s="3"/>
      <c r="DC1268" s="3"/>
      <c r="DD1268" s="3"/>
      <c r="DE1268" s="3"/>
      <c r="DF1268" s="3"/>
    </row>
    <row r="1269" spans="8:110" x14ac:dyDescent="0.3">
      <c r="H1269" s="4">
        <f t="shared" si="199"/>
        <v>0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/>
      <c r="BN1269" s="3"/>
      <c r="BO1269" s="3"/>
      <c r="BP1269" s="3"/>
      <c r="BQ1269" s="3"/>
      <c r="BR1269" s="3"/>
      <c r="BS1269" s="3"/>
      <c r="BT1269" s="3"/>
      <c r="BU1269" s="3"/>
      <c r="BV1269" s="3"/>
      <c r="BW1269" s="3"/>
      <c r="BX1269" s="3"/>
      <c r="BY1269" s="3"/>
      <c r="BZ1269" s="3"/>
      <c r="CA1269" s="3"/>
      <c r="CB1269" s="3"/>
      <c r="CC1269" s="3"/>
      <c r="CD1269" s="3"/>
      <c r="CE1269" s="3"/>
      <c r="CF1269" s="3"/>
      <c r="CG1269" s="3"/>
      <c r="CH1269" s="3"/>
      <c r="CI1269" s="3"/>
      <c r="CJ1269" s="3"/>
      <c r="CK1269" s="3"/>
      <c r="CL1269" s="3"/>
      <c r="CM1269" s="3"/>
      <c r="CN1269" s="3"/>
      <c r="CO1269" s="3"/>
      <c r="CP1269" s="3"/>
      <c r="CQ1269" s="3"/>
      <c r="CR1269" s="3"/>
      <c r="CS1269" s="3"/>
      <c r="CT1269" s="3"/>
      <c r="CU1269" s="3"/>
      <c r="CV1269" s="3"/>
      <c r="CW1269" s="3"/>
      <c r="CX1269" s="3"/>
      <c r="CY1269" s="3"/>
      <c r="CZ1269" s="3"/>
      <c r="DA1269" s="3"/>
      <c r="DB1269" s="3"/>
      <c r="DC1269" s="3"/>
      <c r="DD1269" s="3"/>
      <c r="DE1269" s="3"/>
      <c r="DF1269" s="3"/>
    </row>
    <row r="1270" spans="8:110" x14ac:dyDescent="0.3">
      <c r="H1270" s="4">
        <f t="shared" si="199"/>
        <v>0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/>
      <c r="BP1270" s="3"/>
      <c r="BQ1270" s="3"/>
      <c r="BR1270" s="3"/>
      <c r="BS1270" s="3"/>
      <c r="BT1270" s="3"/>
      <c r="BU1270" s="3"/>
      <c r="BV1270" s="3"/>
      <c r="BW1270" s="3"/>
      <c r="BX1270" s="3"/>
      <c r="BY1270" s="3"/>
      <c r="BZ1270" s="3"/>
      <c r="CA1270" s="3"/>
      <c r="CB1270" s="3"/>
      <c r="CC1270" s="3"/>
      <c r="CD1270" s="3"/>
      <c r="CE1270" s="3"/>
      <c r="CF1270" s="3"/>
      <c r="CG1270" s="3"/>
      <c r="CH1270" s="3"/>
      <c r="CI1270" s="3"/>
      <c r="CJ1270" s="3"/>
      <c r="CK1270" s="3"/>
      <c r="CL1270" s="3"/>
      <c r="CM1270" s="3"/>
      <c r="CN1270" s="3"/>
      <c r="CO1270" s="3"/>
      <c r="CP1270" s="3"/>
      <c r="CQ1270" s="3"/>
      <c r="CR1270" s="3"/>
      <c r="CS1270" s="3"/>
      <c r="CT1270" s="3"/>
      <c r="CU1270" s="3"/>
      <c r="CV1270" s="3"/>
      <c r="CW1270" s="3"/>
      <c r="CX1270" s="3"/>
      <c r="CY1270" s="3"/>
      <c r="CZ1270" s="3"/>
      <c r="DA1270" s="3"/>
      <c r="DB1270" s="3"/>
      <c r="DC1270" s="3"/>
      <c r="DD1270" s="3"/>
      <c r="DE1270" s="3"/>
      <c r="DF1270" s="3"/>
    </row>
    <row r="1271" spans="8:110" x14ac:dyDescent="0.3">
      <c r="H1271" s="4">
        <f t="shared" si="199"/>
        <v>0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/>
      <c r="BK1271" s="3"/>
      <c r="BL1271" s="3"/>
      <c r="BM1271" s="3"/>
      <c r="BN1271" s="3"/>
      <c r="BO1271" s="3"/>
      <c r="BP1271" s="3"/>
      <c r="BQ1271" s="3"/>
      <c r="BR1271" s="3"/>
      <c r="BS1271" s="3"/>
      <c r="BT1271" s="3"/>
      <c r="BU1271" s="3"/>
      <c r="BV1271" s="3"/>
      <c r="BW1271" s="3"/>
      <c r="BX1271" s="3"/>
      <c r="BY1271" s="3"/>
      <c r="BZ1271" s="3"/>
      <c r="CA1271" s="3"/>
      <c r="CB1271" s="3"/>
      <c r="CC1271" s="3"/>
      <c r="CD1271" s="3"/>
      <c r="CE1271" s="3"/>
      <c r="CF1271" s="3"/>
      <c r="CG1271" s="3"/>
      <c r="CH1271" s="3"/>
      <c r="CI1271" s="3"/>
      <c r="CJ1271" s="3"/>
      <c r="CK1271" s="3"/>
      <c r="CL1271" s="3"/>
      <c r="CM1271" s="3"/>
      <c r="CN1271" s="3"/>
      <c r="CO1271" s="3"/>
      <c r="CP1271" s="3"/>
      <c r="CQ1271" s="3"/>
      <c r="CR1271" s="3"/>
      <c r="CS1271" s="3"/>
      <c r="CT1271" s="3"/>
      <c r="CU1271" s="3"/>
      <c r="CV1271" s="3"/>
      <c r="CW1271" s="3"/>
      <c r="CX1271" s="3"/>
      <c r="CY1271" s="3"/>
      <c r="CZ1271" s="3"/>
      <c r="DA1271" s="3"/>
      <c r="DB1271" s="3"/>
      <c r="DC1271" s="3"/>
      <c r="DD1271" s="3"/>
      <c r="DE1271" s="3"/>
      <c r="DF1271" s="3"/>
    </row>
    <row r="1272" spans="8:110" x14ac:dyDescent="0.3">
      <c r="H1272" s="4">
        <f t="shared" si="199"/>
        <v>0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3"/>
      <c r="BR1272" s="3"/>
      <c r="BS1272" s="3"/>
      <c r="BT1272" s="3"/>
      <c r="BU1272" s="3"/>
      <c r="BV1272" s="3"/>
      <c r="BW1272" s="3"/>
      <c r="BX1272" s="3"/>
      <c r="BY1272" s="3"/>
      <c r="BZ1272" s="3"/>
      <c r="CA1272" s="3"/>
      <c r="CB1272" s="3"/>
      <c r="CC1272" s="3"/>
      <c r="CD1272" s="3"/>
      <c r="CE1272" s="3"/>
      <c r="CF1272" s="3"/>
      <c r="CG1272" s="3"/>
      <c r="CH1272" s="3"/>
      <c r="CI1272" s="3"/>
      <c r="CJ1272" s="3"/>
      <c r="CK1272" s="3"/>
      <c r="CL1272" s="3"/>
      <c r="CM1272" s="3"/>
      <c r="CN1272" s="3"/>
      <c r="CO1272" s="3"/>
      <c r="CP1272" s="3"/>
      <c r="CQ1272" s="3"/>
      <c r="CR1272" s="3"/>
      <c r="CS1272" s="3"/>
      <c r="CT1272" s="3"/>
      <c r="CU1272" s="3"/>
      <c r="CV1272" s="3"/>
      <c r="CW1272" s="3"/>
      <c r="CX1272" s="3"/>
      <c r="CY1272" s="3"/>
      <c r="CZ1272" s="3"/>
      <c r="DA1272" s="3"/>
      <c r="DB1272" s="3"/>
      <c r="DC1272" s="3"/>
      <c r="DD1272" s="3"/>
      <c r="DE1272" s="3"/>
      <c r="DF1272" s="3"/>
    </row>
    <row r="1273" spans="8:110" x14ac:dyDescent="0.3">
      <c r="H1273" s="4">
        <f t="shared" si="199"/>
        <v>0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/>
      <c r="BK1273" s="3"/>
      <c r="BL1273" s="3"/>
      <c r="BM1273" s="3"/>
      <c r="BN1273" s="3"/>
      <c r="BO1273" s="3"/>
      <c r="BP1273" s="3"/>
      <c r="BQ1273" s="3"/>
      <c r="BR1273" s="3"/>
      <c r="BS1273" s="3"/>
      <c r="BT1273" s="3"/>
      <c r="BU1273" s="3"/>
      <c r="BV1273" s="3"/>
      <c r="BW1273" s="3"/>
      <c r="BX1273" s="3"/>
      <c r="BY1273" s="3"/>
      <c r="BZ1273" s="3"/>
      <c r="CA1273" s="3"/>
      <c r="CB1273" s="3"/>
      <c r="CC1273" s="3"/>
      <c r="CD1273" s="3"/>
      <c r="CE1273" s="3"/>
      <c r="CF1273" s="3"/>
      <c r="CG1273" s="3"/>
      <c r="CH1273" s="3"/>
      <c r="CI1273" s="3"/>
      <c r="CJ1273" s="3"/>
      <c r="CK1273" s="3"/>
      <c r="CL1273" s="3"/>
      <c r="CM1273" s="3"/>
      <c r="CN1273" s="3"/>
      <c r="CO1273" s="3"/>
      <c r="CP1273" s="3"/>
      <c r="CQ1273" s="3"/>
      <c r="CR1273" s="3"/>
      <c r="CS1273" s="3"/>
      <c r="CT1273" s="3"/>
      <c r="CU1273" s="3"/>
      <c r="CV1273" s="3"/>
      <c r="CW1273" s="3"/>
      <c r="CX1273" s="3"/>
      <c r="CY1273" s="3"/>
      <c r="CZ1273" s="3"/>
      <c r="DA1273" s="3"/>
      <c r="DB1273" s="3"/>
      <c r="DC1273" s="3"/>
      <c r="DD1273" s="3"/>
      <c r="DE1273" s="3"/>
      <c r="DF1273" s="3"/>
    </row>
    <row r="1274" spans="8:110" x14ac:dyDescent="0.3">
      <c r="H1274" s="4">
        <f t="shared" si="199"/>
        <v>0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3"/>
      <c r="BR1274" s="3"/>
      <c r="BS1274" s="3"/>
      <c r="BT1274" s="3"/>
      <c r="BU1274" s="3"/>
      <c r="BV1274" s="3"/>
      <c r="BW1274" s="3"/>
      <c r="BX1274" s="3"/>
      <c r="BY1274" s="3"/>
      <c r="BZ1274" s="3"/>
      <c r="CA1274" s="3"/>
      <c r="CB1274" s="3"/>
      <c r="CC1274" s="3"/>
      <c r="CD1274" s="3"/>
      <c r="CE1274" s="3"/>
      <c r="CF1274" s="3"/>
      <c r="CG1274" s="3"/>
      <c r="CH1274" s="3"/>
      <c r="CI1274" s="3"/>
      <c r="CJ1274" s="3"/>
      <c r="CK1274" s="3"/>
      <c r="CL1274" s="3"/>
      <c r="CM1274" s="3"/>
      <c r="CN1274" s="3"/>
      <c r="CO1274" s="3"/>
      <c r="CP1274" s="3"/>
      <c r="CQ1274" s="3"/>
      <c r="CR1274" s="3"/>
      <c r="CS1274" s="3"/>
      <c r="CT1274" s="3"/>
      <c r="CU1274" s="3"/>
      <c r="CV1274" s="3"/>
      <c r="CW1274" s="3"/>
      <c r="CX1274" s="3"/>
      <c r="CY1274" s="3"/>
      <c r="CZ1274" s="3"/>
      <c r="DA1274" s="3"/>
      <c r="DB1274" s="3"/>
      <c r="DC1274" s="3"/>
      <c r="DD1274" s="3"/>
      <c r="DE1274" s="3"/>
      <c r="DF1274" s="3"/>
    </row>
    <row r="1275" spans="8:110" x14ac:dyDescent="0.3">
      <c r="H1275" s="4">
        <f t="shared" si="199"/>
        <v>0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/>
      <c r="BK1275" s="3"/>
      <c r="BL1275" s="3"/>
      <c r="BM1275" s="3"/>
      <c r="BN1275" s="3"/>
      <c r="BO1275" s="3"/>
      <c r="BP1275" s="3"/>
      <c r="BQ1275" s="3"/>
      <c r="BR1275" s="3"/>
      <c r="BS1275" s="3"/>
      <c r="BT1275" s="3"/>
      <c r="BU1275" s="3"/>
      <c r="BV1275" s="3"/>
      <c r="BW1275" s="3"/>
      <c r="BX1275" s="3"/>
      <c r="BY1275" s="3"/>
      <c r="BZ1275" s="3"/>
      <c r="CA1275" s="3"/>
      <c r="CB1275" s="3"/>
      <c r="CC1275" s="3"/>
      <c r="CD1275" s="3"/>
      <c r="CE1275" s="3"/>
      <c r="CF1275" s="3"/>
      <c r="CG1275" s="3"/>
      <c r="CH1275" s="3"/>
      <c r="CI1275" s="3"/>
      <c r="CJ1275" s="3"/>
      <c r="CK1275" s="3"/>
      <c r="CL1275" s="3"/>
      <c r="CM1275" s="3"/>
      <c r="CN1275" s="3"/>
      <c r="CO1275" s="3"/>
      <c r="CP1275" s="3"/>
      <c r="CQ1275" s="3"/>
      <c r="CR1275" s="3"/>
      <c r="CS1275" s="3"/>
      <c r="CT1275" s="3"/>
      <c r="CU1275" s="3"/>
      <c r="CV1275" s="3"/>
      <c r="CW1275" s="3"/>
      <c r="CX1275" s="3"/>
      <c r="CY1275" s="3"/>
      <c r="CZ1275" s="3"/>
      <c r="DA1275" s="3"/>
      <c r="DB1275" s="3"/>
      <c r="DC1275" s="3"/>
      <c r="DD1275" s="3"/>
      <c r="DE1275" s="3"/>
      <c r="DF1275" s="3"/>
    </row>
    <row r="1276" spans="8:110" x14ac:dyDescent="0.3">
      <c r="H1276" s="4">
        <f t="shared" si="199"/>
        <v>0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  <c r="BM1276" s="3"/>
      <c r="BN1276" s="3"/>
      <c r="BO1276" s="3"/>
      <c r="BP1276" s="3"/>
      <c r="BQ1276" s="3"/>
      <c r="BR1276" s="3"/>
      <c r="BS1276" s="3"/>
      <c r="BT1276" s="3"/>
      <c r="BU1276" s="3"/>
      <c r="BV1276" s="3"/>
      <c r="BW1276" s="3"/>
      <c r="BX1276" s="3"/>
      <c r="BY1276" s="3"/>
      <c r="BZ1276" s="3"/>
      <c r="CA1276" s="3"/>
      <c r="CB1276" s="3"/>
      <c r="CC1276" s="3"/>
      <c r="CD1276" s="3"/>
      <c r="CE1276" s="3"/>
      <c r="CF1276" s="3"/>
      <c r="CG1276" s="3"/>
      <c r="CH1276" s="3"/>
      <c r="CI1276" s="3"/>
      <c r="CJ1276" s="3"/>
      <c r="CK1276" s="3"/>
      <c r="CL1276" s="3"/>
      <c r="CM1276" s="3"/>
      <c r="CN1276" s="3"/>
      <c r="CO1276" s="3"/>
      <c r="CP1276" s="3"/>
      <c r="CQ1276" s="3"/>
      <c r="CR1276" s="3"/>
      <c r="CS1276" s="3"/>
      <c r="CT1276" s="3"/>
      <c r="CU1276" s="3"/>
      <c r="CV1276" s="3"/>
      <c r="CW1276" s="3"/>
      <c r="CX1276" s="3"/>
      <c r="CY1276" s="3"/>
      <c r="CZ1276" s="3"/>
      <c r="DA1276" s="3"/>
      <c r="DB1276" s="3"/>
      <c r="DC1276" s="3"/>
      <c r="DD1276" s="3"/>
      <c r="DE1276" s="3"/>
      <c r="DF1276" s="3"/>
    </row>
    <row r="1277" spans="8:110" x14ac:dyDescent="0.3">
      <c r="H1277" s="4">
        <f t="shared" si="199"/>
        <v>0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/>
      <c r="BK1277" s="3"/>
      <c r="BL1277" s="3"/>
      <c r="BM1277" s="3"/>
      <c r="BN1277" s="3"/>
      <c r="BO1277" s="3"/>
      <c r="BP1277" s="3"/>
      <c r="BQ1277" s="3"/>
      <c r="BR1277" s="3"/>
      <c r="BS1277" s="3"/>
      <c r="BT1277" s="3"/>
      <c r="BU1277" s="3"/>
      <c r="BV1277" s="3"/>
      <c r="BW1277" s="3"/>
      <c r="BX1277" s="3"/>
      <c r="BY1277" s="3"/>
      <c r="BZ1277" s="3"/>
      <c r="CA1277" s="3"/>
      <c r="CB1277" s="3"/>
      <c r="CC1277" s="3"/>
      <c r="CD1277" s="3"/>
      <c r="CE1277" s="3"/>
      <c r="CF1277" s="3"/>
      <c r="CG1277" s="3"/>
      <c r="CH1277" s="3"/>
      <c r="CI1277" s="3"/>
      <c r="CJ1277" s="3"/>
      <c r="CK1277" s="3"/>
      <c r="CL1277" s="3"/>
      <c r="CM1277" s="3"/>
      <c r="CN1277" s="3"/>
      <c r="CO1277" s="3"/>
      <c r="CP1277" s="3"/>
      <c r="CQ1277" s="3"/>
      <c r="CR1277" s="3"/>
      <c r="CS1277" s="3"/>
      <c r="CT1277" s="3"/>
      <c r="CU1277" s="3"/>
      <c r="CV1277" s="3"/>
      <c r="CW1277" s="3"/>
      <c r="CX1277" s="3"/>
      <c r="CY1277" s="3"/>
      <c r="CZ1277" s="3"/>
      <c r="DA1277" s="3"/>
      <c r="DB1277" s="3"/>
      <c r="DC1277" s="3"/>
      <c r="DD1277" s="3"/>
      <c r="DE1277" s="3"/>
      <c r="DF1277" s="3"/>
    </row>
    <row r="1278" spans="8:110" x14ac:dyDescent="0.3">
      <c r="H1278" s="4">
        <f t="shared" ref="H1278:H1341" si="200">D1278-C1278</f>
        <v>0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  <c r="BK1278" s="3"/>
      <c r="BL1278" s="3"/>
      <c r="BM1278" s="3"/>
      <c r="BN1278" s="3"/>
      <c r="BO1278" s="3"/>
      <c r="BP1278" s="3"/>
      <c r="BQ1278" s="3"/>
      <c r="BR1278" s="3"/>
      <c r="BS1278" s="3"/>
      <c r="BT1278" s="3"/>
      <c r="BU1278" s="3"/>
      <c r="BV1278" s="3"/>
      <c r="BW1278" s="3"/>
      <c r="BX1278" s="3"/>
      <c r="BY1278" s="3"/>
      <c r="BZ1278" s="3"/>
      <c r="CA1278" s="3"/>
      <c r="CB1278" s="3"/>
      <c r="CC1278" s="3"/>
      <c r="CD1278" s="3"/>
      <c r="CE1278" s="3"/>
      <c r="CF1278" s="3"/>
      <c r="CG1278" s="3"/>
      <c r="CH1278" s="3"/>
      <c r="CI1278" s="3"/>
      <c r="CJ1278" s="3"/>
      <c r="CK1278" s="3"/>
      <c r="CL1278" s="3"/>
      <c r="CM1278" s="3"/>
      <c r="CN1278" s="3"/>
      <c r="CO1278" s="3"/>
      <c r="CP1278" s="3"/>
      <c r="CQ1278" s="3"/>
      <c r="CR1278" s="3"/>
      <c r="CS1278" s="3"/>
      <c r="CT1278" s="3"/>
      <c r="CU1278" s="3"/>
      <c r="CV1278" s="3"/>
      <c r="CW1278" s="3"/>
      <c r="CX1278" s="3"/>
      <c r="CY1278" s="3"/>
      <c r="CZ1278" s="3"/>
      <c r="DA1278" s="3"/>
      <c r="DB1278" s="3"/>
      <c r="DC1278" s="3"/>
      <c r="DD1278" s="3"/>
      <c r="DE1278" s="3"/>
      <c r="DF1278" s="3"/>
    </row>
    <row r="1279" spans="8:110" x14ac:dyDescent="0.3">
      <c r="H1279" s="4">
        <f t="shared" si="200"/>
        <v>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/>
      <c r="BK1279" s="3"/>
      <c r="BL1279" s="3"/>
      <c r="BM1279" s="3"/>
      <c r="BN1279" s="3"/>
      <c r="BO1279" s="3"/>
      <c r="BP1279" s="3"/>
      <c r="BQ1279" s="3"/>
      <c r="BR1279" s="3"/>
      <c r="BS1279" s="3"/>
      <c r="BT1279" s="3"/>
      <c r="BU1279" s="3"/>
      <c r="BV1279" s="3"/>
      <c r="BW1279" s="3"/>
      <c r="BX1279" s="3"/>
      <c r="BY1279" s="3"/>
      <c r="BZ1279" s="3"/>
      <c r="CA1279" s="3"/>
      <c r="CB1279" s="3"/>
      <c r="CC1279" s="3"/>
      <c r="CD1279" s="3"/>
      <c r="CE1279" s="3"/>
      <c r="CF1279" s="3"/>
      <c r="CG1279" s="3"/>
      <c r="CH1279" s="3"/>
      <c r="CI1279" s="3"/>
      <c r="CJ1279" s="3"/>
      <c r="CK1279" s="3"/>
      <c r="CL1279" s="3"/>
      <c r="CM1279" s="3"/>
      <c r="CN1279" s="3"/>
      <c r="CO1279" s="3"/>
      <c r="CP1279" s="3"/>
      <c r="CQ1279" s="3"/>
      <c r="CR1279" s="3"/>
      <c r="CS1279" s="3"/>
      <c r="CT1279" s="3"/>
      <c r="CU1279" s="3"/>
      <c r="CV1279" s="3"/>
      <c r="CW1279" s="3"/>
      <c r="CX1279" s="3"/>
      <c r="CY1279" s="3"/>
      <c r="CZ1279" s="3"/>
      <c r="DA1279" s="3"/>
      <c r="DB1279" s="3"/>
      <c r="DC1279" s="3"/>
      <c r="DD1279" s="3"/>
      <c r="DE1279" s="3"/>
      <c r="DF1279" s="3"/>
    </row>
    <row r="1280" spans="8:110" x14ac:dyDescent="0.3">
      <c r="H1280" s="4">
        <f t="shared" si="200"/>
        <v>0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/>
      <c r="BP1280" s="3"/>
      <c r="BQ1280" s="3"/>
      <c r="BR1280" s="3"/>
      <c r="BS1280" s="3"/>
      <c r="BT1280" s="3"/>
      <c r="BU1280" s="3"/>
      <c r="BV1280" s="3"/>
      <c r="BW1280" s="3"/>
      <c r="BX1280" s="3"/>
      <c r="BY1280" s="3"/>
      <c r="BZ1280" s="3"/>
      <c r="CA1280" s="3"/>
      <c r="CB1280" s="3"/>
      <c r="CC1280" s="3"/>
      <c r="CD1280" s="3"/>
      <c r="CE1280" s="3"/>
      <c r="CF1280" s="3"/>
      <c r="CG1280" s="3"/>
      <c r="CH1280" s="3"/>
      <c r="CI1280" s="3"/>
      <c r="CJ1280" s="3"/>
      <c r="CK1280" s="3"/>
      <c r="CL1280" s="3"/>
      <c r="CM1280" s="3"/>
      <c r="CN1280" s="3"/>
      <c r="CO1280" s="3"/>
      <c r="CP1280" s="3"/>
      <c r="CQ1280" s="3"/>
      <c r="CR1280" s="3"/>
      <c r="CS1280" s="3"/>
      <c r="CT1280" s="3"/>
      <c r="CU1280" s="3"/>
      <c r="CV1280" s="3"/>
      <c r="CW1280" s="3"/>
      <c r="CX1280" s="3"/>
      <c r="CY1280" s="3"/>
      <c r="CZ1280" s="3"/>
      <c r="DA1280" s="3"/>
      <c r="DB1280" s="3"/>
      <c r="DC1280" s="3"/>
      <c r="DD1280" s="3"/>
      <c r="DE1280" s="3"/>
      <c r="DF1280" s="3"/>
    </row>
    <row r="1281" spans="8:110" x14ac:dyDescent="0.3">
      <c r="H1281" s="4">
        <f t="shared" si="200"/>
        <v>0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/>
      <c r="BN1281" s="3"/>
      <c r="BO1281" s="3"/>
      <c r="BP1281" s="3"/>
      <c r="BQ1281" s="3"/>
      <c r="BR1281" s="3"/>
      <c r="BS1281" s="3"/>
      <c r="BT1281" s="3"/>
      <c r="BU1281" s="3"/>
      <c r="BV1281" s="3"/>
      <c r="BW1281" s="3"/>
      <c r="BX1281" s="3"/>
      <c r="BY1281" s="3"/>
      <c r="BZ1281" s="3"/>
      <c r="CA1281" s="3"/>
      <c r="CB1281" s="3"/>
      <c r="CC1281" s="3"/>
      <c r="CD1281" s="3"/>
      <c r="CE1281" s="3"/>
      <c r="CF1281" s="3"/>
      <c r="CG1281" s="3"/>
      <c r="CH1281" s="3"/>
      <c r="CI1281" s="3"/>
      <c r="CJ1281" s="3"/>
      <c r="CK1281" s="3"/>
      <c r="CL1281" s="3"/>
      <c r="CM1281" s="3"/>
      <c r="CN1281" s="3"/>
      <c r="CO1281" s="3"/>
      <c r="CP1281" s="3"/>
      <c r="CQ1281" s="3"/>
      <c r="CR1281" s="3"/>
      <c r="CS1281" s="3"/>
      <c r="CT1281" s="3"/>
      <c r="CU1281" s="3"/>
      <c r="CV1281" s="3"/>
      <c r="CW1281" s="3"/>
      <c r="CX1281" s="3"/>
      <c r="CY1281" s="3"/>
      <c r="CZ1281" s="3"/>
      <c r="DA1281" s="3"/>
      <c r="DB1281" s="3"/>
      <c r="DC1281" s="3"/>
      <c r="DD1281" s="3"/>
      <c r="DE1281" s="3"/>
      <c r="DF1281" s="3"/>
    </row>
    <row r="1282" spans="8:110" x14ac:dyDescent="0.3">
      <c r="H1282" s="4">
        <f t="shared" si="200"/>
        <v>0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/>
      <c r="BZ1282" s="3"/>
      <c r="CA1282" s="3"/>
      <c r="CB1282" s="3"/>
      <c r="CC1282" s="3"/>
      <c r="CD1282" s="3"/>
      <c r="CE1282" s="3"/>
      <c r="CF1282" s="3"/>
      <c r="CG1282" s="3"/>
      <c r="CH1282" s="3"/>
      <c r="CI1282" s="3"/>
      <c r="CJ1282" s="3"/>
      <c r="CK1282" s="3"/>
      <c r="CL1282" s="3"/>
      <c r="CM1282" s="3"/>
      <c r="CN1282" s="3"/>
      <c r="CO1282" s="3"/>
      <c r="CP1282" s="3"/>
      <c r="CQ1282" s="3"/>
      <c r="CR1282" s="3"/>
      <c r="CS1282" s="3"/>
      <c r="CT1282" s="3"/>
      <c r="CU1282" s="3"/>
      <c r="CV1282" s="3"/>
      <c r="CW1282" s="3"/>
      <c r="CX1282" s="3"/>
      <c r="CY1282" s="3"/>
      <c r="CZ1282" s="3"/>
      <c r="DA1282" s="3"/>
      <c r="DB1282" s="3"/>
      <c r="DC1282" s="3"/>
      <c r="DD1282" s="3"/>
      <c r="DE1282" s="3"/>
      <c r="DF1282" s="3"/>
    </row>
    <row r="1283" spans="8:110" x14ac:dyDescent="0.3">
      <c r="H1283" s="4">
        <f t="shared" si="200"/>
        <v>0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  <c r="BQ1283" s="3"/>
      <c r="BR1283" s="3"/>
      <c r="BS1283" s="3"/>
      <c r="BT1283" s="3"/>
      <c r="BU1283" s="3"/>
      <c r="BV1283" s="3"/>
      <c r="BW1283" s="3"/>
      <c r="BX1283" s="3"/>
      <c r="BY1283" s="3"/>
      <c r="BZ1283" s="3"/>
      <c r="CA1283" s="3"/>
      <c r="CB1283" s="3"/>
      <c r="CC1283" s="3"/>
      <c r="CD1283" s="3"/>
      <c r="CE1283" s="3"/>
      <c r="CF1283" s="3"/>
      <c r="CG1283" s="3"/>
      <c r="CH1283" s="3"/>
      <c r="CI1283" s="3"/>
      <c r="CJ1283" s="3"/>
      <c r="CK1283" s="3"/>
      <c r="CL1283" s="3"/>
      <c r="CM1283" s="3"/>
      <c r="CN1283" s="3"/>
      <c r="CO1283" s="3"/>
      <c r="CP1283" s="3"/>
      <c r="CQ1283" s="3"/>
      <c r="CR1283" s="3"/>
      <c r="CS1283" s="3"/>
      <c r="CT1283" s="3"/>
      <c r="CU1283" s="3"/>
      <c r="CV1283" s="3"/>
      <c r="CW1283" s="3"/>
      <c r="CX1283" s="3"/>
      <c r="CY1283" s="3"/>
      <c r="CZ1283" s="3"/>
      <c r="DA1283" s="3"/>
      <c r="DB1283" s="3"/>
      <c r="DC1283" s="3"/>
      <c r="DD1283" s="3"/>
      <c r="DE1283" s="3"/>
      <c r="DF1283" s="3"/>
    </row>
    <row r="1284" spans="8:110" x14ac:dyDescent="0.3">
      <c r="H1284" s="4">
        <f t="shared" si="200"/>
        <v>0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  <c r="BZ1284" s="3"/>
      <c r="CA1284" s="3"/>
      <c r="CB1284" s="3"/>
      <c r="CC1284" s="3"/>
      <c r="CD1284" s="3"/>
      <c r="CE1284" s="3"/>
      <c r="CF1284" s="3"/>
      <c r="CG1284" s="3"/>
      <c r="CH1284" s="3"/>
      <c r="CI1284" s="3"/>
      <c r="CJ1284" s="3"/>
      <c r="CK1284" s="3"/>
      <c r="CL1284" s="3"/>
      <c r="CM1284" s="3"/>
      <c r="CN1284" s="3"/>
      <c r="CO1284" s="3"/>
      <c r="CP1284" s="3"/>
      <c r="CQ1284" s="3"/>
      <c r="CR1284" s="3"/>
      <c r="CS1284" s="3"/>
      <c r="CT1284" s="3"/>
      <c r="CU1284" s="3"/>
      <c r="CV1284" s="3"/>
      <c r="CW1284" s="3"/>
      <c r="CX1284" s="3"/>
      <c r="CY1284" s="3"/>
      <c r="CZ1284" s="3"/>
      <c r="DA1284" s="3"/>
      <c r="DB1284" s="3"/>
      <c r="DC1284" s="3"/>
      <c r="DD1284" s="3"/>
      <c r="DE1284" s="3"/>
      <c r="DF1284" s="3"/>
    </row>
    <row r="1285" spans="8:110" x14ac:dyDescent="0.3">
      <c r="H1285" s="4">
        <f t="shared" si="200"/>
        <v>0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/>
      <c r="BN1285" s="3"/>
      <c r="BO1285" s="3"/>
      <c r="BP1285" s="3"/>
      <c r="BQ1285" s="3"/>
      <c r="BR1285" s="3"/>
      <c r="BS1285" s="3"/>
      <c r="BT1285" s="3"/>
      <c r="BU1285" s="3"/>
      <c r="BV1285" s="3"/>
      <c r="BW1285" s="3"/>
      <c r="BX1285" s="3"/>
      <c r="BY1285" s="3"/>
      <c r="BZ1285" s="3"/>
      <c r="CA1285" s="3"/>
      <c r="CB1285" s="3"/>
      <c r="CC1285" s="3"/>
      <c r="CD1285" s="3"/>
      <c r="CE1285" s="3"/>
      <c r="CF1285" s="3"/>
      <c r="CG1285" s="3"/>
      <c r="CH1285" s="3"/>
      <c r="CI1285" s="3"/>
      <c r="CJ1285" s="3"/>
      <c r="CK1285" s="3"/>
      <c r="CL1285" s="3"/>
      <c r="CM1285" s="3"/>
      <c r="CN1285" s="3"/>
      <c r="CO1285" s="3"/>
      <c r="CP1285" s="3"/>
      <c r="CQ1285" s="3"/>
      <c r="CR1285" s="3"/>
      <c r="CS1285" s="3"/>
      <c r="CT1285" s="3"/>
      <c r="CU1285" s="3"/>
      <c r="CV1285" s="3"/>
      <c r="CW1285" s="3"/>
      <c r="CX1285" s="3"/>
      <c r="CY1285" s="3"/>
      <c r="CZ1285" s="3"/>
      <c r="DA1285" s="3"/>
      <c r="DB1285" s="3"/>
      <c r="DC1285" s="3"/>
      <c r="DD1285" s="3"/>
      <c r="DE1285" s="3"/>
      <c r="DF1285" s="3"/>
    </row>
    <row r="1286" spans="8:110" x14ac:dyDescent="0.3">
      <c r="H1286" s="4">
        <f t="shared" si="200"/>
        <v>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  <c r="BZ1286" s="3"/>
      <c r="CA1286" s="3"/>
      <c r="CB1286" s="3"/>
      <c r="CC1286" s="3"/>
      <c r="CD1286" s="3"/>
      <c r="CE1286" s="3"/>
      <c r="CF1286" s="3"/>
      <c r="CG1286" s="3"/>
      <c r="CH1286" s="3"/>
      <c r="CI1286" s="3"/>
      <c r="CJ1286" s="3"/>
      <c r="CK1286" s="3"/>
      <c r="CL1286" s="3"/>
      <c r="CM1286" s="3"/>
      <c r="CN1286" s="3"/>
      <c r="CO1286" s="3"/>
      <c r="CP1286" s="3"/>
      <c r="CQ1286" s="3"/>
      <c r="CR1286" s="3"/>
      <c r="CS1286" s="3"/>
      <c r="CT1286" s="3"/>
      <c r="CU1286" s="3"/>
      <c r="CV1286" s="3"/>
      <c r="CW1286" s="3"/>
      <c r="CX1286" s="3"/>
      <c r="CY1286" s="3"/>
      <c r="CZ1286" s="3"/>
      <c r="DA1286" s="3"/>
      <c r="DB1286" s="3"/>
      <c r="DC1286" s="3"/>
      <c r="DD1286" s="3"/>
      <c r="DE1286" s="3"/>
      <c r="DF1286" s="3"/>
    </row>
    <row r="1287" spans="8:110" x14ac:dyDescent="0.3">
      <c r="H1287" s="4">
        <f t="shared" si="200"/>
        <v>0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  <c r="BM1287" s="3"/>
      <c r="BN1287" s="3"/>
      <c r="BO1287" s="3"/>
      <c r="BP1287" s="3"/>
      <c r="BQ1287" s="3"/>
      <c r="BR1287" s="3"/>
      <c r="BS1287" s="3"/>
      <c r="BT1287" s="3"/>
      <c r="BU1287" s="3"/>
      <c r="BV1287" s="3"/>
      <c r="BW1287" s="3"/>
      <c r="BX1287" s="3"/>
      <c r="BY1287" s="3"/>
      <c r="BZ1287" s="3"/>
      <c r="CA1287" s="3"/>
      <c r="CB1287" s="3"/>
      <c r="CC1287" s="3"/>
      <c r="CD1287" s="3"/>
      <c r="CE1287" s="3"/>
      <c r="CF1287" s="3"/>
      <c r="CG1287" s="3"/>
      <c r="CH1287" s="3"/>
      <c r="CI1287" s="3"/>
      <c r="CJ1287" s="3"/>
      <c r="CK1287" s="3"/>
      <c r="CL1287" s="3"/>
      <c r="CM1287" s="3"/>
      <c r="CN1287" s="3"/>
      <c r="CO1287" s="3"/>
      <c r="CP1287" s="3"/>
      <c r="CQ1287" s="3"/>
      <c r="CR1287" s="3"/>
      <c r="CS1287" s="3"/>
      <c r="CT1287" s="3"/>
      <c r="CU1287" s="3"/>
      <c r="CV1287" s="3"/>
      <c r="CW1287" s="3"/>
      <c r="CX1287" s="3"/>
      <c r="CY1287" s="3"/>
      <c r="CZ1287" s="3"/>
      <c r="DA1287" s="3"/>
      <c r="DB1287" s="3"/>
      <c r="DC1287" s="3"/>
      <c r="DD1287" s="3"/>
      <c r="DE1287" s="3"/>
      <c r="DF1287" s="3"/>
    </row>
    <row r="1288" spans="8:110" x14ac:dyDescent="0.3">
      <c r="H1288" s="4">
        <f t="shared" si="200"/>
        <v>0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3"/>
      <c r="BR1288" s="3"/>
      <c r="BS1288" s="3"/>
      <c r="BT1288" s="3"/>
      <c r="BU1288" s="3"/>
      <c r="BV1288" s="3"/>
      <c r="BW1288" s="3"/>
      <c r="BX1288" s="3"/>
      <c r="BY1288" s="3"/>
      <c r="BZ1288" s="3"/>
      <c r="CA1288" s="3"/>
      <c r="CB1288" s="3"/>
      <c r="CC1288" s="3"/>
      <c r="CD1288" s="3"/>
      <c r="CE1288" s="3"/>
      <c r="CF1288" s="3"/>
      <c r="CG1288" s="3"/>
      <c r="CH1288" s="3"/>
      <c r="CI1288" s="3"/>
      <c r="CJ1288" s="3"/>
      <c r="CK1288" s="3"/>
      <c r="CL1288" s="3"/>
      <c r="CM1288" s="3"/>
      <c r="CN1288" s="3"/>
      <c r="CO1288" s="3"/>
      <c r="CP1288" s="3"/>
      <c r="CQ1288" s="3"/>
      <c r="CR1288" s="3"/>
      <c r="CS1288" s="3"/>
      <c r="CT1288" s="3"/>
      <c r="CU1288" s="3"/>
      <c r="CV1288" s="3"/>
      <c r="CW1288" s="3"/>
      <c r="CX1288" s="3"/>
      <c r="CY1288" s="3"/>
      <c r="CZ1288" s="3"/>
      <c r="DA1288" s="3"/>
      <c r="DB1288" s="3"/>
      <c r="DC1288" s="3"/>
      <c r="DD1288" s="3"/>
      <c r="DE1288" s="3"/>
      <c r="DF1288" s="3"/>
    </row>
    <row r="1289" spans="8:110" x14ac:dyDescent="0.3">
      <c r="H1289" s="4">
        <f t="shared" si="200"/>
        <v>0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/>
      <c r="BK1289" s="3"/>
      <c r="BL1289" s="3"/>
      <c r="BM1289" s="3"/>
      <c r="BN1289" s="3"/>
      <c r="BO1289" s="3"/>
      <c r="BP1289" s="3"/>
      <c r="BQ1289" s="3"/>
      <c r="BR1289" s="3"/>
      <c r="BS1289" s="3"/>
      <c r="BT1289" s="3"/>
      <c r="BU1289" s="3"/>
      <c r="BV1289" s="3"/>
      <c r="BW1289" s="3"/>
      <c r="BX1289" s="3"/>
      <c r="BY1289" s="3"/>
      <c r="BZ1289" s="3"/>
      <c r="CA1289" s="3"/>
      <c r="CB1289" s="3"/>
      <c r="CC1289" s="3"/>
      <c r="CD1289" s="3"/>
      <c r="CE1289" s="3"/>
      <c r="CF1289" s="3"/>
      <c r="CG1289" s="3"/>
      <c r="CH1289" s="3"/>
      <c r="CI1289" s="3"/>
      <c r="CJ1289" s="3"/>
      <c r="CK1289" s="3"/>
      <c r="CL1289" s="3"/>
      <c r="CM1289" s="3"/>
      <c r="CN1289" s="3"/>
      <c r="CO1289" s="3"/>
      <c r="CP1289" s="3"/>
      <c r="CQ1289" s="3"/>
      <c r="CR1289" s="3"/>
      <c r="CS1289" s="3"/>
      <c r="CT1289" s="3"/>
      <c r="CU1289" s="3"/>
      <c r="CV1289" s="3"/>
      <c r="CW1289" s="3"/>
      <c r="CX1289" s="3"/>
      <c r="CY1289" s="3"/>
      <c r="CZ1289" s="3"/>
      <c r="DA1289" s="3"/>
      <c r="DB1289" s="3"/>
      <c r="DC1289" s="3"/>
      <c r="DD1289" s="3"/>
      <c r="DE1289" s="3"/>
      <c r="DF1289" s="3"/>
    </row>
    <row r="1290" spans="8:110" x14ac:dyDescent="0.3">
      <c r="H1290" s="4">
        <f t="shared" si="200"/>
        <v>0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3"/>
      <c r="BO1290" s="3"/>
      <c r="BP1290" s="3"/>
      <c r="BQ1290" s="3"/>
      <c r="BR1290" s="3"/>
      <c r="BS1290" s="3"/>
      <c r="BT1290" s="3"/>
      <c r="BU1290" s="3"/>
      <c r="BV1290" s="3"/>
      <c r="BW1290" s="3"/>
      <c r="BX1290" s="3"/>
      <c r="BY1290" s="3"/>
      <c r="BZ1290" s="3"/>
      <c r="CA1290" s="3"/>
      <c r="CB1290" s="3"/>
      <c r="CC1290" s="3"/>
      <c r="CD1290" s="3"/>
      <c r="CE1290" s="3"/>
      <c r="CF1290" s="3"/>
      <c r="CG1290" s="3"/>
      <c r="CH1290" s="3"/>
      <c r="CI1290" s="3"/>
      <c r="CJ1290" s="3"/>
      <c r="CK1290" s="3"/>
      <c r="CL1290" s="3"/>
      <c r="CM1290" s="3"/>
      <c r="CN1290" s="3"/>
      <c r="CO1290" s="3"/>
      <c r="CP1290" s="3"/>
      <c r="CQ1290" s="3"/>
      <c r="CR1290" s="3"/>
      <c r="CS1290" s="3"/>
      <c r="CT1290" s="3"/>
      <c r="CU1290" s="3"/>
      <c r="CV1290" s="3"/>
      <c r="CW1290" s="3"/>
      <c r="CX1290" s="3"/>
      <c r="CY1290" s="3"/>
      <c r="CZ1290" s="3"/>
      <c r="DA1290" s="3"/>
      <c r="DB1290" s="3"/>
      <c r="DC1290" s="3"/>
      <c r="DD1290" s="3"/>
      <c r="DE1290" s="3"/>
      <c r="DF1290" s="3"/>
    </row>
    <row r="1291" spans="8:110" x14ac:dyDescent="0.3">
      <c r="H1291" s="4">
        <f t="shared" si="200"/>
        <v>0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/>
      <c r="BK1291" s="3"/>
      <c r="BL1291" s="3"/>
      <c r="BM1291" s="3"/>
      <c r="BN1291" s="3"/>
      <c r="BO1291" s="3"/>
      <c r="BP1291" s="3"/>
      <c r="BQ1291" s="3"/>
      <c r="BR1291" s="3"/>
      <c r="BS1291" s="3"/>
      <c r="BT1291" s="3"/>
      <c r="BU1291" s="3"/>
      <c r="BV1291" s="3"/>
      <c r="BW1291" s="3"/>
      <c r="BX1291" s="3"/>
      <c r="BY1291" s="3"/>
      <c r="BZ1291" s="3"/>
      <c r="CA1291" s="3"/>
      <c r="CB1291" s="3"/>
      <c r="CC1291" s="3"/>
      <c r="CD1291" s="3"/>
      <c r="CE1291" s="3"/>
      <c r="CF1291" s="3"/>
      <c r="CG1291" s="3"/>
      <c r="CH1291" s="3"/>
      <c r="CI1291" s="3"/>
      <c r="CJ1291" s="3"/>
      <c r="CK1291" s="3"/>
      <c r="CL1291" s="3"/>
      <c r="CM1291" s="3"/>
      <c r="CN1291" s="3"/>
      <c r="CO1291" s="3"/>
      <c r="CP1291" s="3"/>
      <c r="CQ1291" s="3"/>
      <c r="CR1291" s="3"/>
      <c r="CS1291" s="3"/>
      <c r="CT1291" s="3"/>
      <c r="CU1291" s="3"/>
      <c r="CV1291" s="3"/>
      <c r="CW1291" s="3"/>
      <c r="CX1291" s="3"/>
      <c r="CY1291" s="3"/>
      <c r="CZ1291" s="3"/>
      <c r="DA1291" s="3"/>
      <c r="DB1291" s="3"/>
      <c r="DC1291" s="3"/>
      <c r="DD1291" s="3"/>
      <c r="DE1291" s="3"/>
      <c r="DF1291" s="3"/>
    </row>
    <row r="1292" spans="8:110" x14ac:dyDescent="0.3">
      <c r="H1292" s="4">
        <f t="shared" si="200"/>
        <v>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  <c r="BM1292" s="3"/>
      <c r="BN1292" s="3"/>
      <c r="BO1292" s="3"/>
      <c r="BP1292" s="3"/>
      <c r="BQ1292" s="3"/>
      <c r="BR1292" s="3"/>
      <c r="BS1292" s="3"/>
      <c r="BT1292" s="3"/>
      <c r="BU1292" s="3"/>
      <c r="BV1292" s="3"/>
      <c r="BW1292" s="3"/>
      <c r="BX1292" s="3"/>
      <c r="BY1292" s="3"/>
      <c r="BZ1292" s="3"/>
      <c r="CA1292" s="3"/>
      <c r="CB1292" s="3"/>
      <c r="CC1292" s="3"/>
      <c r="CD1292" s="3"/>
      <c r="CE1292" s="3"/>
      <c r="CF1292" s="3"/>
      <c r="CG1292" s="3"/>
      <c r="CH1292" s="3"/>
      <c r="CI1292" s="3"/>
      <c r="CJ1292" s="3"/>
      <c r="CK1292" s="3"/>
      <c r="CL1292" s="3"/>
      <c r="CM1292" s="3"/>
      <c r="CN1292" s="3"/>
      <c r="CO1292" s="3"/>
      <c r="CP1292" s="3"/>
      <c r="CQ1292" s="3"/>
      <c r="CR1292" s="3"/>
      <c r="CS1292" s="3"/>
      <c r="CT1292" s="3"/>
      <c r="CU1292" s="3"/>
      <c r="CV1292" s="3"/>
      <c r="CW1292" s="3"/>
      <c r="CX1292" s="3"/>
      <c r="CY1292" s="3"/>
      <c r="CZ1292" s="3"/>
      <c r="DA1292" s="3"/>
      <c r="DB1292" s="3"/>
      <c r="DC1292" s="3"/>
      <c r="DD1292" s="3"/>
      <c r="DE1292" s="3"/>
      <c r="DF1292" s="3"/>
    </row>
    <row r="1293" spans="8:110" x14ac:dyDescent="0.3">
      <c r="H1293" s="4">
        <f t="shared" si="200"/>
        <v>0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/>
      <c r="BK1293" s="3"/>
      <c r="BL1293" s="3"/>
      <c r="BM1293" s="3"/>
      <c r="BN1293" s="3"/>
      <c r="BO1293" s="3"/>
      <c r="BP1293" s="3"/>
      <c r="BQ1293" s="3"/>
      <c r="BR1293" s="3"/>
      <c r="BS1293" s="3"/>
      <c r="BT1293" s="3"/>
      <c r="BU1293" s="3"/>
      <c r="BV1293" s="3"/>
      <c r="BW1293" s="3"/>
      <c r="BX1293" s="3"/>
      <c r="BY1293" s="3"/>
      <c r="BZ1293" s="3"/>
      <c r="CA1293" s="3"/>
      <c r="CB1293" s="3"/>
      <c r="CC1293" s="3"/>
      <c r="CD1293" s="3"/>
      <c r="CE1293" s="3"/>
      <c r="CF1293" s="3"/>
      <c r="CG1293" s="3"/>
      <c r="CH1293" s="3"/>
      <c r="CI1293" s="3"/>
      <c r="CJ1293" s="3"/>
      <c r="CK1293" s="3"/>
      <c r="CL1293" s="3"/>
      <c r="CM1293" s="3"/>
      <c r="CN1293" s="3"/>
      <c r="CO1293" s="3"/>
      <c r="CP1293" s="3"/>
      <c r="CQ1293" s="3"/>
      <c r="CR1293" s="3"/>
      <c r="CS1293" s="3"/>
      <c r="CT1293" s="3"/>
      <c r="CU1293" s="3"/>
      <c r="CV1293" s="3"/>
      <c r="CW1293" s="3"/>
      <c r="CX1293" s="3"/>
      <c r="CY1293" s="3"/>
      <c r="CZ1293" s="3"/>
      <c r="DA1293" s="3"/>
      <c r="DB1293" s="3"/>
      <c r="DC1293" s="3"/>
      <c r="DD1293" s="3"/>
      <c r="DE1293" s="3"/>
      <c r="DF1293" s="3"/>
    </row>
    <row r="1294" spans="8:110" x14ac:dyDescent="0.3">
      <c r="H1294" s="4">
        <f t="shared" si="200"/>
        <v>0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3"/>
      <c r="BR1294" s="3"/>
      <c r="BS1294" s="3"/>
      <c r="BT1294" s="3"/>
      <c r="BU1294" s="3"/>
      <c r="BV1294" s="3"/>
      <c r="BW1294" s="3"/>
      <c r="BX1294" s="3"/>
      <c r="BY1294" s="3"/>
      <c r="BZ1294" s="3"/>
      <c r="CA1294" s="3"/>
      <c r="CB1294" s="3"/>
      <c r="CC1294" s="3"/>
      <c r="CD1294" s="3"/>
      <c r="CE1294" s="3"/>
      <c r="CF1294" s="3"/>
      <c r="CG1294" s="3"/>
      <c r="CH1294" s="3"/>
      <c r="CI1294" s="3"/>
      <c r="CJ1294" s="3"/>
      <c r="CK1294" s="3"/>
      <c r="CL1294" s="3"/>
      <c r="CM1294" s="3"/>
      <c r="CN1294" s="3"/>
      <c r="CO1294" s="3"/>
      <c r="CP1294" s="3"/>
      <c r="CQ1294" s="3"/>
      <c r="CR1294" s="3"/>
      <c r="CS1294" s="3"/>
      <c r="CT1294" s="3"/>
      <c r="CU1294" s="3"/>
      <c r="CV1294" s="3"/>
      <c r="CW1294" s="3"/>
      <c r="CX1294" s="3"/>
      <c r="CY1294" s="3"/>
      <c r="CZ1294" s="3"/>
      <c r="DA1294" s="3"/>
      <c r="DB1294" s="3"/>
      <c r="DC1294" s="3"/>
      <c r="DD1294" s="3"/>
      <c r="DE1294" s="3"/>
      <c r="DF1294" s="3"/>
    </row>
    <row r="1295" spans="8:110" x14ac:dyDescent="0.3">
      <c r="H1295" s="4">
        <f t="shared" si="200"/>
        <v>0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/>
      <c r="BK1295" s="3"/>
      <c r="BL1295" s="3"/>
      <c r="BM1295" s="3"/>
      <c r="BN1295" s="3"/>
      <c r="BO1295" s="3"/>
      <c r="BP1295" s="3"/>
      <c r="BQ1295" s="3"/>
      <c r="BR1295" s="3"/>
      <c r="BS1295" s="3"/>
      <c r="BT1295" s="3"/>
      <c r="BU1295" s="3"/>
      <c r="BV1295" s="3"/>
      <c r="BW1295" s="3"/>
      <c r="BX1295" s="3"/>
      <c r="BY1295" s="3"/>
      <c r="BZ1295" s="3"/>
      <c r="CA1295" s="3"/>
      <c r="CB1295" s="3"/>
      <c r="CC1295" s="3"/>
      <c r="CD1295" s="3"/>
      <c r="CE1295" s="3"/>
      <c r="CF1295" s="3"/>
      <c r="CG1295" s="3"/>
      <c r="CH1295" s="3"/>
      <c r="CI1295" s="3"/>
      <c r="CJ1295" s="3"/>
      <c r="CK1295" s="3"/>
      <c r="CL1295" s="3"/>
      <c r="CM1295" s="3"/>
      <c r="CN1295" s="3"/>
      <c r="CO1295" s="3"/>
      <c r="CP1295" s="3"/>
      <c r="CQ1295" s="3"/>
      <c r="CR1295" s="3"/>
      <c r="CS1295" s="3"/>
      <c r="CT1295" s="3"/>
      <c r="CU1295" s="3"/>
      <c r="CV1295" s="3"/>
      <c r="CW1295" s="3"/>
      <c r="CX1295" s="3"/>
      <c r="CY1295" s="3"/>
      <c r="CZ1295" s="3"/>
      <c r="DA1295" s="3"/>
      <c r="DB1295" s="3"/>
      <c r="DC1295" s="3"/>
      <c r="DD1295" s="3"/>
      <c r="DE1295" s="3"/>
      <c r="DF1295" s="3"/>
    </row>
    <row r="1296" spans="8:110" x14ac:dyDescent="0.3">
      <c r="H1296" s="4">
        <f t="shared" si="200"/>
        <v>0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  <c r="BM1296" s="3"/>
      <c r="BN1296" s="3"/>
      <c r="BO1296" s="3"/>
      <c r="BP1296" s="3"/>
      <c r="BQ1296" s="3"/>
      <c r="BR1296" s="3"/>
      <c r="BS1296" s="3"/>
      <c r="BT1296" s="3"/>
      <c r="BU1296" s="3"/>
      <c r="BV1296" s="3"/>
      <c r="BW1296" s="3"/>
      <c r="BX1296" s="3"/>
      <c r="BY1296" s="3"/>
      <c r="BZ1296" s="3"/>
      <c r="CA1296" s="3"/>
      <c r="CB1296" s="3"/>
      <c r="CC1296" s="3"/>
      <c r="CD1296" s="3"/>
      <c r="CE1296" s="3"/>
      <c r="CF1296" s="3"/>
      <c r="CG1296" s="3"/>
      <c r="CH1296" s="3"/>
      <c r="CI1296" s="3"/>
      <c r="CJ1296" s="3"/>
      <c r="CK1296" s="3"/>
      <c r="CL1296" s="3"/>
      <c r="CM1296" s="3"/>
      <c r="CN1296" s="3"/>
      <c r="CO1296" s="3"/>
      <c r="CP1296" s="3"/>
      <c r="CQ1296" s="3"/>
      <c r="CR1296" s="3"/>
      <c r="CS1296" s="3"/>
      <c r="CT1296" s="3"/>
      <c r="CU1296" s="3"/>
      <c r="CV1296" s="3"/>
      <c r="CW1296" s="3"/>
      <c r="CX1296" s="3"/>
      <c r="CY1296" s="3"/>
      <c r="CZ1296" s="3"/>
      <c r="DA1296" s="3"/>
      <c r="DB1296" s="3"/>
      <c r="DC1296" s="3"/>
      <c r="DD1296" s="3"/>
      <c r="DE1296" s="3"/>
      <c r="DF1296" s="3"/>
    </row>
    <row r="1297" spans="8:110" x14ac:dyDescent="0.3">
      <c r="H1297" s="4">
        <f t="shared" si="200"/>
        <v>0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  <c r="BK1297" s="3"/>
      <c r="BL1297" s="3"/>
      <c r="BM1297" s="3"/>
      <c r="BN1297" s="3"/>
      <c r="BO1297" s="3"/>
      <c r="BP1297" s="3"/>
      <c r="BQ1297" s="3"/>
      <c r="BR1297" s="3"/>
      <c r="BS1297" s="3"/>
      <c r="BT1297" s="3"/>
      <c r="BU1297" s="3"/>
      <c r="BV1297" s="3"/>
      <c r="BW1297" s="3"/>
      <c r="BX1297" s="3"/>
      <c r="BY1297" s="3"/>
      <c r="BZ1297" s="3"/>
      <c r="CA1297" s="3"/>
      <c r="CB1297" s="3"/>
      <c r="CC1297" s="3"/>
      <c r="CD1297" s="3"/>
      <c r="CE1297" s="3"/>
      <c r="CF1297" s="3"/>
      <c r="CG1297" s="3"/>
      <c r="CH1297" s="3"/>
      <c r="CI1297" s="3"/>
      <c r="CJ1297" s="3"/>
      <c r="CK1297" s="3"/>
      <c r="CL1297" s="3"/>
      <c r="CM1297" s="3"/>
      <c r="CN1297" s="3"/>
      <c r="CO1297" s="3"/>
      <c r="CP1297" s="3"/>
      <c r="CQ1297" s="3"/>
      <c r="CR1297" s="3"/>
      <c r="CS1297" s="3"/>
      <c r="CT1297" s="3"/>
      <c r="CU1297" s="3"/>
      <c r="CV1297" s="3"/>
      <c r="CW1297" s="3"/>
      <c r="CX1297" s="3"/>
      <c r="CY1297" s="3"/>
      <c r="CZ1297" s="3"/>
      <c r="DA1297" s="3"/>
      <c r="DB1297" s="3"/>
      <c r="DC1297" s="3"/>
      <c r="DD1297" s="3"/>
      <c r="DE1297" s="3"/>
      <c r="DF1297" s="3"/>
    </row>
    <row r="1298" spans="8:110" x14ac:dyDescent="0.3">
      <c r="H1298" s="4">
        <f t="shared" si="200"/>
        <v>0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/>
      <c r="BP1298" s="3"/>
      <c r="BQ1298" s="3"/>
      <c r="BR1298" s="3"/>
      <c r="BS1298" s="3"/>
      <c r="BT1298" s="3"/>
      <c r="BU1298" s="3"/>
      <c r="BV1298" s="3"/>
      <c r="BW1298" s="3"/>
      <c r="BX1298" s="3"/>
      <c r="BY1298" s="3"/>
      <c r="BZ1298" s="3"/>
      <c r="CA1298" s="3"/>
      <c r="CB1298" s="3"/>
      <c r="CC1298" s="3"/>
      <c r="CD1298" s="3"/>
      <c r="CE1298" s="3"/>
      <c r="CF1298" s="3"/>
      <c r="CG1298" s="3"/>
      <c r="CH1298" s="3"/>
      <c r="CI1298" s="3"/>
      <c r="CJ1298" s="3"/>
      <c r="CK1298" s="3"/>
      <c r="CL1298" s="3"/>
      <c r="CM1298" s="3"/>
      <c r="CN1298" s="3"/>
      <c r="CO1298" s="3"/>
      <c r="CP1298" s="3"/>
      <c r="CQ1298" s="3"/>
      <c r="CR1298" s="3"/>
      <c r="CS1298" s="3"/>
      <c r="CT1298" s="3"/>
      <c r="CU1298" s="3"/>
      <c r="CV1298" s="3"/>
      <c r="CW1298" s="3"/>
      <c r="CX1298" s="3"/>
      <c r="CY1298" s="3"/>
      <c r="CZ1298" s="3"/>
      <c r="DA1298" s="3"/>
      <c r="DB1298" s="3"/>
      <c r="DC1298" s="3"/>
      <c r="DD1298" s="3"/>
      <c r="DE1298" s="3"/>
      <c r="DF1298" s="3"/>
    </row>
    <row r="1299" spans="8:110" x14ac:dyDescent="0.3">
      <c r="H1299" s="4">
        <f t="shared" si="200"/>
        <v>0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  <c r="BM1299" s="3"/>
      <c r="BN1299" s="3"/>
      <c r="BO1299" s="3"/>
      <c r="BP1299" s="3"/>
      <c r="BQ1299" s="3"/>
      <c r="BR1299" s="3"/>
      <c r="BS1299" s="3"/>
      <c r="BT1299" s="3"/>
      <c r="BU1299" s="3"/>
      <c r="BV1299" s="3"/>
      <c r="BW1299" s="3"/>
      <c r="BX1299" s="3"/>
      <c r="BY1299" s="3"/>
      <c r="BZ1299" s="3"/>
      <c r="CA1299" s="3"/>
      <c r="CB1299" s="3"/>
      <c r="CC1299" s="3"/>
      <c r="CD1299" s="3"/>
      <c r="CE1299" s="3"/>
      <c r="CF1299" s="3"/>
      <c r="CG1299" s="3"/>
      <c r="CH1299" s="3"/>
      <c r="CI1299" s="3"/>
      <c r="CJ1299" s="3"/>
      <c r="CK1299" s="3"/>
      <c r="CL1299" s="3"/>
      <c r="CM1299" s="3"/>
      <c r="CN1299" s="3"/>
      <c r="CO1299" s="3"/>
      <c r="CP1299" s="3"/>
      <c r="CQ1299" s="3"/>
      <c r="CR1299" s="3"/>
      <c r="CS1299" s="3"/>
      <c r="CT1299" s="3"/>
      <c r="CU1299" s="3"/>
      <c r="CV1299" s="3"/>
      <c r="CW1299" s="3"/>
      <c r="CX1299" s="3"/>
      <c r="CY1299" s="3"/>
      <c r="CZ1299" s="3"/>
      <c r="DA1299" s="3"/>
      <c r="DB1299" s="3"/>
      <c r="DC1299" s="3"/>
      <c r="DD1299" s="3"/>
      <c r="DE1299" s="3"/>
      <c r="DF1299" s="3"/>
    </row>
    <row r="1300" spans="8:110" x14ac:dyDescent="0.3">
      <c r="H1300" s="4">
        <f t="shared" si="200"/>
        <v>0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/>
      <c r="BN1300" s="3"/>
      <c r="BO1300" s="3"/>
      <c r="BP1300" s="3"/>
      <c r="BQ1300" s="3"/>
      <c r="BR1300" s="3"/>
      <c r="BS1300" s="3"/>
      <c r="BT1300" s="3"/>
      <c r="BU1300" s="3"/>
      <c r="BV1300" s="3"/>
      <c r="BW1300" s="3"/>
      <c r="BX1300" s="3"/>
      <c r="BY1300" s="3"/>
      <c r="BZ1300" s="3"/>
      <c r="CA1300" s="3"/>
      <c r="CB1300" s="3"/>
      <c r="CC1300" s="3"/>
      <c r="CD1300" s="3"/>
      <c r="CE1300" s="3"/>
      <c r="CF1300" s="3"/>
      <c r="CG1300" s="3"/>
      <c r="CH1300" s="3"/>
      <c r="CI1300" s="3"/>
      <c r="CJ1300" s="3"/>
      <c r="CK1300" s="3"/>
      <c r="CL1300" s="3"/>
      <c r="CM1300" s="3"/>
      <c r="CN1300" s="3"/>
      <c r="CO1300" s="3"/>
      <c r="CP1300" s="3"/>
      <c r="CQ1300" s="3"/>
      <c r="CR1300" s="3"/>
      <c r="CS1300" s="3"/>
      <c r="CT1300" s="3"/>
      <c r="CU1300" s="3"/>
      <c r="CV1300" s="3"/>
      <c r="CW1300" s="3"/>
      <c r="CX1300" s="3"/>
      <c r="CY1300" s="3"/>
      <c r="CZ1300" s="3"/>
      <c r="DA1300" s="3"/>
      <c r="DB1300" s="3"/>
      <c r="DC1300" s="3"/>
      <c r="DD1300" s="3"/>
      <c r="DE1300" s="3"/>
      <c r="DF1300" s="3"/>
    </row>
    <row r="1301" spans="8:110" x14ac:dyDescent="0.3">
      <c r="H1301" s="4">
        <f t="shared" si="200"/>
        <v>0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/>
      <c r="BK1301" s="3"/>
      <c r="BL1301" s="3"/>
      <c r="BM1301" s="3"/>
      <c r="BN1301" s="3"/>
      <c r="BO1301" s="3"/>
      <c r="BP1301" s="3"/>
      <c r="BQ1301" s="3"/>
      <c r="BR1301" s="3"/>
      <c r="BS1301" s="3"/>
      <c r="BT1301" s="3"/>
      <c r="BU1301" s="3"/>
      <c r="BV1301" s="3"/>
      <c r="BW1301" s="3"/>
      <c r="BX1301" s="3"/>
      <c r="BY1301" s="3"/>
      <c r="BZ1301" s="3"/>
      <c r="CA1301" s="3"/>
      <c r="CB1301" s="3"/>
      <c r="CC1301" s="3"/>
      <c r="CD1301" s="3"/>
      <c r="CE1301" s="3"/>
      <c r="CF1301" s="3"/>
      <c r="CG1301" s="3"/>
      <c r="CH1301" s="3"/>
      <c r="CI1301" s="3"/>
      <c r="CJ1301" s="3"/>
      <c r="CK1301" s="3"/>
      <c r="CL1301" s="3"/>
      <c r="CM1301" s="3"/>
      <c r="CN1301" s="3"/>
      <c r="CO1301" s="3"/>
      <c r="CP1301" s="3"/>
      <c r="CQ1301" s="3"/>
      <c r="CR1301" s="3"/>
      <c r="CS1301" s="3"/>
      <c r="CT1301" s="3"/>
      <c r="CU1301" s="3"/>
      <c r="CV1301" s="3"/>
      <c r="CW1301" s="3"/>
      <c r="CX1301" s="3"/>
      <c r="CY1301" s="3"/>
      <c r="CZ1301" s="3"/>
      <c r="DA1301" s="3"/>
      <c r="DB1301" s="3"/>
      <c r="DC1301" s="3"/>
      <c r="DD1301" s="3"/>
      <c r="DE1301" s="3"/>
      <c r="DF1301" s="3"/>
    </row>
    <row r="1302" spans="8:110" x14ac:dyDescent="0.3">
      <c r="H1302" s="4">
        <f t="shared" si="200"/>
        <v>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3"/>
      <c r="BR1302" s="3"/>
      <c r="BS1302" s="3"/>
      <c r="BT1302" s="3"/>
      <c r="BU1302" s="3"/>
      <c r="BV1302" s="3"/>
      <c r="BW1302" s="3"/>
      <c r="BX1302" s="3"/>
      <c r="BY1302" s="3"/>
      <c r="BZ1302" s="3"/>
      <c r="CA1302" s="3"/>
      <c r="CB1302" s="3"/>
      <c r="CC1302" s="3"/>
      <c r="CD1302" s="3"/>
      <c r="CE1302" s="3"/>
      <c r="CF1302" s="3"/>
      <c r="CG1302" s="3"/>
      <c r="CH1302" s="3"/>
      <c r="CI1302" s="3"/>
      <c r="CJ1302" s="3"/>
      <c r="CK1302" s="3"/>
      <c r="CL1302" s="3"/>
      <c r="CM1302" s="3"/>
      <c r="CN1302" s="3"/>
      <c r="CO1302" s="3"/>
      <c r="CP1302" s="3"/>
      <c r="CQ1302" s="3"/>
      <c r="CR1302" s="3"/>
      <c r="CS1302" s="3"/>
      <c r="CT1302" s="3"/>
      <c r="CU1302" s="3"/>
      <c r="CV1302" s="3"/>
      <c r="CW1302" s="3"/>
      <c r="CX1302" s="3"/>
      <c r="CY1302" s="3"/>
      <c r="CZ1302" s="3"/>
      <c r="DA1302" s="3"/>
      <c r="DB1302" s="3"/>
      <c r="DC1302" s="3"/>
      <c r="DD1302" s="3"/>
      <c r="DE1302" s="3"/>
      <c r="DF1302" s="3"/>
    </row>
    <row r="1303" spans="8:110" x14ac:dyDescent="0.3">
      <c r="H1303" s="4">
        <f t="shared" si="200"/>
        <v>0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/>
      <c r="BK1303" s="3"/>
      <c r="BL1303" s="3"/>
      <c r="BM1303" s="3"/>
      <c r="BN1303" s="3"/>
      <c r="BO1303" s="3"/>
      <c r="BP1303" s="3"/>
      <c r="BQ1303" s="3"/>
      <c r="BR1303" s="3"/>
      <c r="BS1303" s="3"/>
      <c r="BT1303" s="3"/>
      <c r="BU1303" s="3"/>
      <c r="BV1303" s="3"/>
      <c r="BW1303" s="3"/>
      <c r="BX1303" s="3"/>
      <c r="BY1303" s="3"/>
      <c r="BZ1303" s="3"/>
      <c r="CA1303" s="3"/>
      <c r="CB1303" s="3"/>
      <c r="CC1303" s="3"/>
      <c r="CD1303" s="3"/>
      <c r="CE1303" s="3"/>
      <c r="CF1303" s="3"/>
      <c r="CG1303" s="3"/>
      <c r="CH1303" s="3"/>
      <c r="CI1303" s="3"/>
      <c r="CJ1303" s="3"/>
      <c r="CK1303" s="3"/>
      <c r="CL1303" s="3"/>
      <c r="CM1303" s="3"/>
      <c r="CN1303" s="3"/>
      <c r="CO1303" s="3"/>
      <c r="CP1303" s="3"/>
      <c r="CQ1303" s="3"/>
      <c r="CR1303" s="3"/>
      <c r="CS1303" s="3"/>
      <c r="CT1303" s="3"/>
      <c r="CU1303" s="3"/>
      <c r="CV1303" s="3"/>
      <c r="CW1303" s="3"/>
      <c r="CX1303" s="3"/>
      <c r="CY1303" s="3"/>
      <c r="CZ1303" s="3"/>
      <c r="DA1303" s="3"/>
      <c r="DB1303" s="3"/>
      <c r="DC1303" s="3"/>
      <c r="DD1303" s="3"/>
      <c r="DE1303" s="3"/>
      <c r="DF1303" s="3"/>
    </row>
    <row r="1304" spans="8:110" x14ac:dyDescent="0.3">
      <c r="H1304" s="4">
        <f t="shared" si="200"/>
        <v>0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  <c r="BM1304" s="3"/>
      <c r="BN1304" s="3"/>
      <c r="BO1304" s="3"/>
      <c r="BP1304" s="3"/>
      <c r="BQ1304" s="3"/>
      <c r="BR1304" s="3"/>
      <c r="BS1304" s="3"/>
      <c r="BT1304" s="3"/>
      <c r="BU1304" s="3"/>
      <c r="BV1304" s="3"/>
      <c r="BW1304" s="3"/>
      <c r="BX1304" s="3"/>
      <c r="BY1304" s="3"/>
      <c r="BZ1304" s="3"/>
      <c r="CA1304" s="3"/>
      <c r="CB1304" s="3"/>
      <c r="CC1304" s="3"/>
      <c r="CD1304" s="3"/>
      <c r="CE1304" s="3"/>
      <c r="CF1304" s="3"/>
      <c r="CG1304" s="3"/>
      <c r="CH1304" s="3"/>
      <c r="CI1304" s="3"/>
      <c r="CJ1304" s="3"/>
      <c r="CK1304" s="3"/>
      <c r="CL1304" s="3"/>
      <c r="CM1304" s="3"/>
      <c r="CN1304" s="3"/>
      <c r="CO1304" s="3"/>
      <c r="CP1304" s="3"/>
      <c r="CQ1304" s="3"/>
      <c r="CR1304" s="3"/>
      <c r="CS1304" s="3"/>
      <c r="CT1304" s="3"/>
      <c r="CU1304" s="3"/>
      <c r="CV1304" s="3"/>
      <c r="CW1304" s="3"/>
      <c r="CX1304" s="3"/>
      <c r="CY1304" s="3"/>
      <c r="CZ1304" s="3"/>
      <c r="DA1304" s="3"/>
      <c r="DB1304" s="3"/>
      <c r="DC1304" s="3"/>
      <c r="DD1304" s="3"/>
      <c r="DE1304" s="3"/>
      <c r="DF1304" s="3"/>
    </row>
    <row r="1305" spans="8:110" x14ac:dyDescent="0.3">
      <c r="H1305" s="4">
        <f t="shared" si="200"/>
        <v>0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  <c r="BK1305" s="3"/>
      <c r="BL1305" s="3"/>
      <c r="BM1305" s="3"/>
      <c r="BN1305" s="3"/>
      <c r="BO1305" s="3"/>
      <c r="BP1305" s="3"/>
      <c r="BQ1305" s="3"/>
      <c r="BR1305" s="3"/>
      <c r="BS1305" s="3"/>
      <c r="BT1305" s="3"/>
      <c r="BU1305" s="3"/>
      <c r="BV1305" s="3"/>
      <c r="BW1305" s="3"/>
      <c r="BX1305" s="3"/>
      <c r="BY1305" s="3"/>
      <c r="BZ1305" s="3"/>
      <c r="CA1305" s="3"/>
      <c r="CB1305" s="3"/>
      <c r="CC1305" s="3"/>
      <c r="CD1305" s="3"/>
      <c r="CE1305" s="3"/>
      <c r="CF1305" s="3"/>
      <c r="CG1305" s="3"/>
      <c r="CH1305" s="3"/>
      <c r="CI1305" s="3"/>
      <c r="CJ1305" s="3"/>
      <c r="CK1305" s="3"/>
      <c r="CL1305" s="3"/>
      <c r="CM1305" s="3"/>
      <c r="CN1305" s="3"/>
      <c r="CO1305" s="3"/>
      <c r="CP1305" s="3"/>
      <c r="CQ1305" s="3"/>
      <c r="CR1305" s="3"/>
      <c r="CS1305" s="3"/>
      <c r="CT1305" s="3"/>
      <c r="CU1305" s="3"/>
      <c r="CV1305" s="3"/>
      <c r="CW1305" s="3"/>
      <c r="CX1305" s="3"/>
      <c r="CY1305" s="3"/>
      <c r="CZ1305" s="3"/>
      <c r="DA1305" s="3"/>
      <c r="DB1305" s="3"/>
      <c r="DC1305" s="3"/>
      <c r="DD1305" s="3"/>
      <c r="DE1305" s="3"/>
      <c r="DF1305" s="3"/>
    </row>
    <row r="1306" spans="8:110" x14ac:dyDescent="0.3">
      <c r="H1306" s="4">
        <f t="shared" si="200"/>
        <v>0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3"/>
      <c r="BR1306" s="3"/>
      <c r="BS1306" s="3"/>
      <c r="BT1306" s="3"/>
      <c r="BU1306" s="3"/>
      <c r="BV1306" s="3"/>
      <c r="BW1306" s="3"/>
      <c r="BX1306" s="3"/>
      <c r="BY1306" s="3"/>
      <c r="BZ1306" s="3"/>
      <c r="CA1306" s="3"/>
      <c r="CB1306" s="3"/>
      <c r="CC1306" s="3"/>
      <c r="CD1306" s="3"/>
      <c r="CE1306" s="3"/>
      <c r="CF1306" s="3"/>
      <c r="CG1306" s="3"/>
      <c r="CH1306" s="3"/>
      <c r="CI1306" s="3"/>
      <c r="CJ1306" s="3"/>
      <c r="CK1306" s="3"/>
      <c r="CL1306" s="3"/>
      <c r="CM1306" s="3"/>
      <c r="CN1306" s="3"/>
      <c r="CO1306" s="3"/>
      <c r="CP1306" s="3"/>
      <c r="CQ1306" s="3"/>
      <c r="CR1306" s="3"/>
      <c r="CS1306" s="3"/>
      <c r="CT1306" s="3"/>
      <c r="CU1306" s="3"/>
      <c r="CV1306" s="3"/>
      <c r="CW1306" s="3"/>
      <c r="CX1306" s="3"/>
      <c r="CY1306" s="3"/>
      <c r="CZ1306" s="3"/>
      <c r="DA1306" s="3"/>
      <c r="DB1306" s="3"/>
      <c r="DC1306" s="3"/>
      <c r="DD1306" s="3"/>
      <c r="DE1306" s="3"/>
      <c r="DF1306" s="3"/>
    </row>
    <row r="1307" spans="8:110" x14ac:dyDescent="0.3">
      <c r="H1307" s="4">
        <f t="shared" si="200"/>
        <v>0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  <c r="BK1307" s="3"/>
      <c r="BL1307" s="3"/>
      <c r="BM1307" s="3"/>
      <c r="BN1307" s="3"/>
      <c r="BO1307" s="3"/>
      <c r="BP1307" s="3"/>
      <c r="BQ1307" s="3"/>
      <c r="BR1307" s="3"/>
      <c r="BS1307" s="3"/>
      <c r="BT1307" s="3"/>
      <c r="BU1307" s="3"/>
      <c r="BV1307" s="3"/>
      <c r="BW1307" s="3"/>
      <c r="BX1307" s="3"/>
      <c r="BY1307" s="3"/>
      <c r="BZ1307" s="3"/>
      <c r="CA1307" s="3"/>
      <c r="CB1307" s="3"/>
      <c r="CC1307" s="3"/>
      <c r="CD1307" s="3"/>
      <c r="CE1307" s="3"/>
      <c r="CF1307" s="3"/>
      <c r="CG1307" s="3"/>
      <c r="CH1307" s="3"/>
      <c r="CI1307" s="3"/>
      <c r="CJ1307" s="3"/>
      <c r="CK1307" s="3"/>
      <c r="CL1307" s="3"/>
      <c r="CM1307" s="3"/>
      <c r="CN1307" s="3"/>
      <c r="CO1307" s="3"/>
      <c r="CP1307" s="3"/>
      <c r="CQ1307" s="3"/>
      <c r="CR1307" s="3"/>
      <c r="CS1307" s="3"/>
      <c r="CT1307" s="3"/>
      <c r="CU1307" s="3"/>
      <c r="CV1307" s="3"/>
      <c r="CW1307" s="3"/>
      <c r="CX1307" s="3"/>
      <c r="CY1307" s="3"/>
      <c r="CZ1307" s="3"/>
      <c r="DA1307" s="3"/>
      <c r="DB1307" s="3"/>
      <c r="DC1307" s="3"/>
      <c r="DD1307" s="3"/>
      <c r="DE1307" s="3"/>
      <c r="DF1307" s="3"/>
    </row>
    <row r="1308" spans="8:110" x14ac:dyDescent="0.3">
      <c r="H1308" s="4">
        <f t="shared" si="200"/>
        <v>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/>
      <c r="BK1308" s="3"/>
      <c r="BL1308" s="3"/>
      <c r="BM1308" s="3"/>
      <c r="BN1308" s="3"/>
      <c r="BO1308" s="3"/>
      <c r="BP1308" s="3"/>
      <c r="BQ1308" s="3"/>
      <c r="BR1308" s="3"/>
      <c r="BS1308" s="3"/>
      <c r="BT1308" s="3"/>
      <c r="BU1308" s="3"/>
      <c r="BV1308" s="3"/>
      <c r="BW1308" s="3"/>
      <c r="BX1308" s="3"/>
      <c r="BY1308" s="3"/>
      <c r="BZ1308" s="3"/>
      <c r="CA1308" s="3"/>
      <c r="CB1308" s="3"/>
      <c r="CC1308" s="3"/>
      <c r="CD1308" s="3"/>
      <c r="CE1308" s="3"/>
      <c r="CF1308" s="3"/>
      <c r="CG1308" s="3"/>
      <c r="CH1308" s="3"/>
      <c r="CI1308" s="3"/>
      <c r="CJ1308" s="3"/>
      <c r="CK1308" s="3"/>
      <c r="CL1308" s="3"/>
      <c r="CM1308" s="3"/>
      <c r="CN1308" s="3"/>
      <c r="CO1308" s="3"/>
      <c r="CP1308" s="3"/>
      <c r="CQ1308" s="3"/>
      <c r="CR1308" s="3"/>
      <c r="CS1308" s="3"/>
      <c r="CT1308" s="3"/>
      <c r="CU1308" s="3"/>
      <c r="CV1308" s="3"/>
      <c r="CW1308" s="3"/>
      <c r="CX1308" s="3"/>
      <c r="CY1308" s="3"/>
      <c r="CZ1308" s="3"/>
      <c r="DA1308" s="3"/>
      <c r="DB1308" s="3"/>
      <c r="DC1308" s="3"/>
      <c r="DD1308" s="3"/>
      <c r="DE1308" s="3"/>
      <c r="DF1308" s="3"/>
    </row>
    <row r="1309" spans="8:110" x14ac:dyDescent="0.3">
      <c r="H1309" s="4">
        <f t="shared" si="200"/>
        <v>0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/>
      <c r="BK1309" s="3"/>
      <c r="BL1309" s="3"/>
      <c r="BM1309" s="3"/>
      <c r="BN1309" s="3"/>
      <c r="BO1309" s="3"/>
      <c r="BP1309" s="3"/>
      <c r="BQ1309" s="3"/>
      <c r="BR1309" s="3"/>
      <c r="BS1309" s="3"/>
      <c r="BT1309" s="3"/>
      <c r="BU1309" s="3"/>
      <c r="BV1309" s="3"/>
      <c r="BW1309" s="3"/>
      <c r="BX1309" s="3"/>
      <c r="BY1309" s="3"/>
      <c r="BZ1309" s="3"/>
      <c r="CA1309" s="3"/>
      <c r="CB1309" s="3"/>
      <c r="CC1309" s="3"/>
      <c r="CD1309" s="3"/>
      <c r="CE1309" s="3"/>
      <c r="CF1309" s="3"/>
      <c r="CG1309" s="3"/>
      <c r="CH1309" s="3"/>
      <c r="CI1309" s="3"/>
      <c r="CJ1309" s="3"/>
      <c r="CK1309" s="3"/>
      <c r="CL1309" s="3"/>
      <c r="CM1309" s="3"/>
      <c r="CN1309" s="3"/>
      <c r="CO1309" s="3"/>
      <c r="CP1309" s="3"/>
      <c r="CQ1309" s="3"/>
      <c r="CR1309" s="3"/>
      <c r="CS1309" s="3"/>
      <c r="CT1309" s="3"/>
      <c r="CU1309" s="3"/>
      <c r="CV1309" s="3"/>
      <c r="CW1309" s="3"/>
      <c r="CX1309" s="3"/>
      <c r="CY1309" s="3"/>
      <c r="CZ1309" s="3"/>
      <c r="DA1309" s="3"/>
      <c r="DB1309" s="3"/>
      <c r="DC1309" s="3"/>
      <c r="DD1309" s="3"/>
      <c r="DE1309" s="3"/>
      <c r="DF1309" s="3"/>
    </row>
    <row r="1310" spans="8:110" x14ac:dyDescent="0.3">
      <c r="H1310" s="4">
        <f t="shared" si="200"/>
        <v>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  <c r="BQ1310" s="3"/>
      <c r="BR1310" s="3"/>
      <c r="BS1310" s="3"/>
      <c r="BT1310" s="3"/>
      <c r="BU1310" s="3"/>
      <c r="BV1310" s="3"/>
      <c r="BW1310" s="3"/>
      <c r="BX1310" s="3"/>
      <c r="BY1310" s="3"/>
      <c r="BZ1310" s="3"/>
      <c r="CA1310" s="3"/>
      <c r="CB1310" s="3"/>
      <c r="CC1310" s="3"/>
      <c r="CD1310" s="3"/>
      <c r="CE1310" s="3"/>
      <c r="CF1310" s="3"/>
      <c r="CG1310" s="3"/>
      <c r="CH1310" s="3"/>
      <c r="CI1310" s="3"/>
      <c r="CJ1310" s="3"/>
      <c r="CK1310" s="3"/>
      <c r="CL1310" s="3"/>
      <c r="CM1310" s="3"/>
      <c r="CN1310" s="3"/>
      <c r="CO1310" s="3"/>
      <c r="CP1310" s="3"/>
      <c r="CQ1310" s="3"/>
      <c r="CR1310" s="3"/>
      <c r="CS1310" s="3"/>
      <c r="CT1310" s="3"/>
      <c r="CU1310" s="3"/>
      <c r="CV1310" s="3"/>
      <c r="CW1310" s="3"/>
      <c r="CX1310" s="3"/>
      <c r="CY1310" s="3"/>
      <c r="CZ1310" s="3"/>
      <c r="DA1310" s="3"/>
      <c r="DB1310" s="3"/>
      <c r="DC1310" s="3"/>
      <c r="DD1310" s="3"/>
      <c r="DE1310" s="3"/>
      <c r="DF1310" s="3"/>
    </row>
    <row r="1311" spans="8:110" x14ac:dyDescent="0.3">
      <c r="H1311" s="4">
        <f t="shared" si="200"/>
        <v>0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/>
      <c r="BK1311" s="3"/>
      <c r="BL1311" s="3"/>
      <c r="BM1311" s="3"/>
      <c r="BN1311" s="3"/>
      <c r="BO1311" s="3"/>
      <c r="BP1311" s="3"/>
      <c r="BQ1311" s="3"/>
      <c r="BR1311" s="3"/>
      <c r="BS1311" s="3"/>
      <c r="BT1311" s="3"/>
      <c r="BU1311" s="3"/>
      <c r="BV1311" s="3"/>
      <c r="BW1311" s="3"/>
      <c r="BX1311" s="3"/>
      <c r="BY1311" s="3"/>
      <c r="BZ1311" s="3"/>
      <c r="CA1311" s="3"/>
      <c r="CB1311" s="3"/>
      <c r="CC1311" s="3"/>
      <c r="CD1311" s="3"/>
      <c r="CE1311" s="3"/>
      <c r="CF1311" s="3"/>
      <c r="CG1311" s="3"/>
      <c r="CH1311" s="3"/>
      <c r="CI1311" s="3"/>
      <c r="CJ1311" s="3"/>
      <c r="CK1311" s="3"/>
      <c r="CL1311" s="3"/>
      <c r="CM1311" s="3"/>
      <c r="CN1311" s="3"/>
      <c r="CO1311" s="3"/>
      <c r="CP1311" s="3"/>
      <c r="CQ1311" s="3"/>
      <c r="CR1311" s="3"/>
      <c r="CS1311" s="3"/>
      <c r="CT1311" s="3"/>
      <c r="CU1311" s="3"/>
      <c r="CV1311" s="3"/>
      <c r="CW1311" s="3"/>
      <c r="CX1311" s="3"/>
      <c r="CY1311" s="3"/>
      <c r="CZ1311" s="3"/>
      <c r="DA1311" s="3"/>
      <c r="DB1311" s="3"/>
      <c r="DC1311" s="3"/>
      <c r="DD1311" s="3"/>
      <c r="DE1311" s="3"/>
      <c r="DF1311" s="3"/>
    </row>
    <row r="1312" spans="8:110" x14ac:dyDescent="0.3">
      <c r="H1312" s="4">
        <f t="shared" si="200"/>
        <v>0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/>
      <c r="BK1312" s="3"/>
      <c r="BL1312" s="3"/>
      <c r="BM1312" s="3"/>
      <c r="BN1312" s="3"/>
      <c r="BO1312" s="3"/>
      <c r="BP1312" s="3"/>
      <c r="BQ1312" s="3"/>
      <c r="BR1312" s="3"/>
      <c r="BS1312" s="3"/>
      <c r="BT1312" s="3"/>
      <c r="BU1312" s="3"/>
      <c r="BV1312" s="3"/>
      <c r="BW1312" s="3"/>
      <c r="BX1312" s="3"/>
      <c r="BY1312" s="3"/>
      <c r="BZ1312" s="3"/>
      <c r="CA1312" s="3"/>
      <c r="CB1312" s="3"/>
      <c r="CC1312" s="3"/>
      <c r="CD1312" s="3"/>
      <c r="CE1312" s="3"/>
      <c r="CF1312" s="3"/>
      <c r="CG1312" s="3"/>
      <c r="CH1312" s="3"/>
      <c r="CI1312" s="3"/>
      <c r="CJ1312" s="3"/>
      <c r="CK1312" s="3"/>
      <c r="CL1312" s="3"/>
      <c r="CM1312" s="3"/>
      <c r="CN1312" s="3"/>
      <c r="CO1312" s="3"/>
      <c r="CP1312" s="3"/>
      <c r="CQ1312" s="3"/>
      <c r="CR1312" s="3"/>
      <c r="CS1312" s="3"/>
      <c r="CT1312" s="3"/>
      <c r="CU1312" s="3"/>
      <c r="CV1312" s="3"/>
      <c r="CW1312" s="3"/>
      <c r="CX1312" s="3"/>
      <c r="CY1312" s="3"/>
      <c r="CZ1312" s="3"/>
      <c r="DA1312" s="3"/>
      <c r="DB1312" s="3"/>
      <c r="DC1312" s="3"/>
      <c r="DD1312" s="3"/>
      <c r="DE1312" s="3"/>
      <c r="DF1312" s="3"/>
    </row>
    <row r="1313" spans="8:110" x14ac:dyDescent="0.3">
      <c r="H1313" s="4">
        <f t="shared" si="200"/>
        <v>0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/>
      <c r="BK1313" s="3"/>
      <c r="BL1313" s="3"/>
      <c r="BM1313" s="3"/>
      <c r="BN1313" s="3"/>
      <c r="BO1313" s="3"/>
      <c r="BP1313" s="3"/>
      <c r="BQ1313" s="3"/>
      <c r="BR1313" s="3"/>
      <c r="BS1313" s="3"/>
      <c r="BT1313" s="3"/>
      <c r="BU1313" s="3"/>
      <c r="BV1313" s="3"/>
      <c r="BW1313" s="3"/>
      <c r="BX1313" s="3"/>
      <c r="BY1313" s="3"/>
      <c r="BZ1313" s="3"/>
      <c r="CA1313" s="3"/>
      <c r="CB1313" s="3"/>
      <c r="CC1313" s="3"/>
      <c r="CD1313" s="3"/>
      <c r="CE1313" s="3"/>
      <c r="CF1313" s="3"/>
      <c r="CG1313" s="3"/>
      <c r="CH1313" s="3"/>
      <c r="CI1313" s="3"/>
      <c r="CJ1313" s="3"/>
      <c r="CK1313" s="3"/>
      <c r="CL1313" s="3"/>
      <c r="CM1313" s="3"/>
      <c r="CN1313" s="3"/>
      <c r="CO1313" s="3"/>
      <c r="CP1313" s="3"/>
      <c r="CQ1313" s="3"/>
      <c r="CR1313" s="3"/>
      <c r="CS1313" s="3"/>
      <c r="CT1313" s="3"/>
      <c r="CU1313" s="3"/>
      <c r="CV1313" s="3"/>
      <c r="CW1313" s="3"/>
      <c r="CX1313" s="3"/>
      <c r="CY1313" s="3"/>
      <c r="CZ1313" s="3"/>
      <c r="DA1313" s="3"/>
      <c r="DB1313" s="3"/>
      <c r="DC1313" s="3"/>
      <c r="DD1313" s="3"/>
      <c r="DE1313" s="3"/>
      <c r="DF1313" s="3"/>
    </row>
    <row r="1314" spans="8:110" x14ac:dyDescent="0.3">
      <c r="H1314" s="4">
        <f t="shared" si="200"/>
        <v>0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/>
      <c r="BK1314" s="3"/>
      <c r="BL1314" s="3"/>
      <c r="BM1314" s="3"/>
      <c r="BN1314" s="3"/>
      <c r="BO1314" s="3"/>
      <c r="BP1314" s="3"/>
      <c r="BQ1314" s="3"/>
      <c r="BR1314" s="3"/>
      <c r="BS1314" s="3"/>
      <c r="BT1314" s="3"/>
      <c r="BU1314" s="3"/>
      <c r="BV1314" s="3"/>
      <c r="BW1314" s="3"/>
      <c r="BX1314" s="3"/>
      <c r="BY1314" s="3"/>
      <c r="BZ1314" s="3"/>
      <c r="CA1314" s="3"/>
      <c r="CB1314" s="3"/>
      <c r="CC1314" s="3"/>
      <c r="CD1314" s="3"/>
      <c r="CE1314" s="3"/>
      <c r="CF1314" s="3"/>
      <c r="CG1314" s="3"/>
      <c r="CH1314" s="3"/>
      <c r="CI1314" s="3"/>
      <c r="CJ1314" s="3"/>
      <c r="CK1314" s="3"/>
      <c r="CL1314" s="3"/>
      <c r="CM1314" s="3"/>
      <c r="CN1314" s="3"/>
      <c r="CO1314" s="3"/>
      <c r="CP1314" s="3"/>
      <c r="CQ1314" s="3"/>
      <c r="CR1314" s="3"/>
      <c r="CS1314" s="3"/>
      <c r="CT1314" s="3"/>
      <c r="CU1314" s="3"/>
      <c r="CV1314" s="3"/>
      <c r="CW1314" s="3"/>
      <c r="CX1314" s="3"/>
      <c r="CY1314" s="3"/>
      <c r="CZ1314" s="3"/>
      <c r="DA1314" s="3"/>
      <c r="DB1314" s="3"/>
      <c r="DC1314" s="3"/>
      <c r="DD1314" s="3"/>
      <c r="DE1314" s="3"/>
      <c r="DF1314" s="3"/>
    </row>
    <row r="1315" spans="8:110" x14ac:dyDescent="0.3">
      <c r="H1315" s="4">
        <f t="shared" si="200"/>
        <v>0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/>
      <c r="BK1315" s="3"/>
      <c r="BL1315" s="3"/>
      <c r="BM1315" s="3"/>
      <c r="BN1315" s="3"/>
      <c r="BO1315" s="3"/>
      <c r="BP1315" s="3"/>
      <c r="BQ1315" s="3"/>
      <c r="BR1315" s="3"/>
      <c r="BS1315" s="3"/>
      <c r="BT1315" s="3"/>
      <c r="BU1315" s="3"/>
      <c r="BV1315" s="3"/>
      <c r="BW1315" s="3"/>
      <c r="BX1315" s="3"/>
      <c r="BY1315" s="3"/>
      <c r="BZ1315" s="3"/>
      <c r="CA1315" s="3"/>
      <c r="CB1315" s="3"/>
      <c r="CC1315" s="3"/>
      <c r="CD1315" s="3"/>
      <c r="CE1315" s="3"/>
      <c r="CF1315" s="3"/>
      <c r="CG1315" s="3"/>
      <c r="CH1315" s="3"/>
      <c r="CI1315" s="3"/>
      <c r="CJ1315" s="3"/>
      <c r="CK1315" s="3"/>
      <c r="CL1315" s="3"/>
      <c r="CM1315" s="3"/>
      <c r="CN1315" s="3"/>
      <c r="CO1315" s="3"/>
      <c r="CP1315" s="3"/>
      <c r="CQ1315" s="3"/>
      <c r="CR1315" s="3"/>
      <c r="CS1315" s="3"/>
      <c r="CT1315" s="3"/>
      <c r="CU1315" s="3"/>
      <c r="CV1315" s="3"/>
      <c r="CW1315" s="3"/>
      <c r="CX1315" s="3"/>
      <c r="CY1315" s="3"/>
      <c r="CZ1315" s="3"/>
      <c r="DA1315" s="3"/>
      <c r="DB1315" s="3"/>
      <c r="DC1315" s="3"/>
      <c r="DD1315" s="3"/>
      <c r="DE1315" s="3"/>
      <c r="DF1315" s="3"/>
    </row>
    <row r="1316" spans="8:110" x14ac:dyDescent="0.3">
      <c r="H1316" s="4">
        <f t="shared" si="200"/>
        <v>0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/>
      <c r="BK1316" s="3"/>
      <c r="BL1316" s="3"/>
      <c r="BM1316" s="3"/>
      <c r="BN1316" s="3"/>
      <c r="BO1316" s="3"/>
      <c r="BP1316" s="3"/>
      <c r="BQ1316" s="3"/>
      <c r="BR1316" s="3"/>
      <c r="BS1316" s="3"/>
      <c r="BT1316" s="3"/>
      <c r="BU1316" s="3"/>
      <c r="BV1316" s="3"/>
      <c r="BW1316" s="3"/>
      <c r="BX1316" s="3"/>
      <c r="BY1316" s="3"/>
      <c r="BZ1316" s="3"/>
      <c r="CA1316" s="3"/>
      <c r="CB1316" s="3"/>
      <c r="CC1316" s="3"/>
      <c r="CD1316" s="3"/>
      <c r="CE1316" s="3"/>
      <c r="CF1316" s="3"/>
      <c r="CG1316" s="3"/>
      <c r="CH1316" s="3"/>
      <c r="CI1316" s="3"/>
      <c r="CJ1316" s="3"/>
      <c r="CK1316" s="3"/>
      <c r="CL1316" s="3"/>
      <c r="CM1316" s="3"/>
      <c r="CN1316" s="3"/>
      <c r="CO1316" s="3"/>
      <c r="CP1316" s="3"/>
      <c r="CQ1316" s="3"/>
      <c r="CR1316" s="3"/>
      <c r="CS1316" s="3"/>
      <c r="CT1316" s="3"/>
      <c r="CU1316" s="3"/>
      <c r="CV1316" s="3"/>
      <c r="CW1316" s="3"/>
      <c r="CX1316" s="3"/>
      <c r="CY1316" s="3"/>
      <c r="CZ1316" s="3"/>
      <c r="DA1316" s="3"/>
      <c r="DB1316" s="3"/>
      <c r="DC1316" s="3"/>
      <c r="DD1316" s="3"/>
      <c r="DE1316" s="3"/>
      <c r="DF1316" s="3"/>
    </row>
    <row r="1317" spans="8:110" x14ac:dyDescent="0.3">
      <c r="H1317" s="4">
        <f t="shared" si="200"/>
        <v>0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/>
      <c r="BK1317" s="3"/>
      <c r="BL1317" s="3"/>
      <c r="BM1317" s="3"/>
      <c r="BN1317" s="3"/>
      <c r="BO1317" s="3"/>
      <c r="BP1317" s="3"/>
      <c r="BQ1317" s="3"/>
      <c r="BR1317" s="3"/>
      <c r="BS1317" s="3"/>
      <c r="BT1317" s="3"/>
      <c r="BU1317" s="3"/>
      <c r="BV1317" s="3"/>
      <c r="BW1317" s="3"/>
      <c r="BX1317" s="3"/>
      <c r="BY1317" s="3"/>
      <c r="BZ1317" s="3"/>
      <c r="CA1317" s="3"/>
      <c r="CB1317" s="3"/>
      <c r="CC1317" s="3"/>
      <c r="CD1317" s="3"/>
      <c r="CE1317" s="3"/>
      <c r="CF1317" s="3"/>
      <c r="CG1317" s="3"/>
      <c r="CH1317" s="3"/>
      <c r="CI1317" s="3"/>
      <c r="CJ1317" s="3"/>
      <c r="CK1317" s="3"/>
      <c r="CL1317" s="3"/>
      <c r="CM1317" s="3"/>
      <c r="CN1317" s="3"/>
      <c r="CO1317" s="3"/>
      <c r="CP1317" s="3"/>
      <c r="CQ1317" s="3"/>
      <c r="CR1317" s="3"/>
      <c r="CS1317" s="3"/>
      <c r="CT1317" s="3"/>
      <c r="CU1317" s="3"/>
      <c r="CV1317" s="3"/>
      <c r="CW1317" s="3"/>
      <c r="CX1317" s="3"/>
      <c r="CY1317" s="3"/>
      <c r="CZ1317" s="3"/>
      <c r="DA1317" s="3"/>
      <c r="DB1317" s="3"/>
      <c r="DC1317" s="3"/>
      <c r="DD1317" s="3"/>
      <c r="DE1317" s="3"/>
      <c r="DF1317" s="3"/>
    </row>
    <row r="1318" spans="8:110" x14ac:dyDescent="0.3">
      <c r="H1318" s="4">
        <f t="shared" si="200"/>
        <v>0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  <c r="BK1318" s="3"/>
      <c r="BL1318" s="3"/>
      <c r="BM1318" s="3"/>
      <c r="BN1318" s="3"/>
      <c r="BO1318" s="3"/>
      <c r="BP1318" s="3"/>
      <c r="BQ1318" s="3"/>
      <c r="BR1318" s="3"/>
      <c r="BS1318" s="3"/>
      <c r="BT1318" s="3"/>
      <c r="BU1318" s="3"/>
      <c r="BV1318" s="3"/>
      <c r="BW1318" s="3"/>
      <c r="BX1318" s="3"/>
      <c r="BY1318" s="3"/>
      <c r="BZ1318" s="3"/>
      <c r="CA1318" s="3"/>
      <c r="CB1318" s="3"/>
      <c r="CC1318" s="3"/>
      <c r="CD1318" s="3"/>
      <c r="CE1318" s="3"/>
      <c r="CF1318" s="3"/>
      <c r="CG1318" s="3"/>
      <c r="CH1318" s="3"/>
      <c r="CI1318" s="3"/>
      <c r="CJ1318" s="3"/>
      <c r="CK1318" s="3"/>
      <c r="CL1318" s="3"/>
      <c r="CM1318" s="3"/>
      <c r="CN1318" s="3"/>
      <c r="CO1318" s="3"/>
      <c r="CP1318" s="3"/>
      <c r="CQ1318" s="3"/>
      <c r="CR1318" s="3"/>
      <c r="CS1318" s="3"/>
      <c r="CT1318" s="3"/>
      <c r="CU1318" s="3"/>
      <c r="CV1318" s="3"/>
      <c r="CW1318" s="3"/>
      <c r="CX1318" s="3"/>
      <c r="CY1318" s="3"/>
      <c r="CZ1318" s="3"/>
      <c r="DA1318" s="3"/>
      <c r="DB1318" s="3"/>
      <c r="DC1318" s="3"/>
      <c r="DD1318" s="3"/>
      <c r="DE1318" s="3"/>
      <c r="DF1318" s="3"/>
    </row>
    <row r="1319" spans="8:110" x14ac:dyDescent="0.3">
      <c r="H1319" s="4">
        <f t="shared" si="200"/>
        <v>0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/>
      <c r="BK1319" s="3"/>
      <c r="BL1319" s="3"/>
      <c r="BM1319" s="3"/>
      <c r="BN1319" s="3"/>
      <c r="BO1319" s="3"/>
      <c r="BP1319" s="3"/>
      <c r="BQ1319" s="3"/>
      <c r="BR1319" s="3"/>
      <c r="BS1319" s="3"/>
      <c r="BT1319" s="3"/>
      <c r="BU1319" s="3"/>
      <c r="BV1319" s="3"/>
      <c r="BW1319" s="3"/>
      <c r="BX1319" s="3"/>
      <c r="BY1319" s="3"/>
      <c r="BZ1319" s="3"/>
      <c r="CA1319" s="3"/>
      <c r="CB1319" s="3"/>
      <c r="CC1319" s="3"/>
      <c r="CD1319" s="3"/>
      <c r="CE1319" s="3"/>
      <c r="CF1319" s="3"/>
      <c r="CG1319" s="3"/>
      <c r="CH1319" s="3"/>
      <c r="CI1319" s="3"/>
      <c r="CJ1319" s="3"/>
      <c r="CK1319" s="3"/>
      <c r="CL1319" s="3"/>
      <c r="CM1319" s="3"/>
      <c r="CN1319" s="3"/>
      <c r="CO1319" s="3"/>
      <c r="CP1319" s="3"/>
      <c r="CQ1319" s="3"/>
      <c r="CR1319" s="3"/>
      <c r="CS1319" s="3"/>
      <c r="CT1319" s="3"/>
      <c r="CU1319" s="3"/>
      <c r="CV1319" s="3"/>
      <c r="CW1319" s="3"/>
      <c r="CX1319" s="3"/>
      <c r="CY1319" s="3"/>
      <c r="CZ1319" s="3"/>
      <c r="DA1319" s="3"/>
      <c r="DB1319" s="3"/>
      <c r="DC1319" s="3"/>
      <c r="DD1319" s="3"/>
      <c r="DE1319" s="3"/>
      <c r="DF1319" s="3"/>
    </row>
    <row r="1320" spans="8:110" x14ac:dyDescent="0.3">
      <c r="H1320" s="4">
        <f t="shared" si="200"/>
        <v>0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/>
      <c r="BK1320" s="3"/>
      <c r="BL1320" s="3"/>
      <c r="BM1320" s="3"/>
      <c r="BN1320" s="3"/>
      <c r="BO1320" s="3"/>
      <c r="BP1320" s="3"/>
      <c r="BQ1320" s="3"/>
      <c r="BR1320" s="3"/>
      <c r="BS1320" s="3"/>
      <c r="BT1320" s="3"/>
      <c r="BU1320" s="3"/>
      <c r="BV1320" s="3"/>
      <c r="BW1320" s="3"/>
      <c r="BX1320" s="3"/>
      <c r="BY1320" s="3"/>
      <c r="BZ1320" s="3"/>
      <c r="CA1320" s="3"/>
      <c r="CB1320" s="3"/>
      <c r="CC1320" s="3"/>
      <c r="CD1320" s="3"/>
      <c r="CE1320" s="3"/>
      <c r="CF1320" s="3"/>
      <c r="CG1320" s="3"/>
      <c r="CH1320" s="3"/>
      <c r="CI1320" s="3"/>
      <c r="CJ1320" s="3"/>
      <c r="CK1320" s="3"/>
      <c r="CL1320" s="3"/>
      <c r="CM1320" s="3"/>
      <c r="CN1320" s="3"/>
      <c r="CO1320" s="3"/>
      <c r="CP1320" s="3"/>
      <c r="CQ1320" s="3"/>
      <c r="CR1320" s="3"/>
      <c r="CS1320" s="3"/>
      <c r="CT1320" s="3"/>
      <c r="CU1320" s="3"/>
      <c r="CV1320" s="3"/>
      <c r="CW1320" s="3"/>
      <c r="CX1320" s="3"/>
      <c r="CY1320" s="3"/>
      <c r="CZ1320" s="3"/>
      <c r="DA1320" s="3"/>
      <c r="DB1320" s="3"/>
      <c r="DC1320" s="3"/>
      <c r="DD1320" s="3"/>
      <c r="DE1320" s="3"/>
      <c r="DF1320" s="3"/>
    </row>
    <row r="1321" spans="8:110" x14ac:dyDescent="0.3">
      <c r="H1321" s="4">
        <f t="shared" si="200"/>
        <v>0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/>
      <c r="BK1321" s="3"/>
      <c r="BL1321" s="3"/>
      <c r="BM1321" s="3"/>
      <c r="BN1321" s="3"/>
      <c r="BO1321" s="3"/>
      <c r="BP1321" s="3"/>
      <c r="BQ1321" s="3"/>
      <c r="BR1321" s="3"/>
      <c r="BS1321" s="3"/>
      <c r="BT1321" s="3"/>
      <c r="BU1321" s="3"/>
      <c r="BV1321" s="3"/>
      <c r="BW1321" s="3"/>
      <c r="BX1321" s="3"/>
      <c r="BY1321" s="3"/>
      <c r="BZ1321" s="3"/>
      <c r="CA1321" s="3"/>
      <c r="CB1321" s="3"/>
      <c r="CC1321" s="3"/>
      <c r="CD1321" s="3"/>
      <c r="CE1321" s="3"/>
      <c r="CF1321" s="3"/>
      <c r="CG1321" s="3"/>
      <c r="CH1321" s="3"/>
      <c r="CI1321" s="3"/>
      <c r="CJ1321" s="3"/>
      <c r="CK1321" s="3"/>
      <c r="CL1321" s="3"/>
      <c r="CM1321" s="3"/>
      <c r="CN1321" s="3"/>
      <c r="CO1321" s="3"/>
      <c r="CP1321" s="3"/>
      <c r="CQ1321" s="3"/>
      <c r="CR1321" s="3"/>
      <c r="CS1321" s="3"/>
      <c r="CT1321" s="3"/>
      <c r="CU1321" s="3"/>
      <c r="CV1321" s="3"/>
      <c r="CW1321" s="3"/>
      <c r="CX1321" s="3"/>
      <c r="CY1321" s="3"/>
      <c r="CZ1321" s="3"/>
      <c r="DA1321" s="3"/>
      <c r="DB1321" s="3"/>
      <c r="DC1321" s="3"/>
      <c r="DD1321" s="3"/>
      <c r="DE1321" s="3"/>
      <c r="DF1321" s="3"/>
    </row>
    <row r="1322" spans="8:110" x14ac:dyDescent="0.3">
      <c r="H1322" s="4">
        <f t="shared" si="200"/>
        <v>0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/>
      <c r="BK1322" s="3"/>
      <c r="BL1322" s="3"/>
      <c r="BM1322" s="3"/>
      <c r="BN1322" s="3"/>
      <c r="BO1322" s="3"/>
      <c r="BP1322" s="3"/>
      <c r="BQ1322" s="3"/>
      <c r="BR1322" s="3"/>
      <c r="BS1322" s="3"/>
      <c r="BT1322" s="3"/>
      <c r="BU1322" s="3"/>
      <c r="BV1322" s="3"/>
      <c r="BW1322" s="3"/>
      <c r="BX1322" s="3"/>
      <c r="BY1322" s="3"/>
      <c r="BZ1322" s="3"/>
      <c r="CA1322" s="3"/>
      <c r="CB1322" s="3"/>
      <c r="CC1322" s="3"/>
      <c r="CD1322" s="3"/>
      <c r="CE1322" s="3"/>
      <c r="CF1322" s="3"/>
      <c r="CG1322" s="3"/>
      <c r="CH1322" s="3"/>
      <c r="CI1322" s="3"/>
      <c r="CJ1322" s="3"/>
      <c r="CK1322" s="3"/>
      <c r="CL1322" s="3"/>
      <c r="CM1322" s="3"/>
      <c r="CN1322" s="3"/>
      <c r="CO1322" s="3"/>
      <c r="CP1322" s="3"/>
      <c r="CQ1322" s="3"/>
      <c r="CR1322" s="3"/>
      <c r="CS1322" s="3"/>
      <c r="CT1322" s="3"/>
      <c r="CU1322" s="3"/>
      <c r="CV1322" s="3"/>
      <c r="CW1322" s="3"/>
      <c r="CX1322" s="3"/>
      <c r="CY1322" s="3"/>
      <c r="CZ1322" s="3"/>
      <c r="DA1322" s="3"/>
      <c r="DB1322" s="3"/>
      <c r="DC1322" s="3"/>
      <c r="DD1322" s="3"/>
      <c r="DE1322" s="3"/>
      <c r="DF1322" s="3"/>
    </row>
    <row r="1323" spans="8:110" x14ac:dyDescent="0.3">
      <c r="H1323" s="4">
        <f t="shared" si="200"/>
        <v>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/>
      <c r="BK1323" s="3"/>
      <c r="BL1323" s="3"/>
      <c r="BM1323" s="3"/>
      <c r="BN1323" s="3"/>
      <c r="BO1323" s="3"/>
      <c r="BP1323" s="3"/>
      <c r="BQ1323" s="3"/>
      <c r="BR1323" s="3"/>
      <c r="BS1323" s="3"/>
      <c r="BT1323" s="3"/>
      <c r="BU1323" s="3"/>
      <c r="BV1323" s="3"/>
      <c r="BW1323" s="3"/>
      <c r="BX1323" s="3"/>
      <c r="BY1323" s="3"/>
      <c r="BZ1323" s="3"/>
      <c r="CA1323" s="3"/>
      <c r="CB1323" s="3"/>
      <c r="CC1323" s="3"/>
      <c r="CD1323" s="3"/>
      <c r="CE1323" s="3"/>
      <c r="CF1323" s="3"/>
      <c r="CG1323" s="3"/>
      <c r="CH1323" s="3"/>
      <c r="CI1323" s="3"/>
      <c r="CJ1323" s="3"/>
      <c r="CK1323" s="3"/>
      <c r="CL1323" s="3"/>
      <c r="CM1323" s="3"/>
      <c r="CN1323" s="3"/>
      <c r="CO1323" s="3"/>
      <c r="CP1323" s="3"/>
      <c r="CQ1323" s="3"/>
      <c r="CR1323" s="3"/>
      <c r="CS1323" s="3"/>
      <c r="CT1323" s="3"/>
      <c r="CU1323" s="3"/>
      <c r="CV1323" s="3"/>
      <c r="CW1323" s="3"/>
      <c r="CX1323" s="3"/>
      <c r="CY1323" s="3"/>
      <c r="CZ1323" s="3"/>
      <c r="DA1323" s="3"/>
      <c r="DB1323" s="3"/>
      <c r="DC1323" s="3"/>
      <c r="DD1323" s="3"/>
      <c r="DE1323" s="3"/>
      <c r="DF1323" s="3"/>
    </row>
    <row r="1324" spans="8:110" x14ac:dyDescent="0.3">
      <c r="H1324" s="4">
        <f t="shared" si="200"/>
        <v>0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  <c r="BM1324" s="3"/>
      <c r="BN1324" s="3"/>
      <c r="BO1324" s="3"/>
      <c r="BP1324" s="3"/>
      <c r="BQ1324" s="3"/>
      <c r="BR1324" s="3"/>
      <c r="BS1324" s="3"/>
      <c r="BT1324" s="3"/>
      <c r="BU1324" s="3"/>
      <c r="BV1324" s="3"/>
      <c r="BW1324" s="3"/>
      <c r="BX1324" s="3"/>
      <c r="BY1324" s="3"/>
      <c r="BZ1324" s="3"/>
      <c r="CA1324" s="3"/>
      <c r="CB1324" s="3"/>
      <c r="CC1324" s="3"/>
      <c r="CD1324" s="3"/>
      <c r="CE1324" s="3"/>
      <c r="CF1324" s="3"/>
      <c r="CG1324" s="3"/>
      <c r="CH1324" s="3"/>
      <c r="CI1324" s="3"/>
      <c r="CJ1324" s="3"/>
      <c r="CK1324" s="3"/>
      <c r="CL1324" s="3"/>
      <c r="CM1324" s="3"/>
      <c r="CN1324" s="3"/>
      <c r="CO1324" s="3"/>
      <c r="CP1324" s="3"/>
      <c r="CQ1324" s="3"/>
      <c r="CR1324" s="3"/>
      <c r="CS1324" s="3"/>
      <c r="CT1324" s="3"/>
      <c r="CU1324" s="3"/>
      <c r="CV1324" s="3"/>
      <c r="CW1324" s="3"/>
      <c r="CX1324" s="3"/>
      <c r="CY1324" s="3"/>
      <c r="CZ1324" s="3"/>
      <c r="DA1324" s="3"/>
      <c r="DB1324" s="3"/>
      <c r="DC1324" s="3"/>
      <c r="DD1324" s="3"/>
      <c r="DE1324" s="3"/>
      <c r="DF1324" s="3"/>
    </row>
    <row r="1325" spans="8:110" x14ac:dyDescent="0.3">
      <c r="H1325" s="4">
        <f t="shared" si="200"/>
        <v>0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/>
      <c r="BK1325" s="3"/>
      <c r="BL1325" s="3"/>
      <c r="BM1325" s="3"/>
      <c r="BN1325" s="3"/>
      <c r="BO1325" s="3"/>
      <c r="BP1325" s="3"/>
      <c r="BQ1325" s="3"/>
      <c r="BR1325" s="3"/>
      <c r="BS1325" s="3"/>
      <c r="BT1325" s="3"/>
      <c r="BU1325" s="3"/>
      <c r="BV1325" s="3"/>
      <c r="BW1325" s="3"/>
      <c r="BX1325" s="3"/>
      <c r="BY1325" s="3"/>
      <c r="BZ1325" s="3"/>
      <c r="CA1325" s="3"/>
      <c r="CB1325" s="3"/>
      <c r="CC1325" s="3"/>
      <c r="CD1325" s="3"/>
      <c r="CE1325" s="3"/>
      <c r="CF1325" s="3"/>
      <c r="CG1325" s="3"/>
      <c r="CH1325" s="3"/>
      <c r="CI1325" s="3"/>
      <c r="CJ1325" s="3"/>
      <c r="CK1325" s="3"/>
      <c r="CL1325" s="3"/>
      <c r="CM1325" s="3"/>
      <c r="CN1325" s="3"/>
      <c r="CO1325" s="3"/>
      <c r="CP1325" s="3"/>
      <c r="CQ1325" s="3"/>
      <c r="CR1325" s="3"/>
      <c r="CS1325" s="3"/>
      <c r="CT1325" s="3"/>
      <c r="CU1325" s="3"/>
      <c r="CV1325" s="3"/>
      <c r="CW1325" s="3"/>
      <c r="CX1325" s="3"/>
      <c r="CY1325" s="3"/>
      <c r="CZ1325" s="3"/>
      <c r="DA1325" s="3"/>
      <c r="DB1325" s="3"/>
      <c r="DC1325" s="3"/>
      <c r="DD1325" s="3"/>
      <c r="DE1325" s="3"/>
      <c r="DF1325" s="3"/>
    </row>
    <row r="1326" spans="8:110" x14ac:dyDescent="0.3">
      <c r="H1326" s="4">
        <f t="shared" si="200"/>
        <v>0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/>
      <c r="BK1326" s="3"/>
      <c r="BL1326" s="3"/>
      <c r="BM1326" s="3"/>
      <c r="BN1326" s="3"/>
      <c r="BO1326" s="3"/>
      <c r="BP1326" s="3"/>
      <c r="BQ1326" s="3"/>
      <c r="BR1326" s="3"/>
      <c r="BS1326" s="3"/>
      <c r="BT1326" s="3"/>
      <c r="BU1326" s="3"/>
      <c r="BV1326" s="3"/>
      <c r="BW1326" s="3"/>
      <c r="BX1326" s="3"/>
      <c r="BY1326" s="3"/>
      <c r="BZ1326" s="3"/>
      <c r="CA1326" s="3"/>
      <c r="CB1326" s="3"/>
      <c r="CC1326" s="3"/>
      <c r="CD1326" s="3"/>
      <c r="CE1326" s="3"/>
      <c r="CF1326" s="3"/>
      <c r="CG1326" s="3"/>
      <c r="CH1326" s="3"/>
      <c r="CI1326" s="3"/>
      <c r="CJ1326" s="3"/>
      <c r="CK1326" s="3"/>
      <c r="CL1326" s="3"/>
      <c r="CM1326" s="3"/>
      <c r="CN1326" s="3"/>
      <c r="CO1326" s="3"/>
      <c r="CP1326" s="3"/>
      <c r="CQ1326" s="3"/>
      <c r="CR1326" s="3"/>
      <c r="CS1326" s="3"/>
      <c r="CT1326" s="3"/>
      <c r="CU1326" s="3"/>
      <c r="CV1326" s="3"/>
      <c r="CW1326" s="3"/>
      <c r="CX1326" s="3"/>
      <c r="CY1326" s="3"/>
      <c r="CZ1326" s="3"/>
      <c r="DA1326" s="3"/>
      <c r="DB1326" s="3"/>
      <c r="DC1326" s="3"/>
      <c r="DD1326" s="3"/>
      <c r="DE1326" s="3"/>
      <c r="DF1326" s="3"/>
    </row>
    <row r="1327" spans="8:110" x14ac:dyDescent="0.3">
      <c r="H1327" s="4">
        <f t="shared" si="200"/>
        <v>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/>
      <c r="BK1327" s="3"/>
      <c r="BL1327" s="3"/>
      <c r="BM1327" s="3"/>
      <c r="BN1327" s="3"/>
      <c r="BO1327" s="3"/>
      <c r="BP1327" s="3"/>
      <c r="BQ1327" s="3"/>
      <c r="BR1327" s="3"/>
      <c r="BS1327" s="3"/>
      <c r="BT1327" s="3"/>
      <c r="BU1327" s="3"/>
      <c r="BV1327" s="3"/>
      <c r="BW1327" s="3"/>
      <c r="BX1327" s="3"/>
      <c r="BY1327" s="3"/>
      <c r="BZ1327" s="3"/>
      <c r="CA1327" s="3"/>
      <c r="CB1327" s="3"/>
      <c r="CC1327" s="3"/>
      <c r="CD1327" s="3"/>
      <c r="CE1327" s="3"/>
      <c r="CF1327" s="3"/>
      <c r="CG1327" s="3"/>
      <c r="CH1327" s="3"/>
      <c r="CI1327" s="3"/>
      <c r="CJ1327" s="3"/>
      <c r="CK1327" s="3"/>
      <c r="CL1327" s="3"/>
      <c r="CM1327" s="3"/>
      <c r="CN1327" s="3"/>
      <c r="CO1327" s="3"/>
      <c r="CP1327" s="3"/>
      <c r="CQ1327" s="3"/>
      <c r="CR1327" s="3"/>
      <c r="CS1327" s="3"/>
      <c r="CT1327" s="3"/>
      <c r="CU1327" s="3"/>
      <c r="CV1327" s="3"/>
      <c r="CW1327" s="3"/>
      <c r="CX1327" s="3"/>
      <c r="CY1327" s="3"/>
      <c r="CZ1327" s="3"/>
      <c r="DA1327" s="3"/>
      <c r="DB1327" s="3"/>
      <c r="DC1327" s="3"/>
      <c r="DD1327" s="3"/>
      <c r="DE1327" s="3"/>
      <c r="DF1327" s="3"/>
    </row>
    <row r="1328" spans="8:110" x14ac:dyDescent="0.3">
      <c r="H1328" s="4">
        <f t="shared" si="200"/>
        <v>0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  <c r="BM1328" s="3"/>
      <c r="BN1328" s="3"/>
      <c r="BO1328" s="3"/>
      <c r="BP1328" s="3"/>
      <c r="BQ1328" s="3"/>
      <c r="BR1328" s="3"/>
      <c r="BS1328" s="3"/>
      <c r="BT1328" s="3"/>
      <c r="BU1328" s="3"/>
      <c r="BV1328" s="3"/>
      <c r="BW1328" s="3"/>
      <c r="BX1328" s="3"/>
      <c r="BY1328" s="3"/>
      <c r="BZ1328" s="3"/>
      <c r="CA1328" s="3"/>
      <c r="CB1328" s="3"/>
      <c r="CC1328" s="3"/>
      <c r="CD1328" s="3"/>
      <c r="CE1328" s="3"/>
      <c r="CF1328" s="3"/>
      <c r="CG1328" s="3"/>
      <c r="CH1328" s="3"/>
      <c r="CI1328" s="3"/>
      <c r="CJ1328" s="3"/>
      <c r="CK1328" s="3"/>
      <c r="CL1328" s="3"/>
      <c r="CM1328" s="3"/>
      <c r="CN1328" s="3"/>
      <c r="CO1328" s="3"/>
      <c r="CP1328" s="3"/>
      <c r="CQ1328" s="3"/>
      <c r="CR1328" s="3"/>
      <c r="CS1328" s="3"/>
      <c r="CT1328" s="3"/>
      <c r="CU1328" s="3"/>
      <c r="CV1328" s="3"/>
      <c r="CW1328" s="3"/>
      <c r="CX1328" s="3"/>
      <c r="CY1328" s="3"/>
      <c r="CZ1328" s="3"/>
      <c r="DA1328" s="3"/>
      <c r="DB1328" s="3"/>
      <c r="DC1328" s="3"/>
      <c r="DD1328" s="3"/>
      <c r="DE1328" s="3"/>
      <c r="DF1328" s="3"/>
    </row>
    <row r="1329" spans="8:110" x14ac:dyDescent="0.3">
      <c r="H1329" s="4">
        <f t="shared" si="200"/>
        <v>0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/>
      <c r="BK1329" s="3"/>
      <c r="BL1329" s="3"/>
      <c r="BM1329" s="3"/>
      <c r="BN1329" s="3"/>
      <c r="BO1329" s="3"/>
      <c r="BP1329" s="3"/>
      <c r="BQ1329" s="3"/>
      <c r="BR1329" s="3"/>
      <c r="BS1329" s="3"/>
      <c r="BT1329" s="3"/>
      <c r="BU1329" s="3"/>
      <c r="BV1329" s="3"/>
      <c r="BW1329" s="3"/>
      <c r="BX1329" s="3"/>
      <c r="BY1329" s="3"/>
      <c r="BZ1329" s="3"/>
      <c r="CA1329" s="3"/>
      <c r="CB1329" s="3"/>
      <c r="CC1329" s="3"/>
      <c r="CD1329" s="3"/>
      <c r="CE1329" s="3"/>
      <c r="CF1329" s="3"/>
      <c r="CG1329" s="3"/>
      <c r="CH1329" s="3"/>
      <c r="CI1329" s="3"/>
      <c r="CJ1329" s="3"/>
      <c r="CK1329" s="3"/>
      <c r="CL1329" s="3"/>
      <c r="CM1329" s="3"/>
      <c r="CN1329" s="3"/>
      <c r="CO1329" s="3"/>
      <c r="CP1329" s="3"/>
      <c r="CQ1329" s="3"/>
      <c r="CR1329" s="3"/>
      <c r="CS1329" s="3"/>
      <c r="CT1329" s="3"/>
      <c r="CU1329" s="3"/>
      <c r="CV1329" s="3"/>
      <c r="CW1329" s="3"/>
      <c r="CX1329" s="3"/>
      <c r="CY1329" s="3"/>
      <c r="CZ1329" s="3"/>
      <c r="DA1329" s="3"/>
      <c r="DB1329" s="3"/>
      <c r="DC1329" s="3"/>
      <c r="DD1329" s="3"/>
      <c r="DE1329" s="3"/>
      <c r="DF1329" s="3"/>
    </row>
    <row r="1330" spans="8:110" x14ac:dyDescent="0.3">
      <c r="H1330" s="4">
        <f t="shared" si="200"/>
        <v>0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/>
      <c r="BN1330" s="3"/>
      <c r="BO1330" s="3"/>
      <c r="BP1330" s="3"/>
      <c r="BQ1330" s="3"/>
      <c r="BR1330" s="3"/>
      <c r="BS1330" s="3"/>
      <c r="BT1330" s="3"/>
      <c r="BU1330" s="3"/>
      <c r="BV1330" s="3"/>
      <c r="BW1330" s="3"/>
      <c r="BX1330" s="3"/>
      <c r="BY1330" s="3"/>
      <c r="BZ1330" s="3"/>
      <c r="CA1330" s="3"/>
      <c r="CB1330" s="3"/>
      <c r="CC1330" s="3"/>
      <c r="CD1330" s="3"/>
      <c r="CE1330" s="3"/>
      <c r="CF1330" s="3"/>
      <c r="CG1330" s="3"/>
      <c r="CH1330" s="3"/>
      <c r="CI1330" s="3"/>
      <c r="CJ1330" s="3"/>
      <c r="CK1330" s="3"/>
      <c r="CL1330" s="3"/>
      <c r="CM1330" s="3"/>
      <c r="CN1330" s="3"/>
      <c r="CO1330" s="3"/>
      <c r="CP1330" s="3"/>
      <c r="CQ1330" s="3"/>
      <c r="CR1330" s="3"/>
      <c r="CS1330" s="3"/>
      <c r="CT1330" s="3"/>
      <c r="CU1330" s="3"/>
      <c r="CV1330" s="3"/>
      <c r="CW1330" s="3"/>
      <c r="CX1330" s="3"/>
      <c r="CY1330" s="3"/>
      <c r="CZ1330" s="3"/>
      <c r="DA1330" s="3"/>
      <c r="DB1330" s="3"/>
      <c r="DC1330" s="3"/>
      <c r="DD1330" s="3"/>
      <c r="DE1330" s="3"/>
      <c r="DF1330" s="3"/>
    </row>
    <row r="1331" spans="8:110" x14ac:dyDescent="0.3">
      <c r="H1331" s="4">
        <f t="shared" si="200"/>
        <v>0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/>
      <c r="BK1331" s="3"/>
      <c r="BL1331" s="3"/>
      <c r="BM1331" s="3"/>
      <c r="BN1331" s="3"/>
      <c r="BO1331" s="3"/>
      <c r="BP1331" s="3"/>
      <c r="BQ1331" s="3"/>
      <c r="BR1331" s="3"/>
      <c r="BS1331" s="3"/>
      <c r="BT1331" s="3"/>
      <c r="BU1331" s="3"/>
      <c r="BV1331" s="3"/>
      <c r="BW1331" s="3"/>
      <c r="BX1331" s="3"/>
      <c r="BY1331" s="3"/>
      <c r="BZ1331" s="3"/>
      <c r="CA1331" s="3"/>
      <c r="CB1331" s="3"/>
      <c r="CC1331" s="3"/>
      <c r="CD1331" s="3"/>
      <c r="CE1331" s="3"/>
      <c r="CF1331" s="3"/>
      <c r="CG1331" s="3"/>
      <c r="CH1331" s="3"/>
      <c r="CI1331" s="3"/>
      <c r="CJ1331" s="3"/>
      <c r="CK1331" s="3"/>
      <c r="CL1331" s="3"/>
      <c r="CM1331" s="3"/>
      <c r="CN1331" s="3"/>
      <c r="CO1331" s="3"/>
      <c r="CP1331" s="3"/>
      <c r="CQ1331" s="3"/>
      <c r="CR1331" s="3"/>
      <c r="CS1331" s="3"/>
      <c r="CT1331" s="3"/>
      <c r="CU1331" s="3"/>
      <c r="CV1331" s="3"/>
      <c r="CW1331" s="3"/>
      <c r="CX1331" s="3"/>
      <c r="CY1331" s="3"/>
      <c r="CZ1331" s="3"/>
      <c r="DA1331" s="3"/>
      <c r="DB1331" s="3"/>
      <c r="DC1331" s="3"/>
      <c r="DD1331" s="3"/>
      <c r="DE1331" s="3"/>
      <c r="DF1331" s="3"/>
    </row>
    <row r="1332" spans="8:110" x14ac:dyDescent="0.3">
      <c r="H1332" s="4">
        <f t="shared" si="200"/>
        <v>0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  <c r="BQ1332" s="3"/>
      <c r="BR1332" s="3"/>
      <c r="BS1332" s="3"/>
      <c r="BT1332" s="3"/>
      <c r="BU1332" s="3"/>
      <c r="BV1332" s="3"/>
      <c r="BW1332" s="3"/>
      <c r="BX1332" s="3"/>
      <c r="BY1332" s="3"/>
      <c r="BZ1332" s="3"/>
      <c r="CA1332" s="3"/>
      <c r="CB1332" s="3"/>
      <c r="CC1332" s="3"/>
      <c r="CD1332" s="3"/>
      <c r="CE1332" s="3"/>
      <c r="CF1332" s="3"/>
      <c r="CG1332" s="3"/>
      <c r="CH1332" s="3"/>
      <c r="CI1332" s="3"/>
      <c r="CJ1332" s="3"/>
      <c r="CK1332" s="3"/>
      <c r="CL1332" s="3"/>
      <c r="CM1332" s="3"/>
      <c r="CN1332" s="3"/>
      <c r="CO1332" s="3"/>
      <c r="CP1332" s="3"/>
      <c r="CQ1332" s="3"/>
      <c r="CR1332" s="3"/>
      <c r="CS1332" s="3"/>
      <c r="CT1332" s="3"/>
      <c r="CU1332" s="3"/>
      <c r="CV1332" s="3"/>
      <c r="CW1332" s="3"/>
      <c r="CX1332" s="3"/>
      <c r="CY1332" s="3"/>
      <c r="CZ1332" s="3"/>
      <c r="DA1332" s="3"/>
      <c r="DB1332" s="3"/>
      <c r="DC1332" s="3"/>
      <c r="DD1332" s="3"/>
      <c r="DE1332" s="3"/>
      <c r="DF1332" s="3"/>
    </row>
    <row r="1333" spans="8:110" x14ac:dyDescent="0.3">
      <c r="H1333" s="4">
        <f t="shared" si="200"/>
        <v>0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/>
      <c r="BK1333" s="3"/>
      <c r="BL1333" s="3"/>
      <c r="BM1333" s="3"/>
      <c r="BN1333" s="3"/>
      <c r="BO1333" s="3"/>
      <c r="BP1333" s="3"/>
      <c r="BQ1333" s="3"/>
      <c r="BR1333" s="3"/>
      <c r="BS1333" s="3"/>
      <c r="BT1333" s="3"/>
      <c r="BU1333" s="3"/>
      <c r="BV1333" s="3"/>
      <c r="BW1333" s="3"/>
      <c r="BX1333" s="3"/>
      <c r="BY1333" s="3"/>
      <c r="BZ1333" s="3"/>
      <c r="CA1333" s="3"/>
      <c r="CB1333" s="3"/>
      <c r="CC1333" s="3"/>
      <c r="CD1333" s="3"/>
      <c r="CE1333" s="3"/>
      <c r="CF1333" s="3"/>
      <c r="CG1333" s="3"/>
      <c r="CH1333" s="3"/>
      <c r="CI1333" s="3"/>
      <c r="CJ1333" s="3"/>
      <c r="CK1333" s="3"/>
      <c r="CL1333" s="3"/>
      <c r="CM1333" s="3"/>
      <c r="CN1333" s="3"/>
      <c r="CO1333" s="3"/>
      <c r="CP1333" s="3"/>
      <c r="CQ1333" s="3"/>
      <c r="CR1333" s="3"/>
      <c r="CS1333" s="3"/>
      <c r="CT1333" s="3"/>
      <c r="CU1333" s="3"/>
      <c r="CV1333" s="3"/>
      <c r="CW1333" s="3"/>
      <c r="CX1333" s="3"/>
      <c r="CY1333" s="3"/>
      <c r="CZ1333" s="3"/>
      <c r="DA1333" s="3"/>
      <c r="DB1333" s="3"/>
      <c r="DC1333" s="3"/>
      <c r="DD1333" s="3"/>
      <c r="DE1333" s="3"/>
      <c r="DF1333" s="3"/>
    </row>
    <row r="1334" spans="8:110" x14ac:dyDescent="0.3">
      <c r="H1334" s="4">
        <f t="shared" si="200"/>
        <v>0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  <c r="BM1334" s="3"/>
      <c r="BN1334" s="3"/>
      <c r="BO1334" s="3"/>
      <c r="BP1334" s="3"/>
      <c r="BQ1334" s="3"/>
      <c r="BR1334" s="3"/>
      <c r="BS1334" s="3"/>
      <c r="BT1334" s="3"/>
      <c r="BU1334" s="3"/>
      <c r="BV1334" s="3"/>
      <c r="BW1334" s="3"/>
      <c r="BX1334" s="3"/>
      <c r="BY1334" s="3"/>
      <c r="BZ1334" s="3"/>
      <c r="CA1334" s="3"/>
      <c r="CB1334" s="3"/>
      <c r="CC1334" s="3"/>
      <c r="CD1334" s="3"/>
      <c r="CE1334" s="3"/>
      <c r="CF1334" s="3"/>
      <c r="CG1334" s="3"/>
      <c r="CH1334" s="3"/>
      <c r="CI1334" s="3"/>
      <c r="CJ1334" s="3"/>
      <c r="CK1334" s="3"/>
      <c r="CL1334" s="3"/>
      <c r="CM1334" s="3"/>
      <c r="CN1334" s="3"/>
      <c r="CO1334" s="3"/>
      <c r="CP1334" s="3"/>
      <c r="CQ1334" s="3"/>
      <c r="CR1334" s="3"/>
      <c r="CS1334" s="3"/>
      <c r="CT1334" s="3"/>
      <c r="CU1334" s="3"/>
      <c r="CV1334" s="3"/>
      <c r="CW1334" s="3"/>
      <c r="CX1334" s="3"/>
      <c r="CY1334" s="3"/>
      <c r="CZ1334" s="3"/>
      <c r="DA1334" s="3"/>
      <c r="DB1334" s="3"/>
      <c r="DC1334" s="3"/>
      <c r="DD1334" s="3"/>
      <c r="DE1334" s="3"/>
      <c r="DF1334" s="3"/>
    </row>
    <row r="1335" spans="8:110" x14ac:dyDescent="0.3">
      <c r="H1335" s="4">
        <f t="shared" si="200"/>
        <v>0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/>
      <c r="BK1335" s="3"/>
      <c r="BL1335" s="3"/>
      <c r="BM1335" s="3"/>
      <c r="BN1335" s="3"/>
      <c r="BO1335" s="3"/>
      <c r="BP1335" s="3"/>
      <c r="BQ1335" s="3"/>
      <c r="BR1335" s="3"/>
      <c r="BS1335" s="3"/>
      <c r="BT1335" s="3"/>
      <c r="BU1335" s="3"/>
      <c r="BV1335" s="3"/>
      <c r="BW1335" s="3"/>
      <c r="BX1335" s="3"/>
      <c r="BY1335" s="3"/>
      <c r="BZ1335" s="3"/>
      <c r="CA1335" s="3"/>
      <c r="CB1335" s="3"/>
      <c r="CC1335" s="3"/>
      <c r="CD1335" s="3"/>
      <c r="CE1335" s="3"/>
      <c r="CF1335" s="3"/>
      <c r="CG1335" s="3"/>
      <c r="CH1335" s="3"/>
      <c r="CI1335" s="3"/>
      <c r="CJ1335" s="3"/>
      <c r="CK1335" s="3"/>
      <c r="CL1335" s="3"/>
      <c r="CM1335" s="3"/>
      <c r="CN1335" s="3"/>
      <c r="CO1335" s="3"/>
      <c r="CP1335" s="3"/>
      <c r="CQ1335" s="3"/>
      <c r="CR1335" s="3"/>
      <c r="CS1335" s="3"/>
      <c r="CT1335" s="3"/>
      <c r="CU1335" s="3"/>
      <c r="CV1335" s="3"/>
      <c r="CW1335" s="3"/>
      <c r="CX1335" s="3"/>
      <c r="CY1335" s="3"/>
      <c r="CZ1335" s="3"/>
      <c r="DA1335" s="3"/>
      <c r="DB1335" s="3"/>
      <c r="DC1335" s="3"/>
      <c r="DD1335" s="3"/>
      <c r="DE1335" s="3"/>
      <c r="DF1335" s="3"/>
    </row>
    <row r="1336" spans="8:110" x14ac:dyDescent="0.3">
      <c r="H1336" s="4">
        <f t="shared" si="200"/>
        <v>0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/>
      <c r="BK1336" s="3"/>
      <c r="BL1336" s="3"/>
      <c r="BM1336" s="3"/>
      <c r="BN1336" s="3"/>
      <c r="BO1336" s="3"/>
      <c r="BP1336" s="3"/>
      <c r="BQ1336" s="3"/>
      <c r="BR1336" s="3"/>
      <c r="BS1336" s="3"/>
      <c r="BT1336" s="3"/>
      <c r="BU1336" s="3"/>
      <c r="BV1336" s="3"/>
      <c r="BW1336" s="3"/>
      <c r="BX1336" s="3"/>
      <c r="BY1336" s="3"/>
      <c r="BZ1336" s="3"/>
      <c r="CA1336" s="3"/>
      <c r="CB1336" s="3"/>
      <c r="CC1336" s="3"/>
      <c r="CD1336" s="3"/>
      <c r="CE1336" s="3"/>
      <c r="CF1336" s="3"/>
      <c r="CG1336" s="3"/>
      <c r="CH1336" s="3"/>
      <c r="CI1336" s="3"/>
      <c r="CJ1336" s="3"/>
      <c r="CK1336" s="3"/>
      <c r="CL1336" s="3"/>
      <c r="CM1336" s="3"/>
      <c r="CN1336" s="3"/>
      <c r="CO1336" s="3"/>
      <c r="CP1336" s="3"/>
      <c r="CQ1336" s="3"/>
      <c r="CR1336" s="3"/>
      <c r="CS1336" s="3"/>
      <c r="CT1336" s="3"/>
      <c r="CU1336" s="3"/>
      <c r="CV1336" s="3"/>
      <c r="CW1336" s="3"/>
      <c r="CX1336" s="3"/>
      <c r="CY1336" s="3"/>
      <c r="CZ1336" s="3"/>
      <c r="DA1336" s="3"/>
      <c r="DB1336" s="3"/>
      <c r="DC1336" s="3"/>
      <c r="DD1336" s="3"/>
      <c r="DE1336" s="3"/>
      <c r="DF1336" s="3"/>
    </row>
    <row r="1337" spans="8:110" x14ac:dyDescent="0.3">
      <c r="H1337" s="4">
        <f t="shared" si="200"/>
        <v>0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/>
      <c r="BK1337" s="3"/>
      <c r="BL1337" s="3"/>
      <c r="BM1337" s="3"/>
      <c r="BN1337" s="3"/>
      <c r="BO1337" s="3"/>
      <c r="BP1337" s="3"/>
      <c r="BQ1337" s="3"/>
      <c r="BR1337" s="3"/>
      <c r="BS1337" s="3"/>
      <c r="BT1337" s="3"/>
      <c r="BU1337" s="3"/>
      <c r="BV1337" s="3"/>
      <c r="BW1337" s="3"/>
      <c r="BX1337" s="3"/>
      <c r="BY1337" s="3"/>
      <c r="BZ1337" s="3"/>
      <c r="CA1337" s="3"/>
      <c r="CB1337" s="3"/>
      <c r="CC1337" s="3"/>
      <c r="CD1337" s="3"/>
      <c r="CE1337" s="3"/>
      <c r="CF1337" s="3"/>
      <c r="CG1337" s="3"/>
      <c r="CH1337" s="3"/>
      <c r="CI1337" s="3"/>
      <c r="CJ1337" s="3"/>
      <c r="CK1337" s="3"/>
      <c r="CL1337" s="3"/>
      <c r="CM1337" s="3"/>
      <c r="CN1337" s="3"/>
      <c r="CO1337" s="3"/>
      <c r="CP1337" s="3"/>
      <c r="CQ1337" s="3"/>
      <c r="CR1337" s="3"/>
      <c r="CS1337" s="3"/>
      <c r="CT1337" s="3"/>
      <c r="CU1337" s="3"/>
      <c r="CV1337" s="3"/>
      <c r="CW1337" s="3"/>
      <c r="CX1337" s="3"/>
      <c r="CY1337" s="3"/>
      <c r="CZ1337" s="3"/>
      <c r="DA1337" s="3"/>
      <c r="DB1337" s="3"/>
      <c r="DC1337" s="3"/>
      <c r="DD1337" s="3"/>
      <c r="DE1337" s="3"/>
      <c r="DF1337" s="3"/>
    </row>
    <row r="1338" spans="8:110" x14ac:dyDescent="0.3">
      <c r="H1338" s="4">
        <f t="shared" si="200"/>
        <v>0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  <c r="BM1338" s="3"/>
      <c r="BN1338" s="3"/>
      <c r="BO1338" s="3"/>
      <c r="BP1338" s="3"/>
      <c r="BQ1338" s="3"/>
      <c r="BR1338" s="3"/>
      <c r="BS1338" s="3"/>
      <c r="BT1338" s="3"/>
      <c r="BU1338" s="3"/>
      <c r="BV1338" s="3"/>
      <c r="BW1338" s="3"/>
      <c r="BX1338" s="3"/>
      <c r="BY1338" s="3"/>
      <c r="BZ1338" s="3"/>
      <c r="CA1338" s="3"/>
      <c r="CB1338" s="3"/>
      <c r="CC1338" s="3"/>
      <c r="CD1338" s="3"/>
      <c r="CE1338" s="3"/>
      <c r="CF1338" s="3"/>
      <c r="CG1338" s="3"/>
      <c r="CH1338" s="3"/>
      <c r="CI1338" s="3"/>
      <c r="CJ1338" s="3"/>
      <c r="CK1338" s="3"/>
      <c r="CL1338" s="3"/>
      <c r="CM1338" s="3"/>
      <c r="CN1338" s="3"/>
      <c r="CO1338" s="3"/>
      <c r="CP1338" s="3"/>
      <c r="CQ1338" s="3"/>
      <c r="CR1338" s="3"/>
      <c r="CS1338" s="3"/>
      <c r="CT1338" s="3"/>
      <c r="CU1338" s="3"/>
      <c r="CV1338" s="3"/>
      <c r="CW1338" s="3"/>
      <c r="CX1338" s="3"/>
      <c r="CY1338" s="3"/>
      <c r="CZ1338" s="3"/>
      <c r="DA1338" s="3"/>
      <c r="DB1338" s="3"/>
      <c r="DC1338" s="3"/>
      <c r="DD1338" s="3"/>
      <c r="DE1338" s="3"/>
      <c r="DF1338" s="3"/>
    </row>
    <row r="1339" spans="8:110" x14ac:dyDescent="0.3">
      <c r="H1339" s="4">
        <f t="shared" si="200"/>
        <v>0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/>
      <c r="BK1339" s="3"/>
      <c r="BL1339" s="3"/>
      <c r="BM1339" s="3"/>
      <c r="BN1339" s="3"/>
      <c r="BO1339" s="3"/>
      <c r="BP1339" s="3"/>
      <c r="BQ1339" s="3"/>
      <c r="BR1339" s="3"/>
      <c r="BS1339" s="3"/>
      <c r="BT1339" s="3"/>
      <c r="BU1339" s="3"/>
      <c r="BV1339" s="3"/>
      <c r="BW1339" s="3"/>
      <c r="BX1339" s="3"/>
      <c r="BY1339" s="3"/>
      <c r="BZ1339" s="3"/>
      <c r="CA1339" s="3"/>
      <c r="CB1339" s="3"/>
      <c r="CC1339" s="3"/>
      <c r="CD1339" s="3"/>
      <c r="CE1339" s="3"/>
      <c r="CF1339" s="3"/>
      <c r="CG1339" s="3"/>
      <c r="CH1339" s="3"/>
      <c r="CI1339" s="3"/>
      <c r="CJ1339" s="3"/>
      <c r="CK1339" s="3"/>
      <c r="CL1339" s="3"/>
      <c r="CM1339" s="3"/>
      <c r="CN1339" s="3"/>
      <c r="CO1339" s="3"/>
      <c r="CP1339" s="3"/>
      <c r="CQ1339" s="3"/>
      <c r="CR1339" s="3"/>
      <c r="CS1339" s="3"/>
      <c r="CT1339" s="3"/>
      <c r="CU1339" s="3"/>
      <c r="CV1339" s="3"/>
      <c r="CW1339" s="3"/>
      <c r="CX1339" s="3"/>
      <c r="CY1339" s="3"/>
      <c r="CZ1339" s="3"/>
      <c r="DA1339" s="3"/>
      <c r="DB1339" s="3"/>
      <c r="DC1339" s="3"/>
      <c r="DD1339" s="3"/>
      <c r="DE1339" s="3"/>
      <c r="DF1339" s="3"/>
    </row>
    <row r="1340" spans="8:110" x14ac:dyDescent="0.3">
      <c r="H1340" s="4">
        <f t="shared" si="200"/>
        <v>0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  <c r="BK1340" s="3"/>
      <c r="BL1340" s="3"/>
      <c r="BM1340" s="3"/>
      <c r="BN1340" s="3"/>
      <c r="BO1340" s="3"/>
      <c r="BP1340" s="3"/>
      <c r="BQ1340" s="3"/>
      <c r="BR1340" s="3"/>
      <c r="BS1340" s="3"/>
      <c r="BT1340" s="3"/>
      <c r="BU1340" s="3"/>
      <c r="BV1340" s="3"/>
      <c r="BW1340" s="3"/>
      <c r="BX1340" s="3"/>
      <c r="BY1340" s="3"/>
      <c r="BZ1340" s="3"/>
      <c r="CA1340" s="3"/>
      <c r="CB1340" s="3"/>
      <c r="CC1340" s="3"/>
      <c r="CD1340" s="3"/>
      <c r="CE1340" s="3"/>
      <c r="CF1340" s="3"/>
      <c r="CG1340" s="3"/>
      <c r="CH1340" s="3"/>
      <c r="CI1340" s="3"/>
      <c r="CJ1340" s="3"/>
      <c r="CK1340" s="3"/>
      <c r="CL1340" s="3"/>
      <c r="CM1340" s="3"/>
      <c r="CN1340" s="3"/>
      <c r="CO1340" s="3"/>
      <c r="CP1340" s="3"/>
      <c r="CQ1340" s="3"/>
      <c r="CR1340" s="3"/>
      <c r="CS1340" s="3"/>
      <c r="CT1340" s="3"/>
      <c r="CU1340" s="3"/>
      <c r="CV1340" s="3"/>
      <c r="CW1340" s="3"/>
      <c r="CX1340" s="3"/>
      <c r="CY1340" s="3"/>
      <c r="CZ1340" s="3"/>
      <c r="DA1340" s="3"/>
      <c r="DB1340" s="3"/>
      <c r="DC1340" s="3"/>
      <c r="DD1340" s="3"/>
      <c r="DE1340" s="3"/>
      <c r="DF1340" s="3"/>
    </row>
    <row r="1341" spans="8:110" x14ac:dyDescent="0.3">
      <c r="H1341" s="4">
        <f t="shared" si="200"/>
        <v>0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/>
      <c r="BK1341" s="3"/>
      <c r="BL1341" s="3"/>
      <c r="BM1341" s="3"/>
      <c r="BN1341" s="3"/>
      <c r="BO1341" s="3"/>
      <c r="BP1341" s="3"/>
      <c r="BQ1341" s="3"/>
      <c r="BR1341" s="3"/>
      <c r="BS1341" s="3"/>
      <c r="BT1341" s="3"/>
      <c r="BU1341" s="3"/>
      <c r="BV1341" s="3"/>
      <c r="BW1341" s="3"/>
      <c r="BX1341" s="3"/>
      <c r="BY1341" s="3"/>
      <c r="BZ1341" s="3"/>
      <c r="CA1341" s="3"/>
      <c r="CB1341" s="3"/>
      <c r="CC1341" s="3"/>
      <c r="CD1341" s="3"/>
      <c r="CE1341" s="3"/>
      <c r="CF1341" s="3"/>
      <c r="CG1341" s="3"/>
      <c r="CH1341" s="3"/>
      <c r="CI1341" s="3"/>
      <c r="CJ1341" s="3"/>
      <c r="CK1341" s="3"/>
      <c r="CL1341" s="3"/>
      <c r="CM1341" s="3"/>
      <c r="CN1341" s="3"/>
      <c r="CO1341" s="3"/>
      <c r="CP1341" s="3"/>
      <c r="CQ1341" s="3"/>
      <c r="CR1341" s="3"/>
      <c r="CS1341" s="3"/>
      <c r="CT1341" s="3"/>
      <c r="CU1341" s="3"/>
      <c r="CV1341" s="3"/>
      <c r="CW1341" s="3"/>
      <c r="CX1341" s="3"/>
      <c r="CY1341" s="3"/>
      <c r="CZ1341" s="3"/>
      <c r="DA1341" s="3"/>
      <c r="DB1341" s="3"/>
      <c r="DC1341" s="3"/>
      <c r="DD1341" s="3"/>
      <c r="DE1341" s="3"/>
      <c r="DF1341" s="3"/>
    </row>
    <row r="1342" spans="8:110" x14ac:dyDescent="0.3">
      <c r="H1342" s="4">
        <f t="shared" ref="H1342:H1405" si="201">D1342-C1342</f>
        <v>0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  <c r="BQ1342" s="3"/>
      <c r="BR1342" s="3"/>
      <c r="BS1342" s="3"/>
      <c r="BT1342" s="3"/>
      <c r="BU1342" s="3"/>
      <c r="BV1342" s="3"/>
      <c r="BW1342" s="3"/>
      <c r="BX1342" s="3"/>
      <c r="BY1342" s="3"/>
      <c r="BZ1342" s="3"/>
      <c r="CA1342" s="3"/>
      <c r="CB1342" s="3"/>
      <c r="CC1342" s="3"/>
      <c r="CD1342" s="3"/>
      <c r="CE1342" s="3"/>
      <c r="CF1342" s="3"/>
      <c r="CG1342" s="3"/>
      <c r="CH1342" s="3"/>
      <c r="CI1342" s="3"/>
      <c r="CJ1342" s="3"/>
      <c r="CK1342" s="3"/>
      <c r="CL1342" s="3"/>
      <c r="CM1342" s="3"/>
      <c r="CN1342" s="3"/>
      <c r="CO1342" s="3"/>
      <c r="CP1342" s="3"/>
      <c r="CQ1342" s="3"/>
      <c r="CR1342" s="3"/>
      <c r="CS1342" s="3"/>
      <c r="CT1342" s="3"/>
      <c r="CU1342" s="3"/>
      <c r="CV1342" s="3"/>
      <c r="CW1342" s="3"/>
      <c r="CX1342" s="3"/>
      <c r="CY1342" s="3"/>
      <c r="CZ1342" s="3"/>
      <c r="DA1342" s="3"/>
      <c r="DB1342" s="3"/>
      <c r="DC1342" s="3"/>
      <c r="DD1342" s="3"/>
      <c r="DE1342" s="3"/>
      <c r="DF1342" s="3"/>
    </row>
    <row r="1343" spans="8:110" x14ac:dyDescent="0.3">
      <c r="H1343" s="4">
        <f t="shared" si="201"/>
        <v>0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/>
      <c r="BK1343" s="3"/>
      <c r="BL1343" s="3"/>
      <c r="BM1343" s="3"/>
      <c r="BN1343" s="3"/>
      <c r="BO1343" s="3"/>
      <c r="BP1343" s="3"/>
      <c r="BQ1343" s="3"/>
      <c r="BR1343" s="3"/>
      <c r="BS1343" s="3"/>
      <c r="BT1343" s="3"/>
      <c r="BU1343" s="3"/>
      <c r="BV1343" s="3"/>
      <c r="BW1343" s="3"/>
      <c r="BX1343" s="3"/>
      <c r="BY1343" s="3"/>
      <c r="BZ1343" s="3"/>
      <c r="CA1343" s="3"/>
      <c r="CB1343" s="3"/>
      <c r="CC1343" s="3"/>
      <c r="CD1343" s="3"/>
      <c r="CE1343" s="3"/>
      <c r="CF1343" s="3"/>
      <c r="CG1343" s="3"/>
      <c r="CH1343" s="3"/>
      <c r="CI1343" s="3"/>
      <c r="CJ1343" s="3"/>
      <c r="CK1343" s="3"/>
      <c r="CL1343" s="3"/>
      <c r="CM1343" s="3"/>
      <c r="CN1343" s="3"/>
      <c r="CO1343" s="3"/>
      <c r="CP1343" s="3"/>
      <c r="CQ1343" s="3"/>
      <c r="CR1343" s="3"/>
      <c r="CS1343" s="3"/>
      <c r="CT1343" s="3"/>
      <c r="CU1343" s="3"/>
      <c r="CV1343" s="3"/>
      <c r="CW1343" s="3"/>
      <c r="CX1343" s="3"/>
      <c r="CY1343" s="3"/>
      <c r="CZ1343" s="3"/>
      <c r="DA1343" s="3"/>
      <c r="DB1343" s="3"/>
      <c r="DC1343" s="3"/>
      <c r="DD1343" s="3"/>
      <c r="DE1343" s="3"/>
      <c r="DF1343" s="3"/>
    </row>
    <row r="1344" spans="8:110" x14ac:dyDescent="0.3">
      <c r="H1344" s="4">
        <f t="shared" si="201"/>
        <v>0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  <c r="BQ1344" s="3"/>
      <c r="BR1344" s="3"/>
      <c r="BS1344" s="3"/>
      <c r="BT1344" s="3"/>
      <c r="BU1344" s="3"/>
      <c r="BV1344" s="3"/>
      <c r="BW1344" s="3"/>
      <c r="BX1344" s="3"/>
      <c r="BY1344" s="3"/>
      <c r="BZ1344" s="3"/>
      <c r="CA1344" s="3"/>
      <c r="CB1344" s="3"/>
      <c r="CC1344" s="3"/>
      <c r="CD1344" s="3"/>
      <c r="CE1344" s="3"/>
      <c r="CF1344" s="3"/>
      <c r="CG1344" s="3"/>
      <c r="CH1344" s="3"/>
      <c r="CI1344" s="3"/>
      <c r="CJ1344" s="3"/>
      <c r="CK1344" s="3"/>
      <c r="CL1344" s="3"/>
      <c r="CM1344" s="3"/>
      <c r="CN1344" s="3"/>
      <c r="CO1344" s="3"/>
      <c r="CP1344" s="3"/>
      <c r="CQ1344" s="3"/>
      <c r="CR1344" s="3"/>
      <c r="CS1344" s="3"/>
      <c r="CT1344" s="3"/>
      <c r="CU1344" s="3"/>
      <c r="CV1344" s="3"/>
      <c r="CW1344" s="3"/>
      <c r="CX1344" s="3"/>
      <c r="CY1344" s="3"/>
      <c r="CZ1344" s="3"/>
      <c r="DA1344" s="3"/>
      <c r="DB1344" s="3"/>
      <c r="DC1344" s="3"/>
      <c r="DD1344" s="3"/>
      <c r="DE1344" s="3"/>
      <c r="DF1344" s="3"/>
    </row>
    <row r="1345" spans="8:110" x14ac:dyDescent="0.3">
      <c r="H1345" s="4">
        <f t="shared" si="201"/>
        <v>0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</row>
    <row r="1346" spans="8:110" x14ac:dyDescent="0.3">
      <c r="H1346" s="4">
        <f t="shared" si="201"/>
        <v>0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</row>
    <row r="1347" spans="8:110" x14ac:dyDescent="0.3">
      <c r="H1347" s="4">
        <f t="shared" si="201"/>
        <v>0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</row>
    <row r="1348" spans="8:110" x14ac:dyDescent="0.3">
      <c r="H1348" s="4">
        <f t="shared" si="201"/>
        <v>0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</row>
    <row r="1349" spans="8:110" x14ac:dyDescent="0.3">
      <c r="H1349" s="4">
        <f t="shared" si="201"/>
        <v>0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</row>
    <row r="1350" spans="8:110" x14ac:dyDescent="0.3">
      <c r="H1350" s="4">
        <f t="shared" si="201"/>
        <v>0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</row>
    <row r="1351" spans="8:110" x14ac:dyDescent="0.3">
      <c r="H1351" s="4">
        <f t="shared" si="201"/>
        <v>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</row>
    <row r="1352" spans="8:110" x14ac:dyDescent="0.3">
      <c r="H1352" s="4">
        <f t="shared" si="201"/>
        <v>0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</row>
    <row r="1353" spans="8:110" x14ac:dyDescent="0.3">
      <c r="H1353" s="4">
        <f t="shared" si="201"/>
        <v>0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</row>
    <row r="1354" spans="8:110" x14ac:dyDescent="0.3">
      <c r="H1354" s="4">
        <f t="shared" si="201"/>
        <v>0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</row>
    <row r="1355" spans="8:110" x14ac:dyDescent="0.3">
      <c r="H1355" s="4">
        <f t="shared" si="201"/>
        <v>0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</row>
    <row r="1356" spans="8:110" x14ac:dyDescent="0.3">
      <c r="H1356" s="4">
        <f t="shared" si="201"/>
        <v>0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</row>
    <row r="1357" spans="8:110" x14ac:dyDescent="0.3">
      <c r="H1357" s="4">
        <f t="shared" si="201"/>
        <v>0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</row>
    <row r="1358" spans="8:110" x14ac:dyDescent="0.3">
      <c r="H1358" s="4">
        <f t="shared" si="201"/>
        <v>0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</row>
    <row r="1359" spans="8:110" x14ac:dyDescent="0.3">
      <c r="H1359" s="4">
        <f t="shared" si="201"/>
        <v>0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</row>
    <row r="1360" spans="8:110" x14ac:dyDescent="0.3">
      <c r="H1360" s="4">
        <f t="shared" si="201"/>
        <v>0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</row>
    <row r="1361" spans="8:110" x14ac:dyDescent="0.3">
      <c r="H1361" s="4">
        <f t="shared" si="201"/>
        <v>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</row>
    <row r="1362" spans="8:110" x14ac:dyDescent="0.3">
      <c r="H1362" s="4">
        <f t="shared" si="201"/>
        <v>0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</row>
    <row r="1363" spans="8:110" x14ac:dyDescent="0.3">
      <c r="H1363" s="4">
        <f t="shared" si="201"/>
        <v>0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</row>
    <row r="1364" spans="8:110" x14ac:dyDescent="0.3">
      <c r="H1364" s="4">
        <f t="shared" si="201"/>
        <v>0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</row>
    <row r="1365" spans="8:110" x14ac:dyDescent="0.3">
      <c r="H1365" s="4">
        <f t="shared" si="201"/>
        <v>0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/>
      <c r="BK1365" s="3"/>
      <c r="BL1365" s="3"/>
      <c r="BM1365" s="3"/>
      <c r="BN1365" s="3"/>
      <c r="BO1365" s="3"/>
      <c r="BP1365" s="3"/>
      <c r="BQ1365" s="3"/>
      <c r="BR1365" s="3"/>
      <c r="BS1365" s="3"/>
      <c r="BT1365" s="3"/>
      <c r="BU1365" s="3"/>
      <c r="BV1365" s="3"/>
      <c r="BW1365" s="3"/>
      <c r="BX1365" s="3"/>
      <c r="BY1365" s="3"/>
      <c r="BZ1365" s="3"/>
      <c r="CA1365" s="3"/>
      <c r="CB1365" s="3"/>
      <c r="CC1365" s="3"/>
      <c r="CD1365" s="3"/>
      <c r="CE1365" s="3"/>
      <c r="CF1365" s="3"/>
      <c r="CG1365" s="3"/>
      <c r="CH1365" s="3"/>
      <c r="CI1365" s="3"/>
      <c r="CJ1365" s="3"/>
      <c r="CK1365" s="3"/>
      <c r="CL1365" s="3"/>
      <c r="CM1365" s="3"/>
      <c r="CN1365" s="3"/>
      <c r="CO1365" s="3"/>
      <c r="CP1365" s="3"/>
      <c r="CQ1365" s="3"/>
      <c r="CR1365" s="3"/>
      <c r="CS1365" s="3"/>
      <c r="CT1365" s="3"/>
      <c r="CU1365" s="3"/>
      <c r="CV1365" s="3"/>
      <c r="CW1365" s="3"/>
      <c r="CX1365" s="3"/>
      <c r="CY1365" s="3"/>
      <c r="CZ1365" s="3"/>
      <c r="DA1365" s="3"/>
      <c r="DB1365" s="3"/>
      <c r="DC1365" s="3"/>
      <c r="DD1365" s="3"/>
      <c r="DE1365" s="3"/>
      <c r="DF1365" s="3"/>
    </row>
    <row r="1366" spans="8:110" x14ac:dyDescent="0.3">
      <c r="H1366" s="4">
        <f t="shared" si="201"/>
        <v>0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/>
      <c r="BZ1366" s="3"/>
      <c r="CA1366" s="3"/>
      <c r="CB1366" s="3"/>
      <c r="CC1366" s="3"/>
      <c r="CD1366" s="3"/>
      <c r="CE1366" s="3"/>
      <c r="CF1366" s="3"/>
      <c r="CG1366" s="3"/>
      <c r="CH1366" s="3"/>
      <c r="CI1366" s="3"/>
      <c r="CJ1366" s="3"/>
      <c r="CK1366" s="3"/>
      <c r="CL1366" s="3"/>
      <c r="CM1366" s="3"/>
      <c r="CN1366" s="3"/>
      <c r="CO1366" s="3"/>
      <c r="CP1366" s="3"/>
      <c r="CQ1366" s="3"/>
      <c r="CR1366" s="3"/>
      <c r="CS1366" s="3"/>
      <c r="CT1366" s="3"/>
      <c r="CU1366" s="3"/>
      <c r="CV1366" s="3"/>
      <c r="CW1366" s="3"/>
      <c r="CX1366" s="3"/>
      <c r="CY1366" s="3"/>
      <c r="CZ1366" s="3"/>
      <c r="DA1366" s="3"/>
      <c r="DB1366" s="3"/>
      <c r="DC1366" s="3"/>
      <c r="DD1366" s="3"/>
      <c r="DE1366" s="3"/>
      <c r="DF1366" s="3"/>
    </row>
    <row r="1367" spans="8:110" x14ac:dyDescent="0.3">
      <c r="H1367" s="4">
        <f t="shared" si="201"/>
        <v>0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/>
      <c r="BK1367" s="3"/>
      <c r="BL1367" s="3"/>
      <c r="BM1367" s="3"/>
      <c r="BN1367" s="3"/>
      <c r="BO1367" s="3"/>
      <c r="BP1367" s="3"/>
      <c r="BQ1367" s="3"/>
      <c r="BR1367" s="3"/>
      <c r="BS1367" s="3"/>
      <c r="BT1367" s="3"/>
      <c r="BU1367" s="3"/>
      <c r="BV1367" s="3"/>
      <c r="BW1367" s="3"/>
      <c r="BX1367" s="3"/>
      <c r="BY1367" s="3"/>
      <c r="BZ1367" s="3"/>
      <c r="CA1367" s="3"/>
      <c r="CB1367" s="3"/>
      <c r="CC1367" s="3"/>
      <c r="CD1367" s="3"/>
      <c r="CE1367" s="3"/>
      <c r="CF1367" s="3"/>
      <c r="CG1367" s="3"/>
      <c r="CH1367" s="3"/>
      <c r="CI1367" s="3"/>
      <c r="CJ1367" s="3"/>
      <c r="CK1367" s="3"/>
      <c r="CL1367" s="3"/>
      <c r="CM1367" s="3"/>
      <c r="CN1367" s="3"/>
      <c r="CO1367" s="3"/>
      <c r="CP1367" s="3"/>
      <c r="CQ1367" s="3"/>
      <c r="CR1367" s="3"/>
      <c r="CS1367" s="3"/>
      <c r="CT1367" s="3"/>
      <c r="CU1367" s="3"/>
      <c r="CV1367" s="3"/>
      <c r="CW1367" s="3"/>
      <c r="CX1367" s="3"/>
      <c r="CY1367" s="3"/>
      <c r="CZ1367" s="3"/>
      <c r="DA1367" s="3"/>
      <c r="DB1367" s="3"/>
      <c r="DC1367" s="3"/>
      <c r="DD1367" s="3"/>
      <c r="DE1367" s="3"/>
      <c r="DF1367" s="3"/>
    </row>
    <row r="1368" spans="8:110" x14ac:dyDescent="0.3">
      <c r="H1368" s="4">
        <f t="shared" si="201"/>
        <v>0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  <c r="BQ1368" s="3"/>
      <c r="BR1368" s="3"/>
      <c r="BS1368" s="3"/>
      <c r="BT1368" s="3"/>
      <c r="BU1368" s="3"/>
      <c r="BV1368" s="3"/>
      <c r="BW1368" s="3"/>
      <c r="BX1368" s="3"/>
      <c r="BY1368" s="3"/>
      <c r="BZ1368" s="3"/>
      <c r="CA1368" s="3"/>
      <c r="CB1368" s="3"/>
      <c r="CC1368" s="3"/>
      <c r="CD1368" s="3"/>
      <c r="CE1368" s="3"/>
      <c r="CF1368" s="3"/>
      <c r="CG1368" s="3"/>
      <c r="CH1368" s="3"/>
      <c r="CI1368" s="3"/>
      <c r="CJ1368" s="3"/>
      <c r="CK1368" s="3"/>
      <c r="CL1368" s="3"/>
      <c r="CM1368" s="3"/>
      <c r="CN1368" s="3"/>
      <c r="CO1368" s="3"/>
      <c r="CP1368" s="3"/>
      <c r="CQ1368" s="3"/>
      <c r="CR1368" s="3"/>
      <c r="CS1368" s="3"/>
      <c r="CT1368" s="3"/>
      <c r="CU1368" s="3"/>
      <c r="CV1368" s="3"/>
      <c r="CW1368" s="3"/>
      <c r="CX1368" s="3"/>
      <c r="CY1368" s="3"/>
      <c r="CZ1368" s="3"/>
      <c r="DA1368" s="3"/>
      <c r="DB1368" s="3"/>
      <c r="DC1368" s="3"/>
      <c r="DD1368" s="3"/>
      <c r="DE1368" s="3"/>
      <c r="DF1368" s="3"/>
    </row>
    <row r="1369" spans="8:110" x14ac:dyDescent="0.3">
      <c r="H1369" s="4">
        <f t="shared" si="201"/>
        <v>0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</row>
    <row r="1370" spans="8:110" x14ac:dyDescent="0.3">
      <c r="H1370" s="4">
        <f t="shared" si="201"/>
        <v>0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</row>
    <row r="1371" spans="8:110" x14ac:dyDescent="0.3">
      <c r="H1371" s="4">
        <f t="shared" si="201"/>
        <v>0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</row>
    <row r="1372" spans="8:110" x14ac:dyDescent="0.3">
      <c r="H1372" s="4">
        <f t="shared" si="201"/>
        <v>0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</row>
    <row r="1373" spans="8:110" x14ac:dyDescent="0.3">
      <c r="H1373" s="4">
        <f t="shared" si="201"/>
        <v>0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</row>
    <row r="1374" spans="8:110" x14ac:dyDescent="0.3">
      <c r="H1374" s="4">
        <f t="shared" si="201"/>
        <v>0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</row>
    <row r="1375" spans="8:110" x14ac:dyDescent="0.3">
      <c r="H1375" s="4">
        <f t="shared" si="201"/>
        <v>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</row>
    <row r="1376" spans="8:110" x14ac:dyDescent="0.3">
      <c r="H1376" s="4">
        <f t="shared" si="201"/>
        <v>0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</row>
    <row r="1377" spans="8:110" x14ac:dyDescent="0.3">
      <c r="H1377" s="4">
        <f t="shared" si="201"/>
        <v>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</row>
    <row r="1378" spans="8:110" x14ac:dyDescent="0.3">
      <c r="H1378" s="4">
        <f t="shared" si="201"/>
        <v>0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</row>
    <row r="1379" spans="8:110" x14ac:dyDescent="0.3">
      <c r="H1379" s="4">
        <f t="shared" si="201"/>
        <v>0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</row>
    <row r="1380" spans="8:110" x14ac:dyDescent="0.3">
      <c r="H1380" s="4">
        <f t="shared" si="201"/>
        <v>0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</row>
    <row r="1381" spans="8:110" x14ac:dyDescent="0.3">
      <c r="H1381" s="4">
        <f t="shared" si="201"/>
        <v>0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</row>
    <row r="1382" spans="8:110" x14ac:dyDescent="0.3">
      <c r="H1382" s="4">
        <f t="shared" si="201"/>
        <v>0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</row>
    <row r="1383" spans="8:110" x14ac:dyDescent="0.3">
      <c r="H1383" s="4">
        <f t="shared" si="201"/>
        <v>0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</row>
    <row r="1384" spans="8:110" x14ac:dyDescent="0.3">
      <c r="H1384" s="4">
        <f t="shared" si="201"/>
        <v>0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</row>
    <row r="1385" spans="8:110" x14ac:dyDescent="0.3">
      <c r="H1385" s="4">
        <f t="shared" si="201"/>
        <v>0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</row>
    <row r="1386" spans="8:110" x14ac:dyDescent="0.3">
      <c r="H1386" s="4">
        <f t="shared" si="201"/>
        <v>0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</row>
    <row r="1387" spans="8:110" x14ac:dyDescent="0.3">
      <c r="H1387" s="4">
        <f t="shared" si="201"/>
        <v>0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</row>
    <row r="1388" spans="8:110" x14ac:dyDescent="0.3">
      <c r="H1388" s="4">
        <f t="shared" si="201"/>
        <v>0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</row>
    <row r="1389" spans="8:110" x14ac:dyDescent="0.3">
      <c r="H1389" s="4">
        <f t="shared" si="201"/>
        <v>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/>
      <c r="BK1389" s="3"/>
      <c r="BL1389" s="3"/>
      <c r="BM1389" s="3"/>
      <c r="BN1389" s="3"/>
      <c r="BO1389" s="3"/>
      <c r="BP1389" s="3"/>
      <c r="BQ1389" s="3"/>
      <c r="BR1389" s="3"/>
      <c r="BS1389" s="3"/>
      <c r="BT1389" s="3"/>
      <c r="BU1389" s="3"/>
      <c r="BV1389" s="3"/>
      <c r="BW1389" s="3"/>
      <c r="BX1389" s="3"/>
      <c r="BY1389" s="3"/>
      <c r="BZ1389" s="3"/>
      <c r="CA1389" s="3"/>
      <c r="CB1389" s="3"/>
      <c r="CC1389" s="3"/>
      <c r="CD1389" s="3"/>
      <c r="CE1389" s="3"/>
      <c r="CF1389" s="3"/>
      <c r="CG1389" s="3"/>
      <c r="CH1389" s="3"/>
      <c r="CI1389" s="3"/>
      <c r="CJ1389" s="3"/>
      <c r="CK1389" s="3"/>
      <c r="CL1389" s="3"/>
      <c r="CM1389" s="3"/>
      <c r="CN1389" s="3"/>
      <c r="CO1389" s="3"/>
      <c r="CP1389" s="3"/>
      <c r="CQ1389" s="3"/>
      <c r="CR1389" s="3"/>
      <c r="CS1389" s="3"/>
      <c r="CT1389" s="3"/>
      <c r="CU1389" s="3"/>
      <c r="CV1389" s="3"/>
      <c r="CW1389" s="3"/>
      <c r="CX1389" s="3"/>
      <c r="CY1389" s="3"/>
      <c r="CZ1389" s="3"/>
      <c r="DA1389" s="3"/>
      <c r="DB1389" s="3"/>
      <c r="DC1389" s="3"/>
      <c r="DD1389" s="3"/>
      <c r="DE1389" s="3"/>
      <c r="DF1389" s="3"/>
    </row>
    <row r="1390" spans="8:110" x14ac:dyDescent="0.3">
      <c r="H1390" s="4">
        <f t="shared" si="201"/>
        <v>0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3"/>
      <c r="BN1390" s="3"/>
      <c r="BO1390" s="3"/>
      <c r="BP1390" s="3"/>
      <c r="BQ1390" s="3"/>
      <c r="BR1390" s="3"/>
      <c r="BS1390" s="3"/>
      <c r="BT1390" s="3"/>
      <c r="BU1390" s="3"/>
      <c r="BV1390" s="3"/>
      <c r="BW1390" s="3"/>
      <c r="BX1390" s="3"/>
      <c r="BY1390" s="3"/>
      <c r="BZ1390" s="3"/>
      <c r="CA1390" s="3"/>
      <c r="CB1390" s="3"/>
      <c r="CC1390" s="3"/>
      <c r="CD1390" s="3"/>
      <c r="CE1390" s="3"/>
      <c r="CF1390" s="3"/>
      <c r="CG1390" s="3"/>
      <c r="CH1390" s="3"/>
      <c r="CI1390" s="3"/>
      <c r="CJ1390" s="3"/>
      <c r="CK1390" s="3"/>
      <c r="CL1390" s="3"/>
      <c r="CM1390" s="3"/>
      <c r="CN1390" s="3"/>
      <c r="CO1390" s="3"/>
      <c r="CP1390" s="3"/>
      <c r="CQ1390" s="3"/>
      <c r="CR1390" s="3"/>
      <c r="CS1390" s="3"/>
      <c r="CT1390" s="3"/>
      <c r="CU1390" s="3"/>
      <c r="CV1390" s="3"/>
      <c r="CW1390" s="3"/>
      <c r="CX1390" s="3"/>
      <c r="CY1390" s="3"/>
      <c r="CZ1390" s="3"/>
      <c r="DA1390" s="3"/>
      <c r="DB1390" s="3"/>
      <c r="DC1390" s="3"/>
      <c r="DD1390" s="3"/>
      <c r="DE1390" s="3"/>
      <c r="DF1390" s="3"/>
    </row>
    <row r="1391" spans="8:110" x14ac:dyDescent="0.3">
      <c r="H1391" s="4">
        <f t="shared" si="201"/>
        <v>0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/>
      <c r="BK1391" s="3"/>
      <c r="BL1391" s="3"/>
      <c r="BM1391" s="3"/>
      <c r="BN1391" s="3"/>
      <c r="BO1391" s="3"/>
      <c r="BP1391" s="3"/>
      <c r="BQ1391" s="3"/>
      <c r="BR1391" s="3"/>
      <c r="BS1391" s="3"/>
      <c r="BT1391" s="3"/>
      <c r="BU1391" s="3"/>
      <c r="BV1391" s="3"/>
      <c r="BW1391" s="3"/>
      <c r="BX1391" s="3"/>
      <c r="BY1391" s="3"/>
      <c r="BZ1391" s="3"/>
      <c r="CA1391" s="3"/>
      <c r="CB1391" s="3"/>
      <c r="CC1391" s="3"/>
      <c r="CD1391" s="3"/>
      <c r="CE1391" s="3"/>
      <c r="CF1391" s="3"/>
      <c r="CG1391" s="3"/>
      <c r="CH1391" s="3"/>
      <c r="CI1391" s="3"/>
      <c r="CJ1391" s="3"/>
      <c r="CK1391" s="3"/>
      <c r="CL1391" s="3"/>
      <c r="CM1391" s="3"/>
      <c r="CN1391" s="3"/>
      <c r="CO1391" s="3"/>
      <c r="CP1391" s="3"/>
      <c r="CQ1391" s="3"/>
      <c r="CR1391" s="3"/>
      <c r="CS1391" s="3"/>
      <c r="CT1391" s="3"/>
      <c r="CU1391" s="3"/>
      <c r="CV1391" s="3"/>
      <c r="CW1391" s="3"/>
      <c r="CX1391" s="3"/>
      <c r="CY1391" s="3"/>
      <c r="CZ1391" s="3"/>
      <c r="DA1391" s="3"/>
      <c r="DB1391" s="3"/>
      <c r="DC1391" s="3"/>
      <c r="DD1391" s="3"/>
      <c r="DE1391" s="3"/>
      <c r="DF1391" s="3"/>
    </row>
    <row r="1392" spans="8:110" x14ac:dyDescent="0.3">
      <c r="H1392" s="4">
        <f t="shared" si="201"/>
        <v>0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  <c r="BQ1392" s="3"/>
      <c r="BR1392" s="3"/>
      <c r="BS1392" s="3"/>
      <c r="BT1392" s="3"/>
      <c r="BU1392" s="3"/>
      <c r="BV1392" s="3"/>
      <c r="BW1392" s="3"/>
      <c r="BX1392" s="3"/>
      <c r="BY1392" s="3"/>
      <c r="BZ1392" s="3"/>
      <c r="CA1392" s="3"/>
      <c r="CB1392" s="3"/>
      <c r="CC1392" s="3"/>
      <c r="CD1392" s="3"/>
      <c r="CE1392" s="3"/>
      <c r="CF1392" s="3"/>
      <c r="CG1392" s="3"/>
      <c r="CH1392" s="3"/>
      <c r="CI1392" s="3"/>
      <c r="CJ1392" s="3"/>
      <c r="CK1392" s="3"/>
      <c r="CL1392" s="3"/>
      <c r="CM1392" s="3"/>
      <c r="CN1392" s="3"/>
      <c r="CO1392" s="3"/>
      <c r="CP1392" s="3"/>
      <c r="CQ1392" s="3"/>
      <c r="CR1392" s="3"/>
      <c r="CS1392" s="3"/>
      <c r="CT1392" s="3"/>
      <c r="CU1392" s="3"/>
      <c r="CV1392" s="3"/>
      <c r="CW1392" s="3"/>
      <c r="CX1392" s="3"/>
      <c r="CY1392" s="3"/>
      <c r="CZ1392" s="3"/>
      <c r="DA1392" s="3"/>
      <c r="DB1392" s="3"/>
      <c r="DC1392" s="3"/>
      <c r="DD1392" s="3"/>
      <c r="DE1392" s="3"/>
      <c r="DF1392" s="3"/>
    </row>
    <row r="1393" spans="8:110" x14ac:dyDescent="0.3">
      <c r="H1393" s="4">
        <f t="shared" si="201"/>
        <v>0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</row>
    <row r="1394" spans="8:110" x14ac:dyDescent="0.3">
      <c r="H1394" s="4">
        <f t="shared" si="201"/>
        <v>0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</row>
    <row r="1395" spans="8:110" x14ac:dyDescent="0.3">
      <c r="H1395" s="4">
        <f t="shared" si="201"/>
        <v>0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</row>
    <row r="1396" spans="8:110" x14ac:dyDescent="0.3">
      <c r="H1396" s="4">
        <f t="shared" si="201"/>
        <v>0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</row>
    <row r="1397" spans="8:110" x14ac:dyDescent="0.3">
      <c r="H1397" s="4">
        <f t="shared" si="201"/>
        <v>0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</row>
    <row r="1398" spans="8:110" x14ac:dyDescent="0.3">
      <c r="H1398" s="4">
        <f t="shared" si="201"/>
        <v>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</row>
    <row r="1399" spans="8:110" x14ac:dyDescent="0.3">
      <c r="H1399" s="4">
        <f t="shared" si="201"/>
        <v>0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</row>
    <row r="1400" spans="8:110" x14ac:dyDescent="0.3">
      <c r="H1400" s="4">
        <f t="shared" si="201"/>
        <v>0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</row>
    <row r="1401" spans="8:110" x14ac:dyDescent="0.3">
      <c r="H1401" s="4">
        <f t="shared" si="201"/>
        <v>0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</row>
    <row r="1402" spans="8:110" x14ac:dyDescent="0.3">
      <c r="H1402" s="4">
        <f t="shared" si="201"/>
        <v>0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</row>
    <row r="1403" spans="8:110" x14ac:dyDescent="0.3">
      <c r="H1403" s="4">
        <f t="shared" si="201"/>
        <v>0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</row>
    <row r="1404" spans="8:110" x14ac:dyDescent="0.3">
      <c r="H1404" s="4">
        <f t="shared" si="201"/>
        <v>0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</row>
    <row r="1405" spans="8:110" x14ac:dyDescent="0.3">
      <c r="H1405" s="4">
        <f t="shared" si="201"/>
        <v>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</row>
    <row r="1406" spans="8:110" x14ac:dyDescent="0.3">
      <c r="H1406" s="4">
        <f t="shared" ref="H1406:H1469" si="202">D1406-C1406</f>
        <v>0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</row>
    <row r="1407" spans="8:110" x14ac:dyDescent="0.3">
      <c r="H1407" s="4">
        <f t="shared" si="202"/>
        <v>0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</row>
    <row r="1408" spans="8:110" x14ac:dyDescent="0.3">
      <c r="H1408" s="4">
        <f t="shared" si="202"/>
        <v>0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</row>
    <row r="1409" spans="8:110" x14ac:dyDescent="0.3">
      <c r="H1409" s="4">
        <f t="shared" si="202"/>
        <v>0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</row>
    <row r="1410" spans="8:110" x14ac:dyDescent="0.3">
      <c r="H1410" s="4">
        <f t="shared" si="202"/>
        <v>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</row>
    <row r="1411" spans="8:110" x14ac:dyDescent="0.3">
      <c r="H1411" s="4">
        <f t="shared" si="202"/>
        <v>0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</row>
    <row r="1412" spans="8:110" x14ac:dyDescent="0.3">
      <c r="H1412" s="4">
        <f t="shared" si="202"/>
        <v>0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</row>
    <row r="1413" spans="8:110" x14ac:dyDescent="0.3">
      <c r="H1413" s="4">
        <f t="shared" si="202"/>
        <v>0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/>
      <c r="BK1413" s="3"/>
      <c r="BL1413" s="3"/>
      <c r="BM1413" s="3"/>
      <c r="BN1413" s="3"/>
      <c r="BO1413" s="3"/>
      <c r="BP1413" s="3"/>
      <c r="BQ1413" s="3"/>
      <c r="BR1413" s="3"/>
      <c r="BS1413" s="3"/>
      <c r="BT1413" s="3"/>
      <c r="BU1413" s="3"/>
      <c r="BV1413" s="3"/>
      <c r="BW1413" s="3"/>
      <c r="BX1413" s="3"/>
      <c r="BY1413" s="3"/>
      <c r="BZ1413" s="3"/>
      <c r="CA1413" s="3"/>
      <c r="CB1413" s="3"/>
      <c r="CC1413" s="3"/>
      <c r="CD1413" s="3"/>
      <c r="CE1413" s="3"/>
      <c r="CF1413" s="3"/>
      <c r="CG1413" s="3"/>
      <c r="CH1413" s="3"/>
      <c r="CI1413" s="3"/>
      <c r="CJ1413" s="3"/>
      <c r="CK1413" s="3"/>
      <c r="CL1413" s="3"/>
      <c r="CM1413" s="3"/>
      <c r="CN1413" s="3"/>
      <c r="CO1413" s="3"/>
      <c r="CP1413" s="3"/>
      <c r="CQ1413" s="3"/>
      <c r="CR1413" s="3"/>
      <c r="CS1413" s="3"/>
      <c r="CT1413" s="3"/>
      <c r="CU1413" s="3"/>
      <c r="CV1413" s="3"/>
      <c r="CW1413" s="3"/>
      <c r="CX1413" s="3"/>
      <c r="CY1413" s="3"/>
      <c r="CZ1413" s="3"/>
      <c r="DA1413" s="3"/>
      <c r="DB1413" s="3"/>
      <c r="DC1413" s="3"/>
      <c r="DD1413" s="3"/>
      <c r="DE1413" s="3"/>
      <c r="DF1413" s="3"/>
    </row>
    <row r="1414" spans="8:110" x14ac:dyDescent="0.3">
      <c r="H1414" s="4">
        <f t="shared" si="202"/>
        <v>0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/>
      <c r="BK1414" s="3"/>
      <c r="BL1414" s="3"/>
      <c r="BM1414" s="3"/>
      <c r="BN1414" s="3"/>
      <c r="BO1414" s="3"/>
      <c r="BP1414" s="3"/>
      <c r="BQ1414" s="3"/>
      <c r="BR1414" s="3"/>
      <c r="BS1414" s="3"/>
      <c r="BT1414" s="3"/>
      <c r="BU1414" s="3"/>
      <c r="BV1414" s="3"/>
      <c r="BW1414" s="3"/>
      <c r="BX1414" s="3"/>
      <c r="BY1414" s="3"/>
      <c r="BZ1414" s="3"/>
      <c r="CA1414" s="3"/>
      <c r="CB1414" s="3"/>
      <c r="CC1414" s="3"/>
      <c r="CD1414" s="3"/>
      <c r="CE1414" s="3"/>
      <c r="CF1414" s="3"/>
      <c r="CG1414" s="3"/>
      <c r="CH1414" s="3"/>
      <c r="CI1414" s="3"/>
      <c r="CJ1414" s="3"/>
      <c r="CK1414" s="3"/>
      <c r="CL1414" s="3"/>
      <c r="CM1414" s="3"/>
      <c r="CN1414" s="3"/>
      <c r="CO1414" s="3"/>
      <c r="CP1414" s="3"/>
      <c r="CQ1414" s="3"/>
      <c r="CR1414" s="3"/>
      <c r="CS1414" s="3"/>
      <c r="CT1414" s="3"/>
      <c r="CU1414" s="3"/>
      <c r="CV1414" s="3"/>
      <c r="CW1414" s="3"/>
      <c r="CX1414" s="3"/>
      <c r="CY1414" s="3"/>
      <c r="CZ1414" s="3"/>
      <c r="DA1414" s="3"/>
      <c r="DB1414" s="3"/>
      <c r="DC1414" s="3"/>
      <c r="DD1414" s="3"/>
      <c r="DE1414" s="3"/>
      <c r="DF1414" s="3"/>
    </row>
    <row r="1415" spans="8:110" x14ac:dyDescent="0.3">
      <c r="H1415" s="4">
        <f t="shared" si="202"/>
        <v>0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/>
      <c r="BK1415" s="3"/>
      <c r="BL1415" s="3"/>
      <c r="BM1415" s="3"/>
      <c r="BN1415" s="3"/>
      <c r="BO1415" s="3"/>
      <c r="BP1415" s="3"/>
      <c r="BQ1415" s="3"/>
      <c r="BR1415" s="3"/>
      <c r="BS1415" s="3"/>
      <c r="BT1415" s="3"/>
      <c r="BU1415" s="3"/>
      <c r="BV1415" s="3"/>
      <c r="BW1415" s="3"/>
      <c r="BX1415" s="3"/>
      <c r="BY1415" s="3"/>
      <c r="BZ1415" s="3"/>
      <c r="CA1415" s="3"/>
      <c r="CB1415" s="3"/>
      <c r="CC1415" s="3"/>
      <c r="CD1415" s="3"/>
      <c r="CE1415" s="3"/>
      <c r="CF1415" s="3"/>
      <c r="CG1415" s="3"/>
      <c r="CH1415" s="3"/>
      <c r="CI1415" s="3"/>
      <c r="CJ1415" s="3"/>
      <c r="CK1415" s="3"/>
      <c r="CL1415" s="3"/>
      <c r="CM1415" s="3"/>
      <c r="CN1415" s="3"/>
      <c r="CO1415" s="3"/>
      <c r="CP1415" s="3"/>
      <c r="CQ1415" s="3"/>
      <c r="CR1415" s="3"/>
      <c r="CS1415" s="3"/>
      <c r="CT1415" s="3"/>
      <c r="CU1415" s="3"/>
      <c r="CV1415" s="3"/>
      <c r="CW1415" s="3"/>
      <c r="CX1415" s="3"/>
      <c r="CY1415" s="3"/>
      <c r="CZ1415" s="3"/>
      <c r="DA1415" s="3"/>
      <c r="DB1415" s="3"/>
      <c r="DC1415" s="3"/>
      <c r="DD1415" s="3"/>
      <c r="DE1415" s="3"/>
      <c r="DF1415" s="3"/>
    </row>
    <row r="1416" spans="8:110" x14ac:dyDescent="0.3">
      <c r="H1416" s="4">
        <f t="shared" si="202"/>
        <v>0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/>
      <c r="BK1416" s="3"/>
      <c r="BL1416" s="3"/>
      <c r="BM1416" s="3"/>
      <c r="BN1416" s="3"/>
      <c r="BO1416" s="3"/>
      <c r="BP1416" s="3"/>
      <c r="BQ1416" s="3"/>
      <c r="BR1416" s="3"/>
      <c r="BS1416" s="3"/>
      <c r="BT1416" s="3"/>
      <c r="BU1416" s="3"/>
      <c r="BV1416" s="3"/>
      <c r="BW1416" s="3"/>
      <c r="BX1416" s="3"/>
      <c r="BY1416" s="3"/>
      <c r="BZ1416" s="3"/>
      <c r="CA1416" s="3"/>
      <c r="CB1416" s="3"/>
      <c r="CC1416" s="3"/>
      <c r="CD1416" s="3"/>
      <c r="CE1416" s="3"/>
      <c r="CF1416" s="3"/>
      <c r="CG1416" s="3"/>
      <c r="CH1416" s="3"/>
      <c r="CI1416" s="3"/>
      <c r="CJ1416" s="3"/>
      <c r="CK1416" s="3"/>
      <c r="CL1416" s="3"/>
      <c r="CM1416" s="3"/>
      <c r="CN1416" s="3"/>
      <c r="CO1416" s="3"/>
      <c r="CP1416" s="3"/>
      <c r="CQ1416" s="3"/>
      <c r="CR1416" s="3"/>
      <c r="CS1416" s="3"/>
      <c r="CT1416" s="3"/>
      <c r="CU1416" s="3"/>
      <c r="CV1416" s="3"/>
      <c r="CW1416" s="3"/>
      <c r="CX1416" s="3"/>
      <c r="CY1416" s="3"/>
      <c r="CZ1416" s="3"/>
      <c r="DA1416" s="3"/>
      <c r="DB1416" s="3"/>
      <c r="DC1416" s="3"/>
      <c r="DD1416" s="3"/>
      <c r="DE1416" s="3"/>
      <c r="DF1416" s="3"/>
    </row>
    <row r="1417" spans="8:110" x14ac:dyDescent="0.3">
      <c r="H1417" s="4">
        <f t="shared" si="202"/>
        <v>0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</row>
    <row r="1418" spans="8:110" x14ac:dyDescent="0.3">
      <c r="H1418" s="4">
        <f t="shared" si="202"/>
        <v>0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</row>
    <row r="1419" spans="8:110" x14ac:dyDescent="0.3">
      <c r="H1419" s="4">
        <f t="shared" si="202"/>
        <v>0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</row>
    <row r="1420" spans="8:110" x14ac:dyDescent="0.3">
      <c r="H1420" s="4">
        <f t="shared" si="202"/>
        <v>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</row>
    <row r="1421" spans="8:110" x14ac:dyDescent="0.3">
      <c r="H1421" s="4">
        <f t="shared" si="202"/>
        <v>0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</row>
    <row r="1422" spans="8:110" x14ac:dyDescent="0.3">
      <c r="H1422" s="4">
        <f t="shared" si="202"/>
        <v>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</row>
    <row r="1423" spans="8:110" x14ac:dyDescent="0.3">
      <c r="H1423" s="4">
        <f t="shared" si="202"/>
        <v>0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</row>
    <row r="1424" spans="8:110" x14ac:dyDescent="0.3">
      <c r="H1424" s="4">
        <f t="shared" si="202"/>
        <v>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</row>
    <row r="1425" spans="8:110" x14ac:dyDescent="0.3">
      <c r="H1425" s="4">
        <f t="shared" si="202"/>
        <v>0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</row>
    <row r="1426" spans="8:110" x14ac:dyDescent="0.3">
      <c r="H1426" s="4">
        <f t="shared" si="202"/>
        <v>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</row>
    <row r="1427" spans="8:110" x14ac:dyDescent="0.3">
      <c r="H1427" s="4">
        <f t="shared" si="202"/>
        <v>0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</row>
    <row r="1428" spans="8:110" x14ac:dyDescent="0.3">
      <c r="H1428" s="4">
        <f t="shared" si="202"/>
        <v>0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</row>
    <row r="1429" spans="8:110" x14ac:dyDescent="0.3">
      <c r="H1429" s="4">
        <f t="shared" si="202"/>
        <v>0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</row>
    <row r="1430" spans="8:110" x14ac:dyDescent="0.3">
      <c r="H1430" s="4">
        <f t="shared" si="202"/>
        <v>0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</row>
    <row r="1431" spans="8:110" x14ac:dyDescent="0.3">
      <c r="H1431" s="4">
        <f t="shared" si="202"/>
        <v>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</row>
    <row r="1432" spans="8:110" x14ac:dyDescent="0.3">
      <c r="H1432" s="4">
        <f t="shared" si="202"/>
        <v>0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</row>
    <row r="1433" spans="8:110" x14ac:dyDescent="0.3">
      <c r="H1433" s="4">
        <f t="shared" si="202"/>
        <v>0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</row>
    <row r="1434" spans="8:110" x14ac:dyDescent="0.3">
      <c r="H1434" s="4">
        <f t="shared" si="202"/>
        <v>0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</row>
    <row r="1435" spans="8:110" x14ac:dyDescent="0.3">
      <c r="H1435" s="4">
        <f t="shared" si="202"/>
        <v>0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</row>
    <row r="1436" spans="8:110" x14ac:dyDescent="0.3">
      <c r="H1436" s="4">
        <f t="shared" si="202"/>
        <v>0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</row>
    <row r="1437" spans="8:110" x14ac:dyDescent="0.3">
      <c r="H1437" s="4">
        <f t="shared" si="202"/>
        <v>0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/>
      <c r="BK1437" s="3"/>
      <c r="BL1437" s="3"/>
      <c r="BM1437" s="3"/>
      <c r="BN1437" s="3"/>
      <c r="BO1437" s="3"/>
      <c r="BP1437" s="3"/>
      <c r="BQ1437" s="3"/>
      <c r="BR1437" s="3"/>
      <c r="BS1437" s="3"/>
      <c r="BT1437" s="3"/>
      <c r="BU1437" s="3"/>
      <c r="BV1437" s="3"/>
      <c r="BW1437" s="3"/>
      <c r="BX1437" s="3"/>
      <c r="BY1437" s="3"/>
      <c r="BZ1437" s="3"/>
      <c r="CA1437" s="3"/>
      <c r="CB1437" s="3"/>
      <c r="CC1437" s="3"/>
      <c r="CD1437" s="3"/>
      <c r="CE1437" s="3"/>
      <c r="CF1437" s="3"/>
      <c r="CG1437" s="3"/>
      <c r="CH1437" s="3"/>
      <c r="CI1437" s="3"/>
      <c r="CJ1437" s="3"/>
      <c r="CK1437" s="3"/>
      <c r="CL1437" s="3"/>
      <c r="CM1437" s="3"/>
      <c r="CN1437" s="3"/>
      <c r="CO1437" s="3"/>
      <c r="CP1437" s="3"/>
      <c r="CQ1437" s="3"/>
      <c r="CR1437" s="3"/>
      <c r="CS1437" s="3"/>
      <c r="CT1437" s="3"/>
      <c r="CU1437" s="3"/>
      <c r="CV1437" s="3"/>
      <c r="CW1437" s="3"/>
      <c r="CX1437" s="3"/>
      <c r="CY1437" s="3"/>
      <c r="CZ1437" s="3"/>
      <c r="DA1437" s="3"/>
      <c r="DB1437" s="3"/>
      <c r="DC1437" s="3"/>
      <c r="DD1437" s="3"/>
      <c r="DE1437" s="3"/>
      <c r="DF1437" s="3"/>
    </row>
    <row r="1438" spans="8:110" x14ac:dyDescent="0.3">
      <c r="H1438" s="4">
        <f t="shared" si="202"/>
        <v>0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/>
      <c r="BK1438" s="3"/>
      <c r="BL1438" s="3"/>
      <c r="BM1438" s="3"/>
      <c r="BN1438" s="3"/>
      <c r="BO1438" s="3"/>
      <c r="BP1438" s="3"/>
      <c r="BQ1438" s="3"/>
      <c r="BR1438" s="3"/>
      <c r="BS1438" s="3"/>
      <c r="BT1438" s="3"/>
      <c r="BU1438" s="3"/>
      <c r="BV1438" s="3"/>
      <c r="BW1438" s="3"/>
      <c r="BX1438" s="3"/>
      <c r="BY1438" s="3"/>
      <c r="BZ1438" s="3"/>
      <c r="CA1438" s="3"/>
      <c r="CB1438" s="3"/>
      <c r="CC1438" s="3"/>
      <c r="CD1438" s="3"/>
      <c r="CE1438" s="3"/>
      <c r="CF1438" s="3"/>
      <c r="CG1438" s="3"/>
      <c r="CH1438" s="3"/>
      <c r="CI1438" s="3"/>
      <c r="CJ1438" s="3"/>
      <c r="CK1438" s="3"/>
      <c r="CL1438" s="3"/>
      <c r="CM1438" s="3"/>
      <c r="CN1438" s="3"/>
      <c r="CO1438" s="3"/>
      <c r="CP1438" s="3"/>
      <c r="CQ1438" s="3"/>
      <c r="CR1438" s="3"/>
      <c r="CS1438" s="3"/>
      <c r="CT1438" s="3"/>
      <c r="CU1438" s="3"/>
      <c r="CV1438" s="3"/>
      <c r="CW1438" s="3"/>
      <c r="CX1438" s="3"/>
      <c r="CY1438" s="3"/>
      <c r="CZ1438" s="3"/>
      <c r="DA1438" s="3"/>
      <c r="DB1438" s="3"/>
      <c r="DC1438" s="3"/>
      <c r="DD1438" s="3"/>
      <c r="DE1438" s="3"/>
      <c r="DF1438" s="3"/>
    </row>
    <row r="1439" spans="8:110" x14ac:dyDescent="0.3">
      <c r="H1439" s="4">
        <f t="shared" si="202"/>
        <v>0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/>
      <c r="BK1439" s="3"/>
      <c r="BL1439" s="3"/>
      <c r="BM1439" s="3"/>
      <c r="BN1439" s="3"/>
      <c r="BO1439" s="3"/>
      <c r="BP1439" s="3"/>
      <c r="BQ1439" s="3"/>
      <c r="BR1439" s="3"/>
      <c r="BS1439" s="3"/>
      <c r="BT1439" s="3"/>
      <c r="BU1439" s="3"/>
      <c r="BV1439" s="3"/>
      <c r="BW1439" s="3"/>
      <c r="BX1439" s="3"/>
      <c r="BY1439" s="3"/>
      <c r="BZ1439" s="3"/>
      <c r="CA1439" s="3"/>
      <c r="CB1439" s="3"/>
      <c r="CC1439" s="3"/>
      <c r="CD1439" s="3"/>
      <c r="CE1439" s="3"/>
      <c r="CF1439" s="3"/>
      <c r="CG1439" s="3"/>
      <c r="CH1439" s="3"/>
      <c r="CI1439" s="3"/>
      <c r="CJ1439" s="3"/>
      <c r="CK1439" s="3"/>
      <c r="CL1439" s="3"/>
      <c r="CM1439" s="3"/>
      <c r="CN1439" s="3"/>
      <c r="CO1439" s="3"/>
      <c r="CP1439" s="3"/>
      <c r="CQ1439" s="3"/>
      <c r="CR1439" s="3"/>
      <c r="CS1439" s="3"/>
      <c r="CT1439" s="3"/>
      <c r="CU1439" s="3"/>
      <c r="CV1439" s="3"/>
      <c r="CW1439" s="3"/>
      <c r="CX1439" s="3"/>
      <c r="CY1439" s="3"/>
      <c r="CZ1439" s="3"/>
      <c r="DA1439" s="3"/>
      <c r="DB1439" s="3"/>
      <c r="DC1439" s="3"/>
      <c r="DD1439" s="3"/>
      <c r="DE1439" s="3"/>
      <c r="DF1439" s="3"/>
    </row>
    <row r="1440" spans="8:110" x14ac:dyDescent="0.3">
      <c r="H1440" s="4">
        <f t="shared" si="202"/>
        <v>0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/>
      <c r="BK1440" s="3"/>
      <c r="BL1440" s="3"/>
      <c r="BM1440" s="3"/>
      <c r="BN1440" s="3"/>
      <c r="BO1440" s="3"/>
      <c r="BP1440" s="3"/>
      <c r="BQ1440" s="3"/>
      <c r="BR1440" s="3"/>
      <c r="BS1440" s="3"/>
      <c r="BT1440" s="3"/>
      <c r="BU1440" s="3"/>
      <c r="BV1440" s="3"/>
      <c r="BW1440" s="3"/>
      <c r="BX1440" s="3"/>
      <c r="BY1440" s="3"/>
      <c r="BZ1440" s="3"/>
      <c r="CA1440" s="3"/>
      <c r="CB1440" s="3"/>
      <c r="CC1440" s="3"/>
      <c r="CD1440" s="3"/>
      <c r="CE1440" s="3"/>
      <c r="CF1440" s="3"/>
      <c r="CG1440" s="3"/>
      <c r="CH1440" s="3"/>
      <c r="CI1440" s="3"/>
      <c r="CJ1440" s="3"/>
      <c r="CK1440" s="3"/>
      <c r="CL1440" s="3"/>
      <c r="CM1440" s="3"/>
      <c r="CN1440" s="3"/>
      <c r="CO1440" s="3"/>
      <c r="CP1440" s="3"/>
      <c r="CQ1440" s="3"/>
      <c r="CR1440" s="3"/>
      <c r="CS1440" s="3"/>
      <c r="CT1440" s="3"/>
      <c r="CU1440" s="3"/>
      <c r="CV1440" s="3"/>
      <c r="CW1440" s="3"/>
      <c r="CX1440" s="3"/>
      <c r="CY1440" s="3"/>
      <c r="CZ1440" s="3"/>
      <c r="DA1440" s="3"/>
      <c r="DB1440" s="3"/>
      <c r="DC1440" s="3"/>
      <c r="DD1440" s="3"/>
      <c r="DE1440" s="3"/>
      <c r="DF1440" s="3"/>
    </row>
    <row r="1441" spans="8:110" x14ac:dyDescent="0.3">
      <c r="H1441" s="4">
        <f t="shared" si="202"/>
        <v>0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</row>
    <row r="1442" spans="8:110" x14ac:dyDescent="0.3">
      <c r="H1442" s="4">
        <f t="shared" si="202"/>
        <v>0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</row>
    <row r="1443" spans="8:110" x14ac:dyDescent="0.3">
      <c r="H1443" s="4">
        <f t="shared" si="202"/>
        <v>0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</row>
    <row r="1444" spans="8:110" x14ac:dyDescent="0.3">
      <c r="H1444" s="4">
        <f t="shared" si="202"/>
        <v>0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</row>
    <row r="1445" spans="8:110" x14ac:dyDescent="0.3">
      <c r="H1445" s="4">
        <f t="shared" si="202"/>
        <v>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</row>
    <row r="1446" spans="8:110" x14ac:dyDescent="0.3">
      <c r="H1446" s="4">
        <f t="shared" si="202"/>
        <v>0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</row>
    <row r="1447" spans="8:110" x14ac:dyDescent="0.3">
      <c r="H1447" s="4">
        <f t="shared" si="202"/>
        <v>0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</row>
    <row r="1448" spans="8:110" x14ac:dyDescent="0.3">
      <c r="H1448" s="4">
        <f t="shared" si="202"/>
        <v>0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</row>
    <row r="1449" spans="8:110" x14ac:dyDescent="0.3">
      <c r="H1449" s="4">
        <f t="shared" si="202"/>
        <v>0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</row>
    <row r="1450" spans="8:110" x14ac:dyDescent="0.3">
      <c r="H1450" s="4">
        <f t="shared" si="202"/>
        <v>0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</row>
    <row r="1451" spans="8:110" x14ac:dyDescent="0.3">
      <c r="H1451" s="4">
        <f t="shared" si="202"/>
        <v>0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</row>
    <row r="1452" spans="8:110" x14ac:dyDescent="0.3">
      <c r="H1452" s="4">
        <f t="shared" si="202"/>
        <v>0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</row>
    <row r="1453" spans="8:110" x14ac:dyDescent="0.3">
      <c r="H1453" s="4">
        <f t="shared" si="202"/>
        <v>0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</row>
    <row r="1454" spans="8:110" x14ac:dyDescent="0.3">
      <c r="H1454" s="4">
        <f t="shared" si="202"/>
        <v>0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</row>
    <row r="1455" spans="8:110" x14ac:dyDescent="0.3">
      <c r="H1455" s="4">
        <f t="shared" si="202"/>
        <v>0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</row>
    <row r="1456" spans="8:110" x14ac:dyDescent="0.3">
      <c r="H1456" s="4">
        <f t="shared" si="202"/>
        <v>0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</row>
    <row r="1457" spans="8:110" x14ac:dyDescent="0.3">
      <c r="H1457" s="4">
        <f t="shared" si="202"/>
        <v>0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</row>
    <row r="1458" spans="8:110" x14ac:dyDescent="0.3">
      <c r="H1458" s="4">
        <f t="shared" si="202"/>
        <v>0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</row>
    <row r="1459" spans="8:110" x14ac:dyDescent="0.3">
      <c r="H1459" s="4">
        <f t="shared" si="202"/>
        <v>0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</row>
    <row r="1460" spans="8:110" x14ac:dyDescent="0.3">
      <c r="H1460" s="4">
        <f t="shared" si="202"/>
        <v>0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</row>
    <row r="1461" spans="8:110" x14ac:dyDescent="0.3">
      <c r="H1461" s="4">
        <f t="shared" si="202"/>
        <v>0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/>
      <c r="BK1461" s="3"/>
      <c r="BL1461" s="3"/>
      <c r="BM1461" s="3"/>
      <c r="BN1461" s="3"/>
      <c r="BO1461" s="3"/>
      <c r="BP1461" s="3"/>
      <c r="BQ1461" s="3"/>
      <c r="BR1461" s="3"/>
      <c r="BS1461" s="3"/>
      <c r="BT1461" s="3"/>
      <c r="BU1461" s="3"/>
      <c r="BV1461" s="3"/>
      <c r="BW1461" s="3"/>
      <c r="BX1461" s="3"/>
      <c r="BY1461" s="3"/>
      <c r="BZ1461" s="3"/>
      <c r="CA1461" s="3"/>
      <c r="CB1461" s="3"/>
      <c r="CC1461" s="3"/>
      <c r="CD1461" s="3"/>
      <c r="CE1461" s="3"/>
      <c r="CF1461" s="3"/>
      <c r="CG1461" s="3"/>
      <c r="CH1461" s="3"/>
      <c r="CI1461" s="3"/>
      <c r="CJ1461" s="3"/>
      <c r="CK1461" s="3"/>
      <c r="CL1461" s="3"/>
      <c r="CM1461" s="3"/>
      <c r="CN1461" s="3"/>
      <c r="CO1461" s="3"/>
      <c r="CP1461" s="3"/>
      <c r="CQ1461" s="3"/>
      <c r="CR1461" s="3"/>
      <c r="CS1461" s="3"/>
      <c r="CT1461" s="3"/>
      <c r="CU1461" s="3"/>
      <c r="CV1461" s="3"/>
      <c r="CW1461" s="3"/>
      <c r="CX1461" s="3"/>
      <c r="CY1461" s="3"/>
      <c r="CZ1461" s="3"/>
      <c r="DA1461" s="3"/>
      <c r="DB1461" s="3"/>
      <c r="DC1461" s="3"/>
      <c r="DD1461" s="3"/>
      <c r="DE1461" s="3"/>
      <c r="DF1461" s="3"/>
    </row>
    <row r="1462" spans="8:110" x14ac:dyDescent="0.3">
      <c r="H1462" s="4">
        <f t="shared" si="202"/>
        <v>0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/>
      <c r="BK1462" s="3"/>
      <c r="BL1462" s="3"/>
      <c r="BM1462" s="3"/>
      <c r="BN1462" s="3"/>
      <c r="BO1462" s="3"/>
      <c r="BP1462" s="3"/>
      <c r="BQ1462" s="3"/>
      <c r="BR1462" s="3"/>
      <c r="BS1462" s="3"/>
      <c r="BT1462" s="3"/>
      <c r="BU1462" s="3"/>
      <c r="BV1462" s="3"/>
      <c r="BW1462" s="3"/>
      <c r="BX1462" s="3"/>
      <c r="BY1462" s="3"/>
      <c r="BZ1462" s="3"/>
      <c r="CA1462" s="3"/>
      <c r="CB1462" s="3"/>
      <c r="CC1462" s="3"/>
      <c r="CD1462" s="3"/>
      <c r="CE1462" s="3"/>
      <c r="CF1462" s="3"/>
      <c r="CG1462" s="3"/>
      <c r="CH1462" s="3"/>
      <c r="CI1462" s="3"/>
      <c r="CJ1462" s="3"/>
      <c r="CK1462" s="3"/>
      <c r="CL1462" s="3"/>
      <c r="CM1462" s="3"/>
      <c r="CN1462" s="3"/>
      <c r="CO1462" s="3"/>
      <c r="CP1462" s="3"/>
      <c r="CQ1462" s="3"/>
      <c r="CR1462" s="3"/>
      <c r="CS1462" s="3"/>
      <c r="CT1462" s="3"/>
      <c r="CU1462" s="3"/>
      <c r="CV1462" s="3"/>
      <c r="CW1462" s="3"/>
      <c r="CX1462" s="3"/>
      <c r="CY1462" s="3"/>
      <c r="CZ1462" s="3"/>
      <c r="DA1462" s="3"/>
      <c r="DB1462" s="3"/>
      <c r="DC1462" s="3"/>
      <c r="DD1462" s="3"/>
      <c r="DE1462" s="3"/>
      <c r="DF1462" s="3"/>
    </row>
    <row r="1463" spans="8:110" x14ac:dyDescent="0.3">
      <c r="H1463" s="4">
        <f t="shared" si="202"/>
        <v>0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/>
      <c r="BK1463" s="3"/>
      <c r="BL1463" s="3"/>
      <c r="BM1463" s="3"/>
      <c r="BN1463" s="3"/>
      <c r="BO1463" s="3"/>
      <c r="BP1463" s="3"/>
      <c r="BQ1463" s="3"/>
      <c r="BR1463" s="3"/>
      <c r="BS1463" s="3"/>
      <c r="BT1463" s="3"/>
      <c r="BU1463" s="3"/>
      <c r="BV1463" s="3"/>
      <c r="BW1463" s="3"/>
      <c r="BX1463" s="3"/>
      <c r="BY1463" s="3"/>
      <c r="BZ1463" s="3"/>
      <c r="CA1463" s="3"/>
      <c r="CB1463" s="3"/>
      <c r="CC1463" s="3"/>
      <c r="CD1463" s="3"/>
      <c r="CE1463" s="3"/>
      <c r="CF1463" s="3"/>
      <c r="CG1463" s="3"/>
      <c r="CH1463" s="3"/>
      <c r="CI1463" s="3"/>
      <c r="CJ1463" s="3"/>
      <c r="CK1463" s="3"/>
      <c r="CL1463" s="3"/>
      <c r="CM1463" s="3"/>
      <c r="CN1463" s="3"/>
      <c r="CO1463" s="3"/>
      <c r="CP1463" s="3"/>
      <c r="CQ1463" s="3"/>
      <c r="CR1463" s="3"/>
      <c r="CS1463" s="3"/>
      <c r="CT1463" s="3"/>
      <c r="CU1463" s="3"/>
      <c r="CV1463" s="3"/>
      <c r="CW1463" s="3"/>
      <c r="CX1463" s="3"/>
      <c r="CY1463" s="3"/>
      <c r="CZ1463" s="3"/>
      <c r="DA1463" s="3"/>
      <c r="DB1463" s="3"/>
      <c r="DC1463" s="3"/>
      <c r="DD1463" s="3"/>
      <c r="DE1463" s="3"/>
      <c r="DF1463" s="3"/>
    </row>
    <row r="1464" spans="8:110" x14ac:dyDescent="0.3">
      <c r="H1464" s="4">
        <f t="shared" si="202"/>
        <v>0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/>
      <c r="BK1464" s="3"/>
      <c r="BL1464" s="3"/>
      <c r="BM1464" s="3"/>
      <c r="BN1464" s="3"/>
      <c r="BO1464" s="3"/>
      <c r="BP1464" s="3"/>
      <c r="BQ1464" s="3"/>
      <c r="BR1464" s="3"/>
      <c r="BS1464" s="3"/>
      <c r="BT1464" s="3"/>
      <c r="BU1464" s="3"/>
      <c r="BV1464" s="3"/>
      <c r="BW1464" s="3"/>
      <c r="BX1464" s="3"/>
      <c r="BY1464" s="3"/>
      <c r="BZ1464" s="3"/>
      <c r="CA1464" s="3"/>
      <c r="CB1464" s="3"/>
      <c r="CC1464" s="3"/>
      <c r="CD1464" s="3"/>
      <c r="CE1464" s="3"/>
      <c r="CF1464" s="3"/>
      <c r="CG1464" s="3"/>
      <c r="CH1464" s="3"/>
      <c r="CI1464" s="3"/>
      <c r="CJ1464" s="3"/>
      <c r="CK1464" s="3"/>
      <c r="CL1464" s="3"/>
      <c r="CM1464" s="3"/>
      <c r="CN1464" s="3"/>
      <c r="CO1464" s="3"/>
      <c r="CP1464" s="3"/>
      <c r="CQ1464" s="3"/>
      <c r="CR1464" s="3"/>
      <c r="CS1464" s="3"/>
      <c r="CT1464" s="3"/>
      <c r="CU1464" s="3"/>
      <c r="CV1464" s="3"/>
      <c r="CW1464" s="3"/>
      <c r="CX1464" s="3"/>
      <c r="CY1464" s="3"/>
      <c r="CZ1464" s="3"/>
      <c r="DA1464" s="3"/>
      <c r="DB1464" s="3"/>
      <c r="DC1464" s="3"/>
      <c r="DD1464" s="3"/>
      <c r="DE1464" s="3"/>
      <c r="DF1464" s="3"/>
    </row>
    <row r="1465" spans="8:110" x14ac:dyDescent="0.3">
      <c r="H1465" s="4">
        <f t="shared" si="202"/>
        <v>0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</row>
    <row r="1466" spans="8:110" x14ac:dyDescent="0.3">
      <c r="H1466" s="4">
        <f t="shared" si="202"/>
        <v>0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</row>
    <row r="1467" spans="8:110" x14ac:dyDescent="0.3">
      <c r="H1467" s="4">
        <f t="shared" si="202"/>
        <v>0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</row>
    <row r="1468" spans="8:110" x14ac:dyDescent="0.3">
      <c r="H1468" s="4">
        <f t="shared" si="202"/>
        <v>0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</row>
    <row r="1469" spans="8:110" x14ac:dyDescent="0.3">
      <c r="H1469" s="4">
        <f t="shared" si="202"/>
        <v>0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</row>
    <row r="1470" spans="8:110" x14ac:dyDescent="0.3">
      <c r="H1470" s="4">
        <f t="shared" ref="H1470:H1533" si="203">D1470-C1470</f>
        <v>0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</row>
    <row r="1471" spans="8:110" x14ac:dyDescent="0.3">
      <c r="H1471" s="4">
        <f t="shared" si="203"/>
        <v>0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</row>
    <row r="1472" spans="8:110" x14ac:dyDescent="0.3">
      <c r="H1472" s="4">
        <f t="shared" si="203"/>
        <v>0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</row>
    <row r="1473" spans="8:110" x14ac:dyDescent="0.3">
      <c r="H1473" s="4">
        <f t="shared" si="203"/>
        <v>0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</row>
    <row r="1474" spans="8:110" x14ac:dyDescent="0.3">
      <c r="H1474" s="4">
        <f t="shared" si="203"/>
        <v>0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</row>
    <row r="1475" spans="8:110" x14ac:dyDescent="0.3">
      <c r="H1475" s="4">
        <f t="shared" si="203"/>
        <v>0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</row>
    <row r="1476" spans="8:110" x14ac:dyDescent="0.3">
      <c r="H1476" s="4">
        <f t="shared" si="203"/>
        <v>0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</row>
    <row r="1477" spans="8:110" x14ac:dyDescent="0.3">
      <c r="H1477" s="4">
        <f t="shared" si="203"/>
        <v>0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</row>
    <row r="1478" spans="8:110" x14ac:dyDescent="0.3">
      <c r="H1478" s="4">
        <f t="shared" si="203"/>
        <v>0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</row>
    <row r="1479" spans="8:110" x14ac:dyDescent="0.3">
      <c r="H1479" s="4">
        <f t="shared" si="203"/>
        <v>0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</row>
    <row r="1480" spans="8:110" x14ac:dyDescent="0.3">
      <c r="H1480" s="4">
        <f t="shared" si="203"/>
        <v>0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</row>
    <row r="1481" spans="8:110" x14ac:dyDescent="0.3">
      <c r="H1481" s="4">
        <f t="shared" si="203"/>
        <v>0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</row>
    <row r="1482" spans="8:110" x14ac:dyDescent="0.3">
      <c r="H1482" s="4">
        <f t="shared" si="203"/>
        <v>0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</row>
    <row r="1483" spans="8:110" x14ac:dyDescent="0.3">
      <c r="H1483" s="4">
        <f t="shared" si="203"/>
        <v>0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</row>
    <row r="1484" spans="8:110" x14ac:dyDescent="0.3">
      <c r="H1484" s="4">
        <f t="shared" si="203"/>
        <v>0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</row>
    <row r="1485" spans="8:110" x14ac:dyDescent="0.3">
      <c r="H1485" s="4">
        <f t="shared" si="203"/>
        <v>0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/>
      <c r="BK1485" s="3"/>
      <c r="BL1485" s="3"/>
      <c r="BM1485" s="3"/>
      <c r="BN1485" s="3"/>
      <c r="BO1485" s="3"/>
      <c r="BP1485" s="3"/>
      <c r="BQ1485" s="3"/>
      <c r="BR1485" s="3"/>
      <c r="BS1485" s="3"/>
      <c r="BT1485" s="3"/>
      <c r="BU1485" s="3"/>
      <c r="BV1485" s="3"/>
      <c r="BW1485" s="3"/>
      <c r="BX1485" s="3"/>
      <c r="BY1485" s="3"/>
      <c r="BZ1485" s="3"/>
      <c r="CA1485" s="3"/>
      <c r="CB1485" s="3"/>
      <c r="CC1485" s="3"/>
      <c r="CD1485" s="3"/>
      <c r="CE1485" s="3"/>
      <c r="CF1485" s="3"/>
      <c r="CG1485" s="3"/>
      <c r="CH1485" s="3"/>
      <c r="CI1485" s="3"/>
      <c r="CJ1485" s="3"/>
      <c r="CK1485" s="3"/>
      <c r="CL1485" s="3"/>
      <c r="CM1485" s="3"/>
      <c r="CN1485" s="3"/>
      <c r="CO1485" s="3"/>
      <c r="CP1485" s="3"/>
      <c r="CQ1485" s="3"/>
      <c r="CR1485" s="3"/>
      <c r="CS1485" s="3"/>
      <c r="CT1485" s="3"/>
      <c r="CU1485" s="3"/>
      <c r="CV1485" s="3"/>
      <c r="CW1485" s="3"/>
      <c r="CX1485" s="3"/>
      <c r="CY1485" s="3"/>
      <c r="CZ1485" s="3"/>
      <c r="DA1485" s="3"/>
      <c r="DB1485" s="3"/>
      <c r="DC1485" s="3"/>
      <c r="DD1485" s="3"/>
      <c r="DE1485" s="3"/>
      <c r="DF1485" s="3"/>
    </row>
    <row r="1486" spans="8:110" x14ac:dyDescent="0.3">
      <c r="H1486" s="4">
        <f t="shared" si="203"/>
        <v>0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/>
      <c r="BK1486" s="3"/>
      <c r="BL1486" s="3"/>
      <c r="BM1486" s="3"/>
      <c r="BN1486" s="3"/>
      <c r="BO1486" s="3"/>
      <c r="BP1486" s="3"/>
      <c r="BQ1486" s="3"/>
      <c r="BR1486" s="3"/>
      <c r="BS1486" s="3"/>
      <c r="BT1486" s="3"/>
      <c r="BU1486" s="3"/>
      <c r="BV1486" s="3"/>
      <c r="BW1486" s="3"/>
      <c r="BX1486" s="3"/>
      <c r="BY1486" s="3"/>
      <c r="BZ1486" s="3"/>
      <c r="CA1486" s="3"/>
      <c r="CB1486" s="3"/>
      <c r="CC1486" s="3"/>
      <c r="CD1486" s="3"/>
      <c r="CE1486" s="3"/>
      <c r="CF1486" s="3"/>
      <c r="CG1486" s="3"/>
      <c r="CH1486" s="3"/>
      <c r="CI1486" s="3"/>
      <c r="CJ1486" s="3"/>
      <c r="CK1486" s="3"/>
      <c r="CL1486" s="3"/>
      <c r="CM1486" s="3"/>
      <c r="CN1486" s="3"/>
      <c r="CO1486" s="3"/>
      <c r="CP1486" s="3"/>
      <c r="CQ1486" s="3"/>
      <c r="CR1486" s="3"/>
      <c r="CS1486" s="3"/>
      <c r="CT1486" s="3"/>
      <c r="CU1486" s="3"/>
      <c r="CV1486" s="3"/>
      <c r="CW1486" s="3"/>
      <c r="CX1486" s="3"/>
      <c r="CY1486" s="3"/>
      <c r="CZ1486" s="3"/>
      <c r="DA1486" s="3"/>
      <c r="DB1486" s="3"/>
      <c r="DC1486" s="3"/>
      <c r="DD1486" s="3"/>
      <c r="DE1486" s="3"/>
      <c r="DF1486" s="3"/>
    </row>
    <row r="1487" spans="8:110" x14ac:dyDescent="0.3">
      <c r="H1487" s="4">
        <f t="shared" si="203"/>
        <v>0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/>
      <c r="BK1487" s="3"/>
      <c r="BL1487" s="3"/>
      <c r="BM1487" s="3"/>
      <c r="BN1487" s="3"/>
      <c r="BO1487" s="3"/>
      <c r="BP1487" s="3"/>
      <c r="BQ1487" s="3"/>
      <c r="BR1487" s="3"/>
      <c r="BS1487" s="3"/>
      <c r="BT1487" s="3"/>
      <c r="BU1487" s="3"/>
      <c r="BV1487" s="3"/>
      <c r="BW1487" s="3"/>
      <c r="BX1487" s="3"/>
      <c r="BY1487" s="3"/>
      <c r="BZ1487" s="3"/>
      <c r="CA1487" s="3"/>
      <c r="CB1487" s="3"/>
      <c r="CC1487" s="3"/>
      <c r="CD1487" s="3"/>
      <c r="CE1487" s="3"/>
      <c r="CF1487" s="3"/>
      <c r="CG1487" s="3"/>
      <c r="CH1487" s="3"/>
      <c r="CI1487" s="3"/>
      <c r="CJ1487" s="3"/>
      <c r="CK1487" s="3"/>
      <c r="CL1487" s="3"/>
      <c r="CM1487" s="3"/>
      <c r="CN1487" s="3"/>
      <c r="CO1487" s="3"/>
      <c r="CP1487" s="3"/>
      <c r="CQ1487" s="3"/>
      <c r="CR1487" s="3"/>
      <c r="CS1487" s="3"/>
      <c r="CT1487" s="3"/>
      <c r="CU1487" s="3"/>
      <c r="CV1487" s="3"/>
      <c r="CW1487" s="3"/>
      <c r="CX1487" s="3"/>
      <c r="CY1487" s="3"/>
      <c r="CZ1487" s="3"/>
      <c r="DA1487" s="3"/>
      <c r="DB1487" s="3"/>
      <c r="DC1487" s="3"/>
      <c r="DD1487" s="3"/>
      <c r="DE1487" s="3"/>
      <c r="DF1487" s="3"/>
    </row>
    <row r="1488" spans="8:110" x14ac:dyDescent="0.3">
      <c r="H1488" s="4">
        <f t="shared" si="203"/>
        <v>0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/>
      <c r="BK1488" s="3"/>
      <c r="BL1488" s="3"/>
      <c r="BM1488" s="3"/>
      <c r="BN1488" s="3"/>
      <c r="BO1488" s="3"/>
      <c r="BP1488" s="3"/>
      <c r="BQ1488" s="3"/>
      <c r="BR1488" s="3"/>
      <c r="BS1488" s="3"/>
      <c r="BT1488" s="3"/>
      <c r="BU1488" s="3"/>
      <c r="BV1488" s="3"/>
      <c r="BW1488" s="3"/>
      <c r="BX1488" s="3"/>
      <c r="BY1488" s="3"/>
      <c r="BZ1488" s="3"/>
      <c r="CA1488" s="3"/>
      <c r="CB1488" s="3"/>
      <c r="CC1488" s="3"/>
      <c r="CD1488" s="3"/>
      <c r="CE1488" s="3"/>
      <c r="CF1488" s="3"/>
      <c r="CG1488" s="3"/>
      <c r="CH1488" s="3"/>
      <c r="CI1488" s="3"/>
      <c r="CJ1488" s="3"/>
      <c r="CK1488" s="3"/>
      <c r="CL1488" s="3"/>
      <c r="CM1488" s="3"/>
      <c r="CN1488" s="3"/>
      <c r="CO1488" s="3"/>
      <c r="CP1488" s="3"/>
      <c r="CQ1488" s="3"/>
      <c r="CR1488" s="3"/>
      <c r="CS1488" s="3"/>
      <c r="CT1488" s="3"/>
      <c r="CU1488" s="3"/>
      <c r="CV1488" s="3"/>
      <c r="CW1488" s="3"/>
      <c r="CX1488" s="3"/>
      <c r="CY1488" s="3"/>
      <c r="CZ1488" s="3"/>
      <c r="DA1488" s="3"/>
      <c r="DB1488" s="3"/>
      <c r="DC1488" s="3"/>
      <c r="DD1488" s="3"/>
      <c r="DE1488" s="3"/>
      <c r="DF1488" s="3"/>
    </row>
    <row r="1489" spans="8:110" x14ac:dyDescent="0.3">
      <c r="H1489" s="4">
        <f t="shared" si="203"/>
        <v>0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</row>
    <row r="1490" spans="8:110" x14ac:dyDescent="0.3">
      <c r="H1490" s="4">
        <f t="shared" si="203"/>
        <v>0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</row>
    <row r="1491" spans="8:110" x14ac:dyDescent="0.3">
      <c r="H1491" s="4">
        <f t="shared" si="203"/>
        <v>0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</row>
    <row r="1492" spans="8:110" x14ac:dyDescent="0.3">
      <c r="H1492" s="4">
        <f t="shared" si="203"/>
        <v>0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</row>
    <row r="1493" spans="8:110" x14ac:dyDescent="0.3">
      <c r="H1493" s="4">
        <f t="shared" si="203"/>
        <v>0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</row>
    <row r="1494" spans="8:110" x14ac:dyDescent="0.3">
      <c r="H1494" s="4">
        <f t="shared" si="203"/>
        <v>0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</row>
    <row r="1495" spans="8:110" x14ac:dyDescent="0.3">
      <c r="H1495" s="4">
        <f t="shared" si="203"/>
        <v>0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</row>
    <row r="1496" spans="8:110" x14ac:dyDescent="0.3">
      <c r="H1496" s="4">
        <f t="shared" si="203"/>
        <v>0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</row>
    <row r="1497" spans="8:110" x14ac:dyDescent="0.3">
      <c r="H1497" s="4">
        <f t="shared" si="203"/>
        <v>0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</row>
    <row r="1498" spans="8:110" x14ac:dyDescent="0.3">
      <c r="H1498" s="4">
        <f t="shared" si="203"/>
        <v>0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</row>
    <row r="1499" spans="8:110" x14ac:dyDescent="0.3">
      <c r="H1499" s="4">
        <f t="shared" si="203"/>
        <v>0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</row>
    <row r="1500" spans="8:110" x14ac:dyDescent="0.3">
      <c r="H1500" s="4">
        <f t="shared" si="203"/>
        <v>0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</row>
    <row r="1501" spans="8:110" x14ac:dyDescent="0.3">
      <c r="H1501" s="4">
        <f t="shared" si="203"/>
        <v>0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</row>
    <row r="1502" spans="8:110" x14ac:dyDescent="0.3">
      <c r="H1502" s="4">
        <f t="shared" si="203"/>
        <v>0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</row>
    <row r="1503" spans="8:110" x14ac:dyDescent="0.3">
      <c r="H1503" s="4">
        <f t="shared" si="203"/>
        <v>0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</row>
    <row r="1504" spans="8:110" x14ac:dyDescent="0.3">
      <c r="H1504" s="4">
        <f t="shared" si="203"/>
        <v>0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</row>
    <row r="1505" spans="8:110" x14ac:dyDescent="0.3">
      <c r="H1505" s="4">
        <f t="shared" si="203"/>
        <v>0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</row>
    <row r="1506" spans="8:110" x14ac:dyDescent="0.3">
      <c r="H1506" s="4">
        <f t="shared" si="203"/>
        <v>0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</row>
    <row r="1507" spans="8:110" x14ac:dyDescent="0.3">
      <c r="H1507" s="4">
        <f t="shared" si="203"/>
        <v>0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</row>
    <row r="1508" spans="8:110" x14ac:dyDescent="0.3">
      <c r="H1508" s="4">
        <f t="shared" si="203"/>
        <v>0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</row>
    <row r="1509" spans="8:110" x14ac:dyDescent="0.3">
      <c r="H1509" s="4">
        <f t="shared" si="203"/>
        <v>0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/>
      <c r="BK1509" s="3"/>
      <c r="BL1509" s="3"/>
      <c r="BM1509" s="3"/>
      <c r="BN1509" s="3"/>
      <c r="BO1509" s="3"/>
      <c r="BP1509" s="3"/>
      <c r="BQ1509" s="3"/>
      <c r="BR1509" s="3"/>
      <c r="BS1509" s="3"/>
      <c r="BT1509" s="3"/>
      <c r="BU1509" s="3"/>
      <c r="BV1509" s="3"/>
      <c r="BW1509" s="3"/>
      <c r="BX1509" s="3"/>
      <c r="BY1509" s="3"/>
      <c r="BZ1509" s="3"/>
      <c r="CA1509" s="3"/>
      <c r="CB1509" s="3"/>
      <c r="CC1509" s="3"/>
      <c r="CD1509" s="3"/>
      <c r="CE1509" s="3"/>
      <c r="CF1509" s="3"/>
      <c r="CG1509" s="3"/>
      <c r="CH1509" s="3"/>
      <c r="CI1509" s="3"/>
      <c r="CJ1509" s="3"/>
      <c r="CK1509" s="3"/>
      <c r="CL1509" s="3"/>
      <c r="CM1509" s="3"/>
      <c r="CN1509" s="3"/>
      <c r="CO1509" s="3"/>
      <c r="CP1509" s="3"/>
      <c r="CQ1509" s="3"/>
      <c r="CR1509" s="3"/>
      <c r="CS1509" s="3"/>
      <c r="CT1509" s="3"/>
      <c r="CU1509" s="3"/>
      <c r="CV1509" s="3"/>
      <c r="CW1509" s="3"/>
      <c r="CX1509" s="3"/>
      <c r="CY1509" s="3"/>
      <c r="CZ1509" s="3"/>
      <c r="DA1509" s="3"/>
      <c r="DB1509" s="3"/>
      <c r="DC1509" s="3"/>
      <c r="DD1509" s="3"/>
      <c r="DE1509" s="3"/>
      <c r="DF1509" s="3"/>
    </row>
    <row r="1510" spans="8:110" x14ac:dyDescent="0.3">
      <c r="H1510" s="4">
        <f t="shared" si="203"/>
        <v>0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/>
      <c r="BK1510" s="3"/>
      <c r="BL1510" s="3"/>
      <c r="BM1510" s="3"/>
      <c r="BN1510" s="3"/>
      <c r="BO1510" s="3"/>
      <c r="BP1510" s="3"/>
      <c r="BQ1510" s="3"/>
      <c r="BR1510" s="3"/>
      <c r="BS1510" s="3"/>
      <c r="BT1510" s="3"/>
      <c r="BU1510" s="3"/>
      <c r="BV1510" s="3"/>
      <c r="BW1510" s="3"/>
      <c r="BX1510" s="3"/>
      <c r="BY1510" s="3"/>
      <c r="BZ1510" s="3"/>
      <c r="CA1510" s="3"/>
      <c r="CB1510" s="3"/>
      <c r="CC1510" s="3"/>
      <c r="CD1510" s="3"/>
      <c r="CE1510" s="3"/>
      <c r="CF1510" s="3"/>
      <c r="CG1510" s="3"/>
      <c r="CH1510" s="3"/>
      <c r="CI1510" s="3"/>
      <c r="CJ1510" s="3"/>
      <c r="CK1510" s="3"/>
      <c r="CL1510" s="3"/>
      <c r="CM1510" s="3"/>
      <c r="CN1510" s="3"/>
      <c r="CO1510" s="3"/>
      <c r="CP1510" s="3"/>
      <c r="CQ1510" s="3"/>
      <c r="CR1510" s="3"/>
      <c r="CS1510" s="3"/>
      <c r="CT1510" s="3"/>
      <c r="CU1510" s="3"/>
      <c r="CV1510" s="3"/>
      <c r="CW1510" s="3"/>
      <c r="CX1510" s="3"/>
      <c r="CY1510" s="3"/>
      <c r="CZ1510" s="3"/>
      <c r="DA1510" s="3"/>
      <c r="DB1510" s="3"/>
      <c r="DC1510" s="3"/>
      <c r="DD1510" s="3"/>
      <c r="DE1510" s="3"/>
      <c r="DF1510" s="3"/>
    </row>
    <row r="1511" spans="8:110" x14ac:dyDescent="0.3">
      <c r="H1511" s="4">
        <f t="shared" si="203"/>
        <v>0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/>
      <c r="BK1511" s="3"/>
      <c r="BL1511" s="3"/>
      <c r="BM1511" s="3"/>
      <c r="BN1511" s="3"/>
      <c r="BO1511" s="3"/>
      <c r="BP1511" s="3"/>
      <c r="BQ1511" s="3"/>
      <c r="BR1511" s="3"/>
      <c r="BS1511" s="3"/>
      <c r="BT1511" s="3"/>
      <c r="BU1511" s="3"/>
      <c r="BV1511" s="3"/>
      <c r="BW1511" s="3"/>
      <c r="BX1511" s="3"/>
      <c r="BY1511" s="3"/>
      <c r="BZ1511" s="3"/>
      <c r="CA1511" s="3"/>
      <c r="CB1511" s="3"/>
      <c r="CC1511" s="3"/>
      <c r="CD1511" s="3"/>
      <c r="CE1511" s="3"/>
      <c r="CF1511" s="3"/>
      <c r="CG1511" s="3"/>
      <c r="CH1511" s="3"/>
      <c r="CI1511" s="3"/>
      <c r="CJ1511" s="3"/>
      <c r="CK1511" s="3"/>
      <c r="CL1511" s="3"/>
      <c r="CM1511" s="3"/>
      <c r="CN1511" s="3"/>
      <c r="CO1511" s="3"/>
      <c r="CP1511" s="3"/>
      <c r="CQ1511" s="3"/>
      <c r="CR1511" s="3"/>
      <c r="CS1511" s="3"/>
      <c r="CT1511" s="3"/>
      <c r="CU1511" s="3"/>
      <c r="CV1511" s="3"/>
      <c r="CW1511" s="3"/>
      <c r="CX1511" s="3"/>
      <c r="CY1511" s="3"/>
      <c r="CZ1511" s="3"/>
      <c r="DA1511" s="3"/>
      <c r="DB1511" s="3"/>
      <c r="DC1511" s="3"/>
      <c r="DD1511" s="3"/>
      <c r="DE1511" s="3"/>
      <c r="DF1511" s="3"/>
    </row>
    <row r="1512" spans="8:110" x14ac:dyDescent="0.3">
      <c r="H1512" s="4">
        <f t="shared" si="203"/>
        <v>0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/>
      <c r="BK1512" s="3"/>
      <c r="BL1512" s="3"/>
      <c r="BM1512" s="3"/>
      <c r="BN1512" s="3"/>
      <c r="BO1512" s="3"/>
      <c r="BP1512" s="3"/>
      <c r="BQ1512" s="3"/>
      <c r="BR1512" s="3"/>
      <c r="BS1512" s="3"/>
      <c r="BT1512" s="3"/>
      <c r="BU1512" s="3"/>
      <c r="BV1512" s="3"/>
      <c r="BW1512" s="3"/>
      <c r="BX1512" s="3"/>
      <c r="BY1512" s="3"/>
      <c r="BZ1512" s="3"/>
      <c r="CA1512" s="3"/>
      <c r="CB1512" s="3"/>
      <c r="CC1512" s="3"/>
      <c r="CD1512" s="3"/>
      <c r="CE1512" s="3"/>
      <c r="CF1512" s="3"/>
      <c r="CG1512" s="3"/>
      <c r="CH1512" s="3"/>
      <c r="CI1512" s="3"/>
      <c r="CJ1512" s="3"/>
      <c r="CK1512" s="3"/>
      <c r="CL1512" s="3"/>
      <c r="CM1512" s="3"/>
      <c r="CN1512" s="3"/>
      <c r="CO1512" s="3"/>
      <c r="CP1512" s="3"/>
      <c r="CQ1512" s="3"/>
      <c r="CR1512" s="3"/>
      <c r="CS1512" s="3"/>
      <c r="CT1512" s="3"/>
      <c r="CU1512" s="3"/>
      <c r="CV1512" s="3"/>
      <c r="CW1512" s="3"/>
      <c r="CX1512" s="3"/>
      <c r="CY1512" s="3"/>
      <c r="CZ1512" s="3"/>
      <c r="DA1512" s="3"/>
      <c r="DB1512" s="3"/>
      <c r="DC1512" s="3"/>
      <c r="DD1512" s="3"/>
      <c r="DE1512" s="3"/>
      <c r="DF1512" s="3"/>
    </row>
    <row r="1513" spans="8:110" x14ac:dyDescent="0.3">
      <c r="H1513" s="4">
        <f t="shared" si="203"/>
        <v>0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</row>
    <row r="1514" spans="8:110" x14ac:dyDescent="0.3">
      <c r="H1514" s="4">
        <f t="shared" si="203"/>
        <v>0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</row>
    <row r="1515" spans="8:110" x14ac:dyDescent="0.3">
      <c r="H1515" s="4">
        <f t="shared" si="203"/>
        <v>0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</row>
    <row r="1516" spans="8:110" x14ac:dyDescent="0.3">
      <c r="H1516" s="4">
        <f t="shared" si="203"/>
        <v>0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</row>
    <row r="1517" spans="8:110" x14ac:dyDescent="0.3">
      <c r="H1517" s="4">
        <f t="shared" si="203"/>
        <v>0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</row>
    <row r="1518" spans="8:110" x14ac:dyDescent="0.3">
      <c r="H1518" s="4">
        <f t="shared" si="203"/>
        <v>0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</row>
    <row r="1519" spans="8:110" x14ac:dyDescent="0.3">
      <c r="H1519" s="4">
        <f t="shared" si="203"/>
        <v>0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</row>
    <row r="1520" spans="8:110" x14ac:dyDescent="0.3">
      <c r="H1520" s="4">
        <f t="shared" si="203"/>
        <v>0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</row>
    <row r="1521" spans="8:110" x14ac:dyDescent="0.3">
      <c r="H1521" s="4">
        <f t="shared" si="203"/>
        <v>0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</row>
    <row r="1522" spans="8:110" x14ac:dyDescent="0.3">
      <c r="H1522" s="4">
        <f t="shared" si="203"/>
        <v>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</row>
    <row r="1523" spans="8:110" x14ac:dyDescent="0.3">
      <c r="H1523" s="4">
        <f t="shared" si="203"/>
        <v>0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</row>
    <row r="1524" spans="8:110" x14ac:dyDescent="0.3">
      <c r="H1524" s="4">
        <f t="shared" si="203"/>
        <v>0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</row>
    <row r="1525" spans="8:110" x14ac:dyDescent="0.3">
      <c r="H1525" s="4">
        <f t="shared" si="203"/>
        <v>0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</row>
    <row r="1526" spans="8:110" x14ac:dyDescent="0.3">
      <c r="H1526" s="4">
        <f t="shared" si="203"/>
        <v>0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</row>
    <row r="1527" spans="8:110" x14ac:dyDescent="0.3">
      <c r="H1527" s="4">
        <f t="shared" si="203"/>
        <v>0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</row>
    <row r="1528" spans="8:110" x14ac:dyDescent="0.3">
      <c r="H1528" s="4">
        <f t="shared" si="203"/>
        <v>0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</row>
    <row r="1529" spans="8:110" x14ac:dyDescent="0.3">
      <c r="H1529" s="4">
        <f t="shared" si="203"/>
        <v>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</row>
    <row r="1530" spans="8:110" x14ac:dyDescent="0.3">
      <c r="H1530" s="4">
        <f t="shared" si="203"/>
        <v>0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</row>
    <row r="1531" spans="8:110" x14ac:dyDescent="0.3">
      <c r="H1531" s="4">
        <f t="shared" si="203"/>
        <v>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</row>
    <row r="1532" spans="8:110" x14ac:dyDescent="0.3">
      <c r="H1532" s="4">
        <f t="shared" si="203"/>
        <v>0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</row>
    <row r="1533" spans="8:110" x14ac:dyDescent="0.3">
      <c r="H1533" s="4">
        <f t="shared" si="203"/>
        <v>0</v>
      </c>
      <c r="K1533" s="3"/>
      <c r="L1533" s="16"/>
      <c r="M1533" s="16"/>
      <c r="N1533" s="16"/>
      <c r="O1533" s="16"/>
      <c r="P1533" s="16"/>
      <c r="Q1533" s="16"/>
      <c r="R1533" s="16"/>
      <c r="S1533" s="16"/>
      <c r="T1533" s="16"/>
      <c r="U1533" s="16"/>
      <c r="V1533" s="16"/>
      <c r="W1533" s="16"/>
      <c r="X1533" s="16"/>
      <c r="Y1533" s="16"/>
      <c r="Z1533" s="16"/>
      <c r="AA1533" s="16"/>
      <c r="AB1533" s="16"/>
      <c r="AC1533" s="16"/>
      <c r="AD1533" s="16"/>
      <c r="AE1533" s="16"/>
      <c r="AF1533" s="16"/>
      <c r="AG1533" s="16"/>
      <c r="AH1533" s="16"/>
      <c r="AI1533" s="16"/>
      <c r="AJ1533" s="16"/>
      <c r="AK1533" s="16"/>
      <c r="AL1533" s="16"/>
      <c r="AM1533" s="16"/>
      <c r="AN1533" s="16"/>
      <c r="AO1533" s="16"/>
      <c r="AP1533" s="16"/>
      <c r="AQ1533" s="16"/>
      <c r="AR1533" s="16"/>
      <c r="AS1533" s="16"/>
      <c r="AT1533" s="16"/>
      <c r="AU1533" s="16"/>
      <c r="AV1533" s="16"/>
      <c r="AW1533" s="16"/>
      <c r="AX1533" s="16"/>
      <c r="AY1533" s="16"/>
      <c r="AZ1533" s="16"/>
      <c r="BA1533" s="16"/>
      <c r="BB1533" s="16"/>
      <c r="BC1533" s="16"/>
      <c r="BD1533" s="16"/>
      <c r="BE1533" s="16"/>
      <c r="BF1533" s="16"/>
      <c r="BG1533" s="16"/>
      <c r="BH1533" s="16"/>
      <c r="BI1533" s="16"/>
      <c r="BJ1533" s="16"/>
      <c r="BK1533" s="16"/>
      <c r="BL1533" s="16"/>
      <c r="BM1533" s="16"/>
      <c r="BN1533" s="16"/>
      <c r="BO1533" s="16"/>
      <c r="BP1533" s="16"/>
      <c r="BQ1533" s="16"/>
      <c r="BR1533" s="16"/>
      <c r="BS1533" s="16"/>
      <c r="BT1533" s="16"/>
      <c r="BU1533" s="16"/>
      <c r="BV1533" s="16"/>
      <c r="BW1533" s="16"/>
      <c r="BX1533" s="16"/>
      <c r="BY1533" s="16"/>
      <c r="BZ1533" s="16"/>
      <c r="CA1533" s="16"/>
      <c r="CB1533" s="16"/>
      <c r="CC1533" s="16"/>
      <c r="CD1533" s="16"/>
      <c r="CE1533" s="16"/>
      <c r="CF1533" s="16"/>
      <c r="CG1533" s="16"/>
      <c r="CH1533" s="16"/>
      <c r="CI1533" s="16"/>
      <c r="CJ1533" s="16"/>
      <c r="CK1533" s="16"/>
      <c r="CL1533" s="16"/>
      <c r="CM1533" s="16"/>
      <c r="CN1533" s="16"/>
      <c r="CO1533" s="16"/>
      <c r="CP1533" s="16"/>
      <c r="CQ1533" s="16"/>
      <c r="CR1533" s="16"/>
      <c r="CS1533" s="16"/>
      <c r="CT1533" s="16"/>
      <c r="CU1533" s="16"/>
      <c r="CV1533" s="16"/>
      <c r="CW1533" s="16"/>
      <c r="CX1533" s="16"/>
      <c r="CY1533" s="16"/>
      <c r="CZ1533" s="16"/>
      <c r="DA1533" s="16"/>
      <c r="DB1533" s="16"/>
      <c r="DC1533" s="16"/>
      <c r="DD1533" s="16"/>
      <c r="DE1533" s="16"/>
      <c r="DF1533" s="16"/>
    </row>
    <row r="1534" spans="8:110" x14ac:dyDescent="0.3">
      <c r="H1534" s="4">
        <f t="shared" ref="H1534:H1597" si="204">D1534-C1534</f>
        <v>0</v>
      </c>
      <c r="K1534" s="3"/>
      <c r="L1534" s="16"/>
      <c r="M1534" s="16"/>
      <c r="N1534" s="16"/>
      <c r="O1534" s="16"/>
      <c r="P1534" s="16"/>
      <c r="Q1534" s="16"/>
      <c r="R1534" s="16"/>
      <c r="S1534" s="16"/>
      <c r="T1534" s="16"/>
      <c r="U1534" s="16"/>
      <c r="V1534" s="16"/>
      <c r="W1534" s="16"/>
      <c r="X1534" s="16"/>
      <c r="Y1534" s="16"/>
      <c r="Z1534" s="16"/>
      <c r="AA1534" s="16"/>
      <c r="AB1534" s="16"/>
      <c r="AC1534" s="16"/>
      <c r="AD1534" s="16"/>
      <c r="AE1534" s="16"/>
      <c r="AF1534" s="16"/>
      <c r="AG1534" s="16"/>
      <c r="AH1534" s="16"/>
      <c r="AI1534" s="16"/>
      <c r="AJ1534" s="16"/>
      <c r="AK1534" s="16"/>
      <c r="AL1534" s="16"/>
      <c r="AM1534" s="16"/>
      <c r="AN1534" s="16"/>
      <c r="AO1534" s="16"/>
      <c r="AP1534" s="16"/>
      <c r="AQ1534" s="16"/>
      <c r="AR1534" s="16"/>
      <c r="AS1534" s="16"/>
      <c r="AT1534" s="16"/>
      <c r="AU1534" s="16"/>
      <c r="AV1534" s="16"/>
      <c r="AW1534" s="16"/>
      <c r="AX1534" s="16"/>
      <c r="AY1534" s="16"/>
      <c r="AZ1534" s="16"/>
      <c r="BA1534" s="16"/>
      <c r="BB1534" s="16"/>
      <c r="BC1534" s="16"/>
      <c r="BD1534" s="16"/>
      <c r="BE1534" s="16"/>
      <c r="BF1534" s="16"/>
      <c r="BG1534" s="16"/>
      <c r="BH1534" s="16"/>
      <c r="BI1534" s="16"/>
      <c r="BJ1534" s="16"/>
      <c r="BK1534" s="16"/>
      <c r="BL1534" s="16"/>
      <c r="BM1534" s="16"/>
      <c r="BN1534" s="16"/>
      <c r="BO1534" s="16"/>
      <c r="BP1534" s="16"/>
      <c r="BQ1534" s="16"/>
      <c r="BR1534" s="16"/>
      <c r="BS1534" s="16"/>
      <c r="BT1534" s="16"/>
      <c r="BU1534" s="16"/>
      <c r="BV1534" s="16"/>
      <c r="BW1534" s="16"/>
      <c r="BX1534" s="16"/>
      <c r="BY1534" s="16"/>
      <c r="BZ1534" s="16"/>
      <c r="CA1534" s="16"/>
      <c r="CB1534" s="16"/>
      <c r="CC1534" s="16"/>
      <c r="CD1534" s="16"/>
      <c r="CE1534" s="16"/>
      <c r="CF1534" s="16"/>
      <c r="CG1534" s="16"/>
      <c r="CH1534" s="16"/>
      <c r="CI1534" s="16"/>
      <c r="CJ1534" s="16"/>
      <c r="CK1534" s="16"/>
      <c r="CL1534" s="16"/>
      <c r="CM1534" s="16"/>
      <c r="CN1534" s="16"/>
      <c r="CO1534" s="16"/>
      <c r="CP1534" s="16"/>
      <c r="CQ1534" s="16"/>
      <c r="CR1534" s="16"/>
      <c r="CS1534" s="16"/>
      <c r="CT1534" s="16"/>
      <c r="CU1534" s="16"/>
      <c r="CV1534" s="16"/>
      <c r="CW1534" s="16"/>
      <c r="CX1534" s="16"/>
      <c r="CY1534" s="16"/>
      <c r="CZ1534" s="16"/>
      <c r="DA1534" s="16"/>
      <c r="DB1534" s="16"/>
      <c r="DC1534" s="16"/>
      <c r="DD1534" s="16"/>
      <c r="DE1534" s="16"/>
      <c r="DF1534" s="16"/>
    </row>
    <row r="1535" spans="8:110" x14ac:dyDescent="0.3">
      <c r="H1535" s="4">
        <f t="shared" si="204"/>
        <v>0</v>
      </c>
      <c r="K1535" s="3"/>
      <c r="L1535" s="16"/>
      <c r="M1535" s="16"/>
      <c r="N1535" s="16"/>
      <c r="O1535" s="16"/>
      <c r="P1535" s="16"/>
      <c r="Q1535" s="16"/>
      <c r="R1535" s="16"/>
      <c r="S1535" s="16"/>
      <c r="T1535" s="16"/>
      <c r="U1535" s="16"/>
      <c r="V1535" s="16"/>
      <c r="W1535" s="16"/>
      <c r="X1535" s="16"/>
      <c r="Y1535" s="16"/>
      <c r="Z1535" s="16"/>
      <c r="AA1535" s="16"/>
      <c r="AB1535" s="16"/>
      <c r="AC1535" s="16"/>
      <c r="AD1535" s="16"/>
      <c r="AE1535" s="16"/>
      <c r="AF1535" s="16"/>
      <c r="AG1535" s="16"/>
      <c r="AH1535" s="16"/>
      <c r="AI1535" s="16"/>
      <c r="AJ1535" s="16"/>
      <c r="AK1535" s="16"/>
      <c r="AL1535" s="16"/>
      <c r="AM1535" s="16"/>
      <c r="AN1535" s="16"/>
      <c r="AO1535" s="16"/>
      <c r="AP1535" s="16"/>
      <c r="AQ1535" s="16"/>
      <c r="AR1535" s="16"/>
      <c r="AS1535" s="16"/>
      <c r="AT1535" s="16"/>
      <c r="AU1535" s="16"/>
      <c r="AV1535" s="16"/>
      <c r="AW1535" s="16"/>
      <c r="AX1535" s="16"/>
      <c r="AY1535" s="16"/>
      <c r="AZ1535" s="16"/>
      <c r="BA1535" s="16"/>
      <c r="BB1535" s="16"/>
      <c r="BC1535" s="16"/>
      <c r="BD1535" s="16"/>
      <c r="BE1535" s="16"/>
      <c r="BF1535" s="16"/>
      <c r="BG1535" s="16"/>
      <c r="BH1535" s="16"/>
      <c r="BI1535" s="16"/>
      <c r="BJ1535" s="16"/>
      <c r="BK1535" s="16"/>
      <c r="BL1535" s="16"/>
      <c r="BM1535" s="16"/>
      <c r="BN1535" s="16"/>
      <c r="BO1535" s="16"/>
      <c r="BP1535" s="16"/>
      <c r="BQ1535" s="16"/>
      <c r="BR1535" s="16"/>
      <c r="BS1535" s="16"/>
      <c r="BT1535" s="16"/>
      <c r="BU1535" s="16"/>
      <c r="BV1535" s="16"/>
      <c r="BW1535" s="16"/>
      <c r="BX1535" s="16"/>
      <c r="BY1535" s="16"/>
      <c r="BZ1535" s="16"/>
      <c r="CA1535" s="16"/>
      <c r="CB1535" s="16"/>
      <c r="CC1535" s="16"/>
      <c r="CD1535" s="16"/>
      <c r="CE1535" s="16"/>
      <c r="CF1535" s="16"/>
      <c r="CG1535" s="16"/>
      <c r="CH1535" s="16"/>
      <c r="CI1535" s="16"/>
      <c r="CJ1535" s="16"/>
      <c r="CK1535" s="16"/>
      <c r="CL1535" s="16"/>
      <c r="CM1535" s="16"/>
      <c r="CN1535" s="16"/>
      <c r="CO1535" s="16"/>
      <c r="CP1535" s="16"/>
      <c r="CQ1535" s="16"/>
      <c r="CR1535" s="16"/>
      <c r="CS1535" s="16"/>
      <c r="CT1535" s="16"/>
      <c r="CU1535" s="16"/>
      <c r="CV1535" s="16"/>
      <c r="CW1535" s="16"/>
      <c r="CX1535" s="16"/>
      <c r="CY1535" s="16"/>
      <c r="CZ1535" s="16"/>
      <c r="DA1535" s="16"/>
      <c r="DB1535" s="16"/>
      <c r="DC1535" s="16"/>
      <c r="DD1535" s="16"/>
      <c r="DE1535" s="16"/>
      <c r="DF1535" s="16"/>
    </row>
    <row r="1536" spans="8:110" x14ac:dyDescent="0.3">
      <c r="H1536" s="4">
        <f t="shared" si="204"/>
        <v>0</v>
      </c>
      <c r="K1536" s="3"/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  <c r="V1536" s="16"/>
      <c r="W1536" s="16"/>
      <c r="X1536" s="16"/>
      <c r="Y1536" s="16"/>
      <c r="Z1536" s="16"/>
      <c r="AA1536" s="16"/>
      <c r="AB1536" s="16"/>
      <c r="AC1536" s="16"/>
      <c r="AD1536" s="16"/>
      <c r="AE1536" s="16"/>
      <c r="AF1536" s="16"/>
      <c r="AG1536" s="16"/>
      <c r="AH1536" s="16"/>
      <c r="AI1536" s="16"/>
      <c r="AJ1536" s="16"/>
      <c r="AK1536" s="16"/>
      <c r="AL1536" s="16"/>
      <c r="AM1536" s="16"/>
      <c r="AN1536" s="16"/>
      <c r="AO1536" s="16"/>
      <c r="AP1536" s="16"/>
      <c r="AQ1536" s="16"/>
      <c r="AR1536" s="16"/>
      <c r="AS1536" s="16"/>
      <c r="AT1536" s="16"/>
      <c r="AU1536" s="16"/>
      <c r="AV1536" s="16"/>
      <c r="AW1536" s="16"/>
      <c r="AX1536" s="16"/>
      <c r="AY1536" s="16"/>
      <c r="AZ1536" s="16"/>
      <c r="BA1536" s="16"/>
      <c r="BB1536" s="16"/>
      <c r="BC1536" s="16"/>
      <c r="BD1536" s="16"/>
      <c r="BE1536" s="16"/>
      <c r="BF1536" s="16"/>
      <c r="BG1536" s="16"/>
      <c r="BH1536" s="16"/>
      <c r="BI1536" s="16"/>
      <c r="BJ1536" s="16"/>
      <c r="BK1536" s="16"/>
      <c r="BL1536" s="16"/>
      <c r="BM1536" s="16"/>
      <c r="BN1536" s="16"/>
      <c r="BO1536" s="16"/>
      <c r="BP1536" s="16"/>
      <c r="BQ1536" s="16"/>
      <c r="BR1536" s="16"/>
      <c r="BS1536" s="16"/>
      <c r="BT1536" s="16"/>
      <c r="BU1536" s="16"/>
      <c r="BV1536" s="16"/>
      <c r="BW1536" s="16"/>
      <c r="BX1536" s="16"/>
      <c r="BY1536" s="16"/>
      <c r="BZ1536" s="16"/>
      <c r="CA1536" s="16"/>
      <c r="CB1536" s="16"/>
      <c r="CC1536" s="16"/>
      <c r="CD1536" s="16"/>
      <c r="CE1536" s="16"/>
      <c r="CF1536" s="16"/>
      <c r="CG1536" s="16"/>
      <c r="CH1536" s="16"/>
      <c r="CI1536" s="16"/>
      <c r="CJ1536" s="16"/>
      <c r="CK1536" s="16"/>
      <c r="CL1536" s="16"/>
      <c r="CM1536" s="16"/>
      <c r="CN1536" s="16"/>
      <c r="CO1536" s="16"/>
      <c r="CP1536" s="16"/>
      <c r="CQ1536" s="16"/>
      <c r="CR1536" s="16"/>
      <c r="CS1536" s="16"/>
      <c r="CT1536" s="16"/>
      <c r="CU1536" s="16"/>
      <c r="CV1536" s="16"/>
      <c r="CW1536" s="16"/>
      <c r="CX1536" s="16"/>
      <c r="CY1536" s="16"/>
      <c r="CZ1536" s="16"/>
      <c r="DA1536" s="16"/>
      <c r="DB1536" s="16"/>
      <c r="DC1536" s="16"/>
      <c r="DD1536" s="16"/>
      <c r="DE1536" s="16"/>
      <c r="DF1536" s="16"/>
    </row>
    <row r="1537" spans="8:110" x14ac:dyDescent="0.3">
      <c r="H1537" s="4">
        <f t="shared" si="204"/>
        <v>0</v>
      </c>
      <c r="K1537" s="3"/>
      <c r="L1537" s="16"/>
      <c r="M1537" s="16"/>
      <c r="N1537" s="16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  <c r="Z1537" s="16"/>
      <c r="AA1537" s="16"/>
      <c r="AB1537" s="16"/>
      <c r="AC1537" s="16"/>
      <c r="AD1537" s="16"/>
      <c r="AE1537" s="16"/>
      <c r="AF1537" s="16"/>
      <c r="AG1537" s="16"/>
      <c r="AH1537" s="16"/>
      <c r="AI1537" s="16"/>
      <c r="AJ1537" s="16"/>
      <c r="AK1537" s="16"/>
      <c r="AL1537" s="16"/>
      <c r="AM1537" s="16"/>
      <c r="AN1537" s="16"/>
      <c r="AO1537" s="16"/>
      <c r="AP1537" s="16"/>
      <c r="AQ1537" s="16"/>
      <c r="AR1537" s="16"/>
      <c r="AS1537" s="16"/>
      <c r="AT1537" s="16"/>
      <c r="AU1537" s="16"/>
      <c r="AV1537" s="16"/>
      <c r="AW1537" s="16"/>
      <c r="AX1537" s="16"/>
      <c r="AY1537" s="16"/>
      <c r="AZ1537" s="16"/>
      <c r="BA1537" s="16"/>
      <c r="BB1537" s="16"/>
      <c r="BC1537" s="16"/>
      <c r="BD1537" s="16"/>
      <c r="BE1537" s="16"/>
      <c r="BF1537" s="16"/>
      <c r="BG1537" s="16"/>
      <c r="BH1537" s="16"/>
      <c r="BI1537" s="16"/>
      <c r="BJ1537" s="16"/>
      <c r="BK1537" s="16"/>
      <c r="BL1537" s="16"/>
      <c r="BM1537" s="16"/>
      <c r="BN1537" s="16"/>
      <c r="BO1537" s="16"/>
      <c r="BP1537" s="16"/>
      <c r="BQ1537" s="16"/>
      <c r="BR1537" s="16"/>
      <c r="BS1537" s="16"/>
      <c r="BT1537" s="16"/>
      <c r="BU1537" s="16"/>
      <c r="BV1537" s="16"/>
      <c r="BW1537" s="16"/>
      <c r="BX1537" s="16"/>
      <c r="BY1537" s="16"/>
      <c r="BZ1537" s="16"/>
      <c r="CA1537" s="16"/>
      <c r="CB1537" s="16"/>
      <c r="CC1537" s="16"/>
      <c r="CD1537" s="16"/>
      <c r="CE1537" s="16"/>
      <c r="CF1537" s="16"/>
      <c r="CG1537" s="16"/>
      <c r="CH1537" s="16"/>
      <c r="CI1537" s="16"/>
      <c r="CJ1537" s="16"/>
      <c r="CK1537" s="16"/>
      <c r="CL1537" s="16"/>
      <c r="CM1537" s="16"/>
      <c r="CN1537" s="16"/>
      <c r="CO1537" s="16"/>
      <c r="CP1537" s="16"/>
      <c r="CQ1537" s="16"/>
      <c r="CR1537" s="16"/>
      <c r="CS1537" s="16"/>
      <c r="CT1537" s="16"/>
      <c r="CU1537" s="16"/>
      <c r="CV1537" s="16"/>
      <c r="CW1537" s="16"/>
      <c r="CX1537" s="16"/>
      <c r="CY1537" s="16"/>
      <c r="CZ1537" s="16"/>
      <c r="DA1537" s="16"/>
      <c r="DB1537" s="16"/>
      <c r="DC1537" s="16"/>
      <c r="DD1537" s="16"/>
      <c r="DE1537" s="16"/>
      <c r="DF1537" s="16"/>
    </row>
    <row r="1538" spans="8:110" x14ac:dyDescent="0.3">
      <c r="H1538" s="4">
        <f t="shared" si="204"/>
        <v>0</v>
      </c>
      <c r="K1538" s="3"/>
      <c r="L1538" s="16"/>
      <c r="M1538" s="16"/>
      <c r="N1538" s="16"/>
      <c r="O1538" s="16"/>
      <c r="P1538" s="16"/>
      <c r="Q1538" s="16"/>
      <c r="R1538" s="16"/>
      <c r="S1538" s="16"/>
      <c r="T1538" s="16"/>
      <c r="U1538" s="16"/>
      <c r="V1538" s="16"/>
      <c r="W1538" s="16"/>
      <c r="X1538" s="16"/>
      <c r="Y1538" s="16"/>
      <c r="Z1538" s="16"/>
      <c r="AA1538" s="16"/>
      <c r="AB1538" s="16"/>
      <c r="AC1538" s="16"/>
      <c r="AD1538" s="16"/>
      <c r="AE1538" s="16"/>
      <c r="AF1538" s="16"/>
      <c r="AG1538" s="16"/>
      <c r="AH1538" s="16"/>
      <c r="AI1538" s="16"/>
      <c r="AJ1538" s="16"/>
      <c r="AK1538" s="16"/>
      <c r="AL1538" s="16"/>
      <c r="AM1538" s="16"/>
      <c r="AN1538" s="16"/>
      <c r="AO1538" s="16"/>
      <c r="AP1538" s="16"/>
      <c r="AQ1538" s="16"/>
      <c r="AR1538" s="16"/>
      <c r="AS1538" s="16"/>
      <c r="AT1538" s="16"/>
      <c r="AU1538" s="16"/>
      <c r="AV1538" s="16"/>
      <c r="AW1538" s="16"/>
      <c r="AX1538" s="16"/>
      <c r="AY1538" s="16"/>
      <c r="AZ1538" s="16"/>
      <c r="BA1538" s="16"/>
      <c r="BB1538" s="16"/>
      <c r="BC1538" s="16"/>
      <c r="BD1538" s="16"/>
      <c r="BE1538" s="16"/>
      <c r="BF1538" s="16"/>
      <c r="BG1538" s="16"/>
      <c r="BH1538" s="16"/>
      <c r="BI1538" s="16"/>
      <c r="BJ1538" s="16"/>
      <c r="BK1538" s="16"/>
      <c r="BL1538" s="16"/>
      <c r="BM1538" s="16"/>
      <c r="BN1538" s="16"/>
      <c r="BO1538" s="16"/>
      <c r="BP1538" s="16"/>
      <c r="BQ1538" s="16"/>
      <c r="BR1538" s="16"/>
      <c r="BS1538" s="16"/>
      <c r="BT1538" s="16"/>
      <c r="BU1538" s="16"/>
      <c r="BV1538" s="16"/>
      <c r="BW1538" s="16"/>
      <c r="BX1538" s="16"/>
      <c r="BY1538" s="16"/>
      <c r="BZ1538" s="16"/>
      <c r="CA1538" s="16"/>
      <c r="CB1538" s="16"/>
      <c r="CC1538" s="16"/>
      <c r="CD1538" s="16"/>
      <c r="CE1538" s="16"/>
      <c r="CF1538" s="16"/>
      <c r="CG1538" s="16"/>
      <c r="CH1538" s="16"/>
      <c r="CI1538" s="16"/>
      <c r="CJ1538" s="16"/>
      <c r="CK1538" s="16"/>
      <c r="CL1538" s="16"/>
      <c r="CM1538" s="16"/>
      <c r="CN1538" s="16"/>
      <c r="CO1538" s="16"/>
      <c r="CP1538" s="16"/>
      <c r="CQ1538" s="16"/>
      <c r="CR1538" s="16"/>
      <c r="CS1538" s="16"/>
      <c r="CT1538" s="16"/>
      <c r="CU1538" s="16"/>
      <c r="CV1538" s="16"/>
      <c r="CW1538" s="16"/>
      <c r="CX1538" s="16"/>
      <c r="CY1538" s="16"/>
      <c r="CZ1538" s="16"/>
      <c r="DA1538" s="16"/>
      <c r="DB1538" s="16"/>
      <c r="DC1538" s="16"/>
      <c r="DD1538" s="16"/>
      <c r="DE1538" s="16"/>
      <c r="DF1538" s="16"/>
    </row>
    <row r="1539" spans="8:110" x14ac:dyDescent="0.3">
      <c r="H1539" s="4">
        <f t="shared" si="204"/>
        <v>0</v>
      </c>
      <c r="K1539" s="3"/>
      <c r="L1539" s="16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  <c r="Y1539" s="16"/>
      <c r="Z1539" s="16"/>
      <c r="AA1539" s="16"/>
      <c r="AB1539" s="16"/>
      <c r="AC1539" s="16"/>
      <c r="AD1539" s="16"/>
      <c r="AE1539" s="16"/>
      <c r="AF1539" s="16"/>
      <c r="AG1539" s="16"/>
      <c r="AH1539" s="16"/>
      <c r="AI1539" s="16"/>
      <c r="AJ1539" s="16"/>
      <c r="AK1539" s="16"/>
      <c r="AL1539" s="16"/>
      <c r="AM1539" s="16"/>
      <c r="AN1539" s="16"/>
      <c r="AO1539" s="16"/>
      <c r="AP1539" s="16"/>
      <c r="AQ1539" s="16"/>
      <c r="AR1539" s="16"/>
      <c r="AS1539" s="16"/>
      <c r="AT1539" s="16"/>
      <c r="AU1539" s="16"/>
      <c r="AV1539" s="16"/>
      <c r="AW1539" s="16"/>
      <c r="AX1539" s="16"/>
      <c r="AY1539" s="16"/>
      <c r="AZ1539" s="16"/>
      <c r="BA1539" s="16"/>
      <c r="BB1539" s="16"/>
      <c r="BC1539" s="16"/>
      <c r="BD1539" s="16"/>
      <c r="BE1539" s="16"/>
      <c r="BF1539" s="16"/>
      <c r="BG1539" s="16"/>
      <c r="BH1539" s="16"/>
      <c r="BI1539" s="16"/>
      <c r="BJ1539" s="16"/>
      <c r="BK1539" s="16"/>
      <c r="BL1539" s="16"/>
      <c r="BM1539" s="16"/>
      <c r="BN1539" s="16"/>
      <c r="BO1539" s="16"/>
      <c r="BP1539" s="16"/>
      <c r="BQ1539" s="16"/>
      <c r="BR1539" s="16"/>
      <c r="BS1539" s="16"/>
      <c r="BT1539" s="16"/>
      <c r="BU1539" s="16"/>
      <c r="BV1539" s="16"/>
      <c r="BW1539" s="16"/>
      <c r="BX1539" s="16"/>
      <c r="BY1539" s="16"/>
      <c r="BZ1539" s="16"/>
      <c r="CA1539" s="16"/>
      <c r="CB1539" s="16"/>
      <c r="CC1539" s="16"/>
      <c r="CD1539" s="16"/>
      <c r="CE1539" s="16"/>
      <c r="CF1539" s="16"/>
      <c r="CG1539" s="16"/>
      <c r="CH1539" s="16"/>
      <c r="CI1539" s="16"/>
      <c r="CJ1539" s="16"/>
      <c r="CK1539" s="16"/>
      <c r="CL1539" s="16"/>
      <c r="CM1539" s="16"/>
      <c r="CN1539" s="16"/>
      <c r="CO1539" s="16"/>
      <c r="CP1539" s="16"/>
      <c r="CQ1539" s="16"/>
      <c r="CR1539" s="16"/>
      <c r="CS1539" s="16"/>
      <c r="CT1539" s="16"/>
      <c r="CU1539" s="16"/>
      <c r="CV1539" s="16"/>
      <c r="CW1539" s="16"/>
      <c r="CX1539" s="16"/>
      <c r="CY1539" s="16"/>
      <c r="CZ1539" s="16"/>
      <c r="DA1539" s="16"/>
      <c r="DB1539" s="16"/>
      <c r="DC1539" s="16"/>
      <c r="DD1539" s="16"/>
      <c r="DE1539" s="16"/>
      <c r="DF1539" s="16"/>
    </row>
    <row r="1540" spans="8:110" x14ac:dyDescent="0.3">
      <c r="H1540" s="4">
        <f t="shared" si="204"/>
        <v>0</v>
      </c>
      <c r="K1540" s="3"/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  <c r="V1540" s="16"/>
      <c r="W1540" s="16"/>
      <c r="X1540" s="16"/>
      <c r="Y1540" s="16"/>
      <c r="Z1540" s="16"/>
      <c r="AA1540" s="16"/>
      <c r="AB1540" s="16"/>
      <c r="AC1540" s="16"/>
      <c r="AD1540" s="16"/>
      <c r="AE1540" s="16"/>
      <c r="AF1540" s="16"/>
      <c r="AG1540" s="16"/>
      <c r="AH1540" s="16"/>
      <c r="AI1540" s="16"/>
      <c r="AJ1540" s="16"/>
      <c r="AK1540" s="16"/>
      <c r="AL1540" s="16"/>
      <c r="AM1540" s="16"/>
      <c r="AN1540" s="16"/>
      <c r="AO1540" s="16"/>
      <c r="AP1540" s="16"/>
      <c r="AQ1540" s="16"/>
      <c r="AR1540" s="16"/>
      <c r="AS1540" s="16"/>
      <c r="AT1540" s="16"/>
      <c r="AU1540" s="16"/>
      <c r="AV1540" s="16"/>
      <c r="AW1540" s="16"/>
      <c r="AX1540" s="16"/>
      <c r="AY1540" s="16"/>
      <c r="AZ1540" s="16"/>
      <c r="BA1540" s="16"/>
      <c r="BB1540" s="16"/>
      <c r="BC1540" s="16"/>
      <c r="BD1540" s="16"/>
      <c r="BE1540" s="16"/>
      <c r="BF1540" s="16"/>
      <c r="BG1540" s="16"/>
      <c r="BH1540" s="16"/>
      <c r="BI1540" s="16"/>
      <c r="BJ1540" s="16"/>
      <c r="BK1540" s="16"/>
      <c r="BL1540" s="16"/>
      <c r="BM1540" s="16"/>
      <c r="BN1540" s="16"/>
      <c r="BO1540" s="16"/>
      <c r="BP1540" s="16"/>
      <c r="BQ1540" s="16"/>
      <c r="BR1540" s="16"/>
      <c r="BS1540" s="16"/>
      <c r="BT1540" s="16"/>
      <c r="BU1540" s="16"/>
      <c r="BV1540" s="16"/>
      <c r="BW1540" s="16"/>
      <c r="BX1540" s="16"/>
      <c r="BY1540" s="16"/>
      <c r="BZ1540" s="16"/>
      <c r="CA1540" s="16"/>
      <c r="CB1540" s="16"/>
      <c r="CC1540" s="16"/>
      <c r="CD1540" s="16"/>
      <c r="CE1540" s="16"/>
      <c r="CF1540" s="16"/>
      <c r="CG1540" s="16"/>
      <c r="CH1540" s="16"/>
      <c r="CI1540" s="16"/>
      <c r="CJ1540" s="16"/>
      <c r="CK1540" s="16"/>
      <c r="CL1540" s="16"/>
      <c r="CM1540" s="16"/>
      <c r="CN1540" s="16"/>
      <c r="CO1540" s="16"/>
      <c r="CP1540" s="16"/>
      <c r="CQ1540" s="16"/>
      <c r="CR1540" s="16"/>
      <c r="CS1540" s="16"/>
      <c r="CT1540" s="16"/>
      <c r="CU1540" s="16"/>
      <c r="CV1540" s="16"/>
      <c r="CW1540" s="16"/>
      <c r="CX1540" s="16"/>
      <c r="CY1540" s="16"/>
      <c r="CZ1540" s="16"/>
      <c r="DA1540" s="16"/>
      <c r="DB1540" s="16"/>
      <c r="DC1540" s="16"/>
      <c r="DD1540" s="16"/>
      <c r="DE1540" s="16"/>
      <c r="DF1540" s="16"/>
    </row>
    <row r="1541" spans="8:110" x14ac:dyDescent="0.3">
      <c r="H1541" s="4">
        <f t="shared" si="204"/>
        <v>0</v>
      </c>
      <c r="K1541" s="3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16"/>
      <c r="AA1541" s="16"/>
      <c r="AB1541" s="16"/>
      <c r="AC1541" s="16"/>
      <c r="AD1541" s="16"/>
      <c r="AE1541" s="16"/>
      <c r="AF1541" s="16"/>
      <c r="AG1541" s="16"/>
      <c r="AH1541" s="16"/>
      <c r="AI1541" s="16"/>
      <c r="AJ1541" s="16"/>
      <c r="AK1541" s="16"/>
      <c r="AL1541" s="16"/>
      <c r="AM1541" s="16"/>
      <c r="AN1541" s="16"/>
      <c r="AO1541" s="16"/>
      <c r="AP1541" s="16"/>
      <c r="AQ1541" s="16"/>
      <c r="AR1541" s="16"/>
      <c r="AS1541" s="16"/>
      <c r="AT1541" s="16"/>
      <c r="AU1541" s="16"/>
      <c r="AV1541" s="16"/>
      <c r="AW1541" s="16"/>
      <c r="AX1541" s="16"/>
      <c r="AY1541" s="16"/>
      <c r="AZ1541" s="16"/>
      <c r="BA1541" s="16"/>
      <c r="BB1541" s="16"/>
      <c r="BC1541" s="16"/>
      <c r="BD1541" s="16"/>
      <c r="BE1541" s="16"/>
      <c r="BF1541" s="16"/>
      <c r="BG1541" s="16"/>
      <c r="BH1541" s="16"/>
      <c r="BI1541" s="16"/>
      <c r="BJ1541" s="16"/>
      <c r="BK1541" s="16"/>
      <c r="BL1541" s="16"/>
      <c r="BM1541" s="16"/>
      <c r="BN1541" s="16"/>
      <c r="BO1541" s="16"/>
      <c r="BP1541" s="16"/>
      <c r="BQ1541" s="16"/>
      <c r="BR1541" s="16"/>
      <c r="BS1541" s="16"/>
      <c r="BT1541" s="16"/>
      <c r="BU1541" s="16"/>
      <c r="BV1541" s="16"/>
      <c r="BW1541" s="16"/>
      <c r="BX1541" s="16"/>
      <c r="BY1541" s="16"/>
      <c r="BZ1541" s="16"/>
      <c r="CA1541" s="16"/>
      <c r="CB1541" s="16"/>
      <c r="CC1541" s="16"/>
      <c r="CD1541" s="16"/>
      <c r="CE1541" s="16"/>
      <c r="CF1541" s="16"/>
      <c r="CG1541" s="16"/>
      <c r="CH1541" s="16"/>
      <c r="CI1541" s="16"/>
      <c r="CJ1541" s="16"/>
      <c r="CK1541" s="16"/>
      <c r="CL1541" s="16"/>
      <c r="CM1541" s="16"/>
      <c r="CN1541" s="16"/>
      <c r="CO1541" s="16"/>
      <c r="CP1541" s="16"/>
      <c r="CQ1541" s="16"/>
      <c r="CR1541" s="16"/>
      <c r="CS1541" s="16"/>
      <c r="CT1541" s="16"/>
      <c r="CU1541" s="16"/>
      <c r="CV1541" s="16"/>
      <c r="CW1541" s="16"/>
      <c r="CX1541" s="16"/>
      <c r="CY1541" s="16"/>
      <c r="CZ1541" s="16"/>
      <c r="DA1541" s="16"/>
      <c r="DB1541" s="16"/>
      <c r="DC1541" s="16"/>
      <c r="DD1541" s="16"/>
      <c r="DE1541" s="16"/>
      <c r="DF1541" s="16"/>
    </row>
    <row r="1542" spans="8:110" x14ac:dyDescent="0.3">
      <c r="H1542" s="4">
        <f t="shared" si="204"/>
        <v>0</v>
      </c>
      <c r="K1542" s="3"/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16"/>
      <c r="AA1542" s="16"/>
      <c r="AB1542" s="16"/>
      <c r="AC1542" s="16"/>
      <c r="AD1542" s="16"/>
      <c r="AE1542" s="16"/>
      <c r="AF1542" s="16"/>
      <c r="AG1542" s="16"/>
      <c r="AH1542" s="16"/>
      <c r="AI1542" s="16"/>
      <c r="AJ1542" s="16"/>
      <c r="AK1542" s="16"/>
      <c r="AL1542" s="16"/>
      <c r="AM1542" s="16"/>
      <c r="AN1542" s="16"/>
      <c r="AO1542" s="16"/>
      <c r="AP1542" s="16"/>
      <c r="AQ1542" s="16"/>
      <c r="AR1542" s="16"/>
      <c r="AS1542" s="16"/>
      <c r="AT1542" s="16"/>
      <c r="AU1542" s="16"/>
      <c r="AV1542" s="16"/>
      <c r="AW1542" s="16"/>
      <c r="AX1542" s="16"/>
      <c r="AY1542" s="16"/>
      <c r="AZ1542" s="16"/>
      <c r="BA1542" s="16"/>
      <c r="BB1542" s="16"/>
      <c r="BC1542" s="16"/>
      <c r="BD1542" s="16"/>
      <c r="BE1542" s="16"/>
      <c r="BF1542" s="16"/>
      <c r="BG1542" s="16"/>
      <c r="BH1542" s="16"/>
      <c r="BI1542" s="16"/>
      <c r="BJ1542" s="16"/>
      <c r="BK1542" s="16"/>
      <c r="BL1542" s="16"/>
      <c r="BM1542" s="16"/>
      <c r="BN1542" s="16"/>
      <c r="BO1542" s="16"/>
      <c r="BP1542" s="16"/>
      <c r="BQ1542" s="16"/>
      <c r="BR1542" s="16"/>
      <c r="BS1542" s="16"/>
      <c r="BT1542" s="16"/>
      <c r="BU1542" s="16"/>
      <c r="BV1542" s="16"/>
      <c r="BW1542" s="16"/>
      <c r="BX1542" s="16"/>
      <c r="BY1542" s="16"/>
      <c r="BZ1542" s="16"/>
      <c r="CA1542" s="16"/>
      <c r="CB1542" s="16"/>
      <c r="CC1542" s="16"/>
      <c r="CD1542" s="16"/>
      <c r="CE1542" s="16"/>
      <c r="CF1542" s="16"/>
      <c r="CG1542" s="16"/>
      <c r="CH1542" s="16"/>
      <c r="CI1542" s="16"/>
      <c r="CJ1542" s="16"/>
      <c r="CK1542" s="16"/>
      <c r="CL1542" s="16"/>
      <c r="CM1542" s="16"/>
      <c r="CN1542" s="16"/>
      <c r="CO1542" s="16"/>
      <c r="CP1542" s="16"/>
      <c r="CQ1542" s="16"/>
      <c r="CR1542" s="16"/>
      <c r="CS1542" s="16"/>
      <c r="CT1542" s="16"/>
      <c r="CU1542" s="16"/>
      <c r="CV1542" s="16"/>
      <c r="CW1542" s="16"/>
      <c r="CX1542" s="16"/>
      <c r="CY1542" s="16"/>
      <c r="CZ1542" s="16"/>
      <c r="DA1542" s="16"/>
      <c r="DB1542" s="16"/>
      <c r="DC1542" s="16"/>
      <c r="DD1542" s="16"/>
      <c r="DE1542" s="16"/>
      <c r="DF1542" s="16"/>
    </row>
    <row r="1543" spans="8:110" x14ac:dyDescent="0.3">
      <c r="H1543" s="4">
        <f t="shared" si="204"/>
        <v>0</v>
      </c>
      <c r="K1543" s="3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  <c r="AA1543" s="16"/>
      <c r="AB1543" s="16"/>
      <c r="AC1543" s="16"/>
      <c r="AD1543" s="16"/>
      <c r="AE1543" s="16"/>
      <c r="AF1543" s="16"/>
      <c r="AG1543" s="16"/>
      <c r="AH1543" s="16"/>
      <c r="AI1543" s="16"/>
      <c r="AJ1543" s="16"/>
      <c r="AK1543" s="16"/>
      <c r="AL1543" s="16"/>
      <c r="AM1543" s="16"/>
      <c r="AN1543" s="16"/>
      <c r="AO1543" s="16"/>
      <c r="AP1543" s="16"/>
      <c r="AQ1543" s="16"/>
      <c r="AR1543" s="16"/>
      <c r="AS1543" s="16"/>
      <c r="AT1543" s="16"/>
      <c r="AU1543" s="16"/>
      <c r="AV1543" s="16"/>
      <c r="AW1543" s="16"/>
      <c r="AX1543" s="16"/>
      <c r="AY1543" s="16"/>
      <c r="AZ1543" s="16"/>
      <c r="BA1543" s="16"/>
      <c r="BB1543" s="16"/>
      <c r="BC1543" s="16"/>
      <c r="BD1543" s="16"/>
      <c r="BE1543" s="16"/>
      <c r="BF1543" s="16"/>
      <c r="BG1543" s="16"/>
      <c r="BH1543" s="16"/>
      <c r="BI1543" s="16"/>
      <c r="BJ1543" s="16"/>
      <c r="BK1543" s="16"/>
      <c r="BL1543" s="16"/>
      <c r="BM1543" s="16"/>
      <c r="BN1543" s="16"/>
      <c r="BO1543" s="16"/>
      <c r="BP1543" s="16"/>
      <c r="BQ1543" s="16"/>
      <c r="BR1543" s="16"/>
      <c r="BS1543" s="16"/>
      <c r="BT1543" s="16"/>
      <c r="BU1543" s="16"/>
      <c r="BV1543" s="16"/>
      <c r="BW1543" s="16"/>
      <c r="BX1543" s="16"/>
      <c r="BY1543" s="16"/>
      <c r="BZ1543" s="16"/>
      <c r="CA1543" s="16"/>
      <c r="CB1543" s="16"/>
      <c r="CC1543" s="16"/>
      <c r="CD1543" s="16"/>
      <c r="CE1543" s="16"/>
      <c r="CF1543" s="16"/>
      <c r="CG1543" s="16"/>
      <c r="CH1543" s="16"/>
      <c r="CI1543" s="16"/>
      <c r="CJ1543" s="16"/>
      <c r="CK1543" s="16"/>
      <c r="CL1543" s="16"/>
      <c r="CM1543" s="16"/>
      <c r="CN1543" s="16"/>
      <c r="CO1543" s="16"/>
      <c r="CP1543" s="16"/>
      <c r="CQ1543" s="16"/>
      <c r="CR1543" s="16"/>
      <c r="CS1543" s="16"/>
      <c r="CT1543" s="16"/>
      <c r="CU1543" s="16"/>
      <c r="CV1543" s="16"/>
      <c r="CW1543" s="16"/>
      <c r="CX1543" s="16"/>
      <c r="CY1543" s="16"/>
      <c r="CZ1543" s="16"/>
      <c r="DA1543" s="16"/>
      <c r="DB1543" s="16"/>
      <c r="DC1543" s="16"/>
      <c r="DD1543" s="16"/>
      <c r="DE1543" s="16"/>
      <c r="DF1543" s="16"/>
    </row>
    <row r="1544" spans="8:110" x14ac:dyDescent="0.3">
      <c r="H1544" s="4">
        <f t="shared" si="204"/>
        <v>0</v>
      </c>
      <c r="K1544" s="3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16"/>
      <c r="AA1544" s="16"/>
      <c r="AB1544" s="16"/>
      <c r="AC1544" s="16"/>
      <c r="AD1544" s="16"/>
      <c r="AE1544" s="16"/>
      <c r="AF1544" s="16"/>
      <c r="AG1544" s="16"/>
      <c r="AH1544" s="16"/>
      <c r="AI1544" s="16"/>
      <c r="AJ1544" s="16"/>
      <c r="AK1544" s="16"/>
      <c r="AL1544" s="16"/>
      <c r="AM1544" s="16"/>
      <c r="AN1544" s="16"/>
      <c r="AO1544" s="16"/>
      <c r="AP1544" s="16"/>
      <c r="AQ1544" s="16"/>
      <c r="AR1544" s="16"/>
      <c r="AS1544" s="16"/>
      <c r="AT1544" s="16"/>
      <c r="AU1544" s="16"/>
      <c r="AV1544" s="16"/>
      <c r="AW1544" s="16"/>
      <c r="AX1544" s="16"/>
      <c r="AY1544" s="16"/>
      <c r="AZ1544" s="16"/>
      <c r="BA1544" s="16"/>
      <c r="BB1544" s="16"/>
      <c r="BC1544" s="16"/>
      <c r="BD1544" s="16"/>
      <c r="BE1544" s="16"/>
      <c r="BF1544" s="16"/>
      <c r="BG1544" s="16"/>
      <c r="BH1544" s="16"/>
      <c r="BI1544" s="16"/>
      <c r="BJ1544" s="16"/>
      <c r="BK1544" s="16"/>
      <c r="BL1544" s="16"/>
      <c r="BM1544" s="16"/>
      <c r="BN1544" s="16"/>
      <c r="BO1544" s="16"/>
      <c r="BP1544" s="16"/>
      <c r="BQ1544" s="16"/>
      <c r="BR1544" s="16"/>
      <c r="BS1544" s="16"/>
      <c r="BT1544" s="16"/>
      <c r="BU1544" s="16"/>
      <c r="BV1544" s="16"/>
      <c r="BW1544" s="16"/>
      <c r="BX1544" s="16"/>
      <c r="BY1544" s="16"/>
      <c r="BZ1544" s="16"/>
      <c r="CA1544" s="16"/>
      <c r="CB1544" s="16"/>
      <c r="CC1544" s="16"/>
      <c r="CD1544" s="16"/>
      <c r="CE1544" s="16"/>
      <c r="CF1544" s="16"/>
      <c r="CG1544" s="16"/>
      <c r="CH1544" s="16"/>
      <c r="CI1544" s="16"/>
      <c r="CJ1544" s="16"/>
      <c r="CK1544" s="16"/>
      <c r="CL1544" s="16"/>
      <c r="CM1544" s="16"/>
      <c r="CN1544" s="16"/>
      <c r="CO1544" s="16"/>
      <c r="CP1544" s="16"/>
      <c r="CQ1544" s="16"/>
      <c r="CR1544" s="16"/>
      <c r="CS1544" s="16"/>
      <c r="CT1544" s="16"/>
      <c r="CU1544" s="16"/>
      <c r="CV1544" s="16"/>
      <c r="CW1544" s="16"/>
      <c r="CX1544" s="16"/>
      <c r="CY1544" s="16"/>
      <c r="CZ1544" s="16"/>
      <c r="DA1544" s="16"/>
      <c r="DB1544" s="16"/>
      <c r="DC1544" s="16"/>
      <c r="DD1544" s="16"/>
      <c r="DE1544" s="16"/>
      <c r="DF1544" s="16"/>
    </row>
    <row r="1545" spans="8:110" x14ac:dyDescent="0.3">
      <c r="H1545" s="4">
        <f t="shared" si="204"/>
        <v>0</v>
      </c>
      <c r="K1545" s="3"/>
      <c r="L1545" s="16"/>
      <c r="M1545" s="16"/>
      <c r="N1545" s="16"/>
      <c r="O1545" s="16"/>
      <c r="P1545" s="16"/>
      <c r="Q1545" s="16"/>
      <c r="R1545" s="16"/>
      <c r="S1545" s="16"/>
      <c r="T1545" s="16"/>
      <c r="U1545" s="16"/>
      <c r="V1545" s="16"/>
      <c r="W1545" s="16"/>
      <c r="X1545" s="16"/>
      <c r="Y1545" s="16"/>
      <c r="Z1545" s="16"/>
      <c r="AA1545" s="16"/>
      <c r="AB1545" s="16"/>
      <c r="AC1545" s="16"/>
      <c r="AD1545" s="16"/>
      <c r="AE1545" s="16"/>
      <c r="AF1545" s="16"/>
      <c r="AG1545" s="16"/>
      <c r="AH1545" s="16"/>
      <c r="AI1545" s="16"/>
      <c r="AJ1545" s="16"/>
      <c r="AK1545" s="16"/>
      <c r="AL1545" s="16"/>
      <c r="AM1545" s="16"/>
      <c r="AN1545" s="16"/>
      <c r="AO1545" s="16"/>
      <c r="AP1545" s="16"/>
      <c r="AQ1545" s="16"/>
      <c r="AR1545" s="16"/>
      <c r="AS1545" s="16"/>
      <c r="AT1545" s="16"/>
      <c r="AU1545" s="16"/>
      <c r="AV1545" s="16"/>
      <c r="AW1545" s="16"/>
      <c r="AX1545" s="16"/>
      <c r="AY1545" s="16"/>
      <c r="AZ1545" s="16"/>
      <c r="BA1545" s="16"/>
      <c r="BB1545" s="16"/>
      <c r="BC1545" s="16"/>
      <c r="BD1545" s="16"/>
      <c r="BE1545" s="16"/>
      <c r="BF1545" s="16"/>
      <c r="BG1545" s="16"/>
      <c r="BH1545" s="16"/>
      <c r="BI1545" s="16"/>
      <c r="BJ1545" s="16"/>
      <c r="BK1545" s="16"/>
      <c r="BL1545" s="16"/>
      <c r="BM1545" s="16"/>
      <c r="BN1545" s="16"/>
      <c r="BO1545" s="16"/>
      <c r="BP1545" s="16"/>
      <c r="BQ1545" s="16"/>
      <c r="BR1545" s="16"/>
      <c r="BS1545" s="16"/>
      <c r="BT1545" s="16"/>
      <c r="BU1545" s="16"/>
      <c r="BV1545" s="16"/>
      <c r="BW1545" s="16"/>
      <c r="BX1545" s="16"/>
      <c r="BY1545" s="16"/>
      <c r="BZ1545" s="16"/>
      <c r="CA1545" s="16"/>
      <c r="CB1545" s="16"/>
      <c r="CC1545" s="16"/>
      <c r="CD1545" s="16"/>
      <c r="CE1545" s="16"/>
      <c r="CF1545" s="16"/>
      <c r="CG1545" s="16"/>
      <c r="CH1545" s="16"/>
      <c r="CI1545" s="16"/>
      <c r="CJ1545" s="16"/>
      <c r="CK1545" s="16"/>
      <c r="CL1545" s="16"/>
      <c r="CM1545" s="16"/>
      <c r="CN1545" s="16"/>
      <c r="CO1545" s="16"/>
      <c r="CP1545" s="16"/>
      <c r="CQ1545" s="16"/>
      <c r="CR1545" s="16"/>
      <c r="CS1545" s="16"/>
      <c r="CT1545" s="16"/>
      <c r="CU1545" s="16"/>
      <c r="CV1545" s="16"/>
      <c r="CW1545" s="16"/>
      <c r="CX1545" s="16"/>
      <c r="CY1545" s="16"/>
      <c r="CZ1545" s="16"/>
      <c r="DA1545" s="16"/>
      <c r="DB1545" s="16"/>
      <c r="DC1545" s="16"/>
      <c r="DD1545" s="16"/>
      <c r="DE1545" s="16"/>
      <c r="DF1545" s="16"/>
    </row>
    <row r="1546" spans="8:110" x14ac:dyDescent="0.3">
      <c r="H1546" s="4">
        <f t="shared" si="204"/>
        <v>0</v>
      </c>
      <c r="K1546" s="3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16"/>
      <c r="AA1546" s="16"/>
      <c r="AB1546" s="16"/>
      <c r="AC1546" s="16"/>
      <c r="AD1546" s="16"/>
      <c r="AE1546" s="16"/>
      <c r="AF1546" s="16"/>
      <c r="AG1546" s="16"/>
      <c r="AH1546" s="16"/>
      <c r="AI1546" s="16"/>
      <c r="AJ1546" s="16"/>
      <c r="AK1546" s="16"/>
      <c r="AL1546" s="16"/>
      <c r="AM1546" s="16"/>
      <c r="AN1546" s="16"/>
      <c r="AO1546" s="16"/>
      <c r="AP1546" s="16"/>
      <c r="AQ1546" s="16"/>
      <c r="AR1546" s="16"/>
      <c r="AS1546" s="16"/>
      <c r="AT1546" s="16"/>
      <c r="AU1546" s="16"/>
      <c r="AV1546" s="16"/>
      <c r="AW1546" s="16"/>
      <c r="AX1546" s="16"/>
      <c r="AY1546" s="16"/>
      <c r="AZ1546" s="16"/>
      <c r="BA1546" s="16"/>
      <c r="BB1546" s="16"/>
      <c r="BC1546" s="16"/>
      <c r="BD1546" s="16"/>
      <c r="BE1546" s="16"/>
      <c r="BF1546" s="16"/>
      <c r="BG1546" s="16"/>
      <c r="BH1546" s="16"/>
      <c r="BI1546" s="16"/>
      <c r="BJ1546" s="16"/>
      <c r="BK1546" s="16"/>
      <c r="BL1546" s="16"/>
      <c r="BM1546" s="16"/>
      <c r="BN1546" s="16"/>
      <c r="BO1546" s="16"/>
      <c r="BP1546" s="16"/>
      <c r="BQ1546" s="16"/>
      <c r="BR1546" s="16"/>
      <c r="BS1546" s="16"/>
      <c r="BT1546" s="16"/>
      <c r="BU1546" s="16"/>
      <c r="BV1546" s="16"/>
      <c r="BW1546" s="16"/>
      <c r="BX1546" s="16"/>
      <c r="BY1546" s="16"/>
      <c r="BZ1546" s="16"/>
      <c r="CA1546" s="16"/>
      <c r="CB1546" s="16"/>
      <c r="CC1546" s="16"/>
      <c r="CD1546" s="16"/>
      <c r="CE1546" s="16"/>
      <c r="CF1546" s="16"/>
      <c r="CG1546" s="16"/>
      <c r="CH1546" s="16"/>
      <c r="CI1546" s="16"/>
      <c r="CJ1546" s="16"/>
      <c r="CK1546" s="16"/>
      <c r="CL1546" s="16"/>
      <c r="CM1546" s="16"/>
      <c r="CN1546" s="16"/>
      <c r="CO1546" s="16"/>
      <c r="CP1546" s="16"/>
      <c r="CQ1546" s="16"/>
      <c r="CR1546" s="16"/>
      <c r="CS1546" s="16"/>
      <c r="CT1546" s="16"/>
      <c r="CU1546" s="16"/>
      <c r="CV1546" s="16"/>
      <c r="CW1546" s="16"/>
      <c r="CX1546" s="16"/>
      <c r="CY1546" s="16"/>
      <c r="CZ1546" s="16"/>
      <c r="DA1546" s="16"/>
      <c r="DB1546" s="16"/>
      <c r="DC1546" s="16"/>
      <c r="DD1546" s="16"/>
      <c r="DE1546" s="16"/>
      <c r="DF1546" s="16"/>
    </row>
    <row r="1547" spans="8:110" x14ac:dyDescent="0.3">
      <c r="H1547" s="4">
        <f t="shared" si="204"/>
        <v>0</v>
      </c>
      <c r="K1547" s="3"/>
      <c r="L1547" s="16"/>
      <c r="M1547" s="16"/>
      <c r="N1547" s="16"/>
      <c r="O1547" s="16"/>
      <c r="P1547" s="16"/>
      <c r="Q1547" s="16"/>
      <c r="R1547" s="16"/>
      <c r="S1547" s="16"/>
      <c r="T1547" s="16"/>
      <c r="U1547" s="16"/>
      <c r="V1547" s="16"/>
      <c r="W1547" s="16"/>
      <c r="X1547" s="16"/>
      <c r="Y1547" s="16"/>
      <c r="Z1547" s="16"/>
      <c r="AA1547" s="16"/>
      <c r="AB1547" s="16"/>
      <c r="AC1547" s="16"/>
      <c r="AD1547" s="16"/>
      <c r="AE1547" s="16"/>
      <c r="AF1547" s="16"/>
      <c r="AG1547" s="16"/>
      <c r="AH1547" s="16"/>
      <c r="AI1547" s="16"/>
      <c r="AJ1547" s="16"/>
      <c r="AK1547" s="16"/>
      <c r="AL1547" s="16"/>
      <c r="AM1547" s="16"/>
      <c r="AN1547" s="16"/>
      <c r="AO1547" s="16"/>
      <c r="AP1547" s="16"/>
      <c r="AQ1547" s="16"/>
      <c r="AR1547" s="16"/>
      <c r="AS1547" s="16"/>
      <c r="AT1547" s="16"/>
      <c r="AU1547" s="16"/>
      <c r="AV1547" s="16"/>
      <c r="AW1547" s="16"/>
      <c r="AX1547" s="16"/>
      <c r="AY1547" s="16"/>
      <c r="AZ1547" s="16"/>
      <c r="BA1547" s="16"/>
      <c r="BB1547" s="16"/>
      <c r="BC1547" s="16"/>
      <c r="BD1547" s="16"/>
      <c r="BE1547" s="16"/>
      <c r="BF1547" s="16"/>
      <c r="BG1547" s="16"/>
      <c r="BH1547" s="16"/>
      <c r="BI1547" s="16"/>
      <c r="BJ1547" s="16"/>
      <c r="BK1547" s="16"/>
      <c r="BL1547" s="16"/>
      <c r="BM1547" s="16"/>
      <c r="BN1547" s="16"/>
      <c r="BO1547" s="16"/>
      <c r="BP1547" s="16"/>
      <c r="BQ1547" s="16"/>
      <c r="BR1547" s="16"/>
      <c r="BS1547" s="16"/>
      <c r="BT1547" s="16"/>
      <c r="BU1547" s="16"/>
      <c r="BV1547" s="16"/>
      <c r="BW1547" s="16"/>
      <c r="BX1547" s="16"/>
      <c r="BY1547" s="16"/>
      <c r="BZ1547" s="16"/>
      <c r="CA1547" s="16"/>
      <c r="CB1547" s="16"/>
      <c r="CC1547" s="16"/>
      <c r="CD1547" s="16"/>
      <c r="CE1547" s="16"/>
      <c r="CF1547" s="16"/>
      <c r="CG1547" s="16"/>
      <c r="CH1547" s="16"/>
      <c r="CI1547" s="16"/>
      <c r="CJ1547" s="16"/>
      <c r="CK1547" s="16"/>
      <c r="CL1547" s="16"/>
      <c r="CM1547" s="16"/>
      <c r="CN1547" s="16"/>
      <c r="CO1547" s="16"/>
      <c r="CP1547" s="16"/>
      <c r="CQ1547" s="16"/>
      <c r="CR1547" s="16"/>
      <c r="CS1547" s="16"/>
      <c r="CT1547" s="16"/>
      <c r="CU1547" s="16"/>
      <c r="CV1547" s="16"/>
      <c r="CW1547" s="16"/>
      <c r="CX1547" s="16"/>
      <c r="CY1547" s="16"/>
      <c r="CZ1547" s="16"/>
      <c r="DA1547" s="16"/>
      <c r="DB1547" s="16"/>
      <c r="DC1547" s="16"/>
      <c r="DD1547" s="16"/>
      <c r="DE1547" s="16"/>
      <c r="DF1547" s="16"/>
    </row>
    <row r="1548" spans="8:110" x14ac:dyDescent="0.3">
      <c r="H1548" s="4">
        <f t="shared" si="204"/>
        <v>0</v>
      </c>
      <c r="K1548" s="3"/>
      <c r="L1548" s="16"/>
      <c r="M1548" s="16"/>
      <c r="N1548" s="16"/>
      <c r="O1548" s="16"/>
      <c r="P1548" s="16"/>
      <c r="Q1548" s="16"/>
      <c r="R1548" s="16"/>
      <c r="S1548" s="16"/>
      <c r="T1548" s="16"/>
      <c r="U1548" s="16"/>
      <c r="V1548" s="16"/>
      <c r="W1548" s="16"/>
      <c r="X1548" s="16"/>
      <c r="Y1548" s="16"/>
      <c r="Z1548" s="16"/>
      <c r="AA1548" s="16"/>
      <c r="AB1548" s="16"/>
      <c r="AC1548" s="16"/>
      <c r="AD1548" s="16"/>
      <c r="AE1548" s="16"/>
      <c r="AF1548" s="16"/>
      <c r="AG1548" s="16"/>
      <c r="AH1548" s="16"/>
      <c r="AI1548" s="16"/>
      <c r="AJ1548" s="16"/>
      <c r="AK1548" s="16"/>
      <c r="AL1548" s="16"/>
      <c r="AM1548" s="16"/>
      <c r="AN1548" s="16"/>
      <c r="AO1548" s="16"/>
      <c r="AP1548" s="16"/>
      <c r="AQ1548" s="16"/>
      <c r="AR1548" s="16"/>
      <c r="AS1548" s="16"/>
      <c r="AT1548" s="16"/>
      <c r="AU1548" s="16"/>
      <c r="AV1548" s="16"/>
      <c r="AW1548" s="16"/>
      <c r="AX1548" s="16"/>
      <c r="AY1548" s="16"/>
      <c r="AZ1548" s="16"/>
      <c r="BA1548" s="16"/>
      <c r="BB1548" s="16"/>
      <c r="BC1548" s="16"/>
      <c r="BD1548" s="16"/>
      <c r="BE1548" s="16"/>
      <c r="BF1548" s="16"/>
      <c r="BG1548" s="16"/>
      <c r="BH1548" s="16"/>
      <c r="BI1548" s="16"/>
      <c r="BJ1548" s="16"/>
      <c r="BK1548" s="16"/>
      <c r="BL1548" s="16"/>
      <c r="BM1548" s="16"/>
      <c r="BN1548" s="16"/>
      <c r="BO1548" s="16"/>
      <c r="BP1548" s="16"/>
      <c r="BQ1548" s="16"/>
      <c r="BR1548" s="16"/>
      <c r="BS1548" s="16"/>
      <c r="BT1548" s="16"/>
      <c r="BU1548" s="16"/>
      <c r="BV1548" s="16"/>
      <c r="BW1548" s="16"/>
      <c r="BX1548" s="16"/>
      <c r="BY1548" s="16"/>
      <c r="BZ1548" s="16"/>
      <c r="CA1548" s="16"/>
      <c r="CB1548" s="16"/>
      <c r="CC1548" s="16"/>
      <c r="CD1548" s="16"/>
      <c r="CE1548" s="16"/>
      <c r="CF1548" s="16"/>
      <c r="CG1548" s="16"/>
      <c r="CH1548" s="16"/>
      <c r="CI1548" s="16"/>
      <c r="CJ1548" s="16"/>
      <c r="CK1548" s="16"/>
      <c r="CL1548" s="16"/>
      <c r="CM1548" s="16"/>
      <c r="CN1548" s="16"/>
      <c r="CO1548" s="16"/>
      <c r="CP1548" s="16"/>
      <c r="CQ1548" s="16"/>
      <c r="CR1548" s="16"/>
      <c r="CS1548" s="16"/>
      <c r="CT1548" s="16"/>
      <c r="CU1548" s="16"/>
      <c r="CV1548" s="16"/>
      <c r="CW1548" s="16"/>
      <c r="CX1548" s="16"/>
      <c r="CY1548" s="16"/>
      <c r="CZ1548" s="16"/>
      <c r="DA1548" s="16"/>
      <c r="DB1548" s="16"/>
      <c r="DC1548" s="16"/>
      <c r="DD1548" s="16"/>
      <c r="DE1548" s="16"/>
      <c r="DF1548" s="16"/>
    </row>
    <row r="1549" spans="8:110" x14ac:dyDescent="0.3">
      <c r="H1549" s="4">
        <f t="shared" si="204"/>
        <v>0</v>
      </c>
      <c r="K1549" s="3"/>
      <c r="L1549" s="16"/>
      <c r="M1549" s="16"/>
      <c r="N1549" s="16"/>
      <c r="O1549" s="16"/>
      <c r="P1549" s="16"/>
      <c r="Q1549" s="16"/>
      <c r="R1549" s="16"/>
      <c r="S1549" s="16"/>
      <c r="T1549" s="16"/>
      <c r="U1549" s="16"/>
      <c r="V1549" s="16"/>
      <c r="W1549" s="16"/>
      <c r="X1549" s="16"/>
      <c r="Y1549" s="16"/>
      <c r="Z1549" s="16"/>
      <c r="AA1549" s="16"/>
      <c r="AB1549" s="16"/>
      <c r="AC1549" s="16"/>
      <c r="AD1549" s="16"/>
      <c r="AE1549" s="16"/>
      <c r="AF1549" s="16"/>
      <c r="AG1549" s="16"/>
      <c r="AH1549" s="16"/>
      <c r="AI1549" s="16"/>
      <c r="AJ1549" s="16"/>
      <c r="AK1549" s="16"/>
      <c r="AL1549" s="16"/>
      <c r="AM1549" s="16"/>
      <c r="AN1549" s="16"/>
      <c r="AO1549" s="16"/>
      <c r="AP1549" s="16"/>
      <c r="AQ1549" s="16"/>
      <c r="AR1549" s="16"/>
      <c r="AS1549" s="16"/>
      <c r="AT1549" s="16"/>
      <c r="AU1549" s="16"/>
      <c r="AV1549" s="16"/>
      <c r="AW1549" s="16"/>
      <c r="AX1549" s="16"/>
      <c r="AY1549" s="16"/>
      <c r="AZ1549" s="16"/>
      <c r="BA1549" s="16"/>
      <c r="BB1549" s="16"/>
      <c r="BC1549" s="16"/>
      <c r="BD1549" s="16"/>
      <c r="BE1549" s="16"/>
      <c r="BF1549" s="16"/>
      <c r="BG1549" s="16"/>
      <c r="BH1549" s="16"/>
      <c r="BI1549" s="16"/>
      <c r="BJ1549" s="16"/>
      <c r="BK1549" s="16"/>
      <c r="BL1549" s="16"/>
      <c r="BM1549" s="16"/>
      <c r="BN1549" s="16"/>
      <c r="BO1549" s="16"/>
      <c r="BP1549" s="16"/>
      <c r="BQ1549" s="16"/>
      <c r="BR1549" s="16"/>
      <c r="BS1549" s="16"/>
      <c r="BT1549" s="16"/>
      <c r="BU1549" s="16"/>
      <c r="BV1549" s="16"/>
      <c r="BW1549" s="16"/>
      <c r="BX1549" s="16"/>
      <c r="BY1549" s="16"/>
      <c r="BZ1549" s="16"/>
      <c r="CA1549" s="16"/>
      <c r="CB1549" s="16"/>
      <c r="CC1549" s="16"/>
      <c r="CD1549" s="16"/>
      <c r="CE1549" s="16"/>
      <c r="CF1549" s="16"/>
      <c r="CG1549" s="16"/>
      <c r="CH1549" s="16"/>
      <c r="CI1549" s="16"/>
      <c r="CJ1549" s="16"/>
      <c r="CK1549" s="16"/>
      <c r="CL1549" s="16"/>
      <c r="CM1549" s="16"/>
      <c r="CN1549" s="16"/>
      <c r="CO1549" s="16"/>
      <c r="CP1549" s="16"/>
      <c r="CQ1549" s="16"/>
      <c r="CR1549" s="16"/>
      <c r="CS1549" s="16"/>
      <c r="CT1549" s="16"/>
      <c r="CU1549" s="16"/>
      <c r="CV1549" s="16"/>
      <c r="CW1549" s="16"/>
      <c r="CX1549" s="16"/>
      <c r="CY1549" s="16"/>
      <c r="CZ1549" s="16"/>
      <c r="DA1549" s="16"/>
      <c r="DB1549" s="16"/>
      <c r="DC1549" s="16"/>
      <c r="DD1549" s="16"/>
      <c r="DE1549" s="16"/>
      <c r="DF1549" s="16"/>
    </row>
    <row r="1550" spans="8:110" x14ac:dyDescent="0.3">
      <c r="H1550" s="4">
        <f t="shared" si="204"/>
        <v>0</v>
      </c>
      <c r="K1550" s="3"/>
      <c r="L1550" s="16"/>
      <c r="M1550" s="16"/>
      <c r="N1550" s="16"/>
      <c r="O1550" s="16"/>
      <c r="P1550" s="16"/>
      <c r="Q1550" s="16"/>
      <c r="R1550" s="16"/>
      <c r="S1550" s="16"/>
      <c r="T1550" s="16"/>
      <c r="U1550" s="16"/>
      <c r="V1550" s="16"/>
      <c r="W1550" s="16"/>
      <c r="X1550" s="16"/>
      <c r="Y1550" s="16"/>
      <c r="Z1550" s="16"/>
      <c r="AA1550" s="16"/>
      <c r="AB1550" s="16"/>
      <c r="AC1550" s="16"/>
      <c r="AD1550" s="16"/>
      <c r="AE1550" s="16"/>
      <c r="AF1550" s="16"/>
      <c r="AG1550" s="16"/>
      <c r="AH1550" s="16"/>
      <c r="AI1550" s="16"/>
      <c r="AJ1550" s="16"/>
      <c r="AK1550" s="16"/>
      <c r="AL1550" s="16"/>
      <c r="AM1550" s="16"/>
      <c r="AN1550" s="16"/>
      <c r="AO1550" s="16"/>
      <c r="AP1550" s="16"/>
      <c r="AQ1550" s="16"/>
      <c r="AR1550" s="16"/>
      <c r="AS1550" s="16"/>
      <c r="AT1550" s="16"/>
      <c r="AU1550" s="16"/>
      <c r="AV1550" s="16"/>
      <c r="AW1550" s="16"/>
      <c r="AX1550" s="16"/>
      <c r="AY1550" s="16"/>
      <c r="AZ1550" s="16"/>
      <c r="BA1550" s="16"/>
      <c r="BB1550" s="16"/>
      <c r="BC1550" s="16"/>
      <c r="BD1550" s="16"/>
      <c r="BE1550" s="16"/>
      <c r="BF1550" s="16"/>
      <c r="BG1550" s="16"/>
      <c r="BH1550" s="16"/>
      <c r="BI1550" s="16"/>
      <c r="BJ1550" s="16"/>
      <c r="BK1550" s="16"/>
      <c r="BL1550" s="16"/>
      <c r="BM1550" s="16"/>
      <c r="BN1550" s="16"/>
      <c r="BO1550" s="16"/>
      <c r="BP1550" s="16"/>
      <c r="BQ1550" s="16"/>
      <c r="BR1550" s="16"/>
      <c r="BS1550" s="16"/>
      <c r="BT1550" s="16"/>
      <c r="BU1550" s="16"/>
      <c r="BV1550" s="16"/>
      <c r="BW1550" s="16"/>
      <c r="BX1550" s="16"/>
      <c r="BY1550" s="16"/>
      <c r="BZ1550" s="16"/>
      <c r="CA1550" s="16"/>
      <c r="CB1550" s="16"/>
      <c r="CC1550" s="16"/>
      <c r="CD1550" s="16"/>
      <c r="CE1550" s="16"/>
      <c r="CF1550" s="16"/>
      <c r="CG1550" s="16"/>
      <c r="CH1550" s="16"/>
      <c r="CI1550" s="16"/>
      <c r="CJ1550" s="16"/>
      <c r="CK1550" s="16"/>
      <c r="CL1550" s="16"/>
      <c r="CM1550" s="16"/>
      <c r="CN1550" s="16"/>
      <c r="CO1550" s="16"/>
      <c r="CP1550" s="16"/>
      <c r="CQ1550" s="16"/>
      <c r="CR1550" s="16"/>
      <c r="CS1550" s="16"/>
      <c r="CT1550" s="16"/>
      <c r="CU1550" s="16"/>
      <c r="CV1550" s="16"/>
      <c r="CW1550" s="16"/>
      <c r="CX1550" s="16"/>
      <c r="CY1550" s="16"/>
      <c r="CZ1550" s="16"/>
      <c r="DA1550" s="16"/>
      <c r="DB1550" s="16"/>
      <c r="DC1550" s="16"/>
      <c r="DD1550" s="16"/>
      <c r="DE1550" s="16"/>
      <c r="DF1550" s="16"/>
    </row>
    <row r="1551" spans="8:110" x14ac:dyDescent="0.3">
      <c r="H1551" s="4">
        <f t="shared" si="204"/>
        <v>0</v>
      </c>
      <c r="K1551" s="3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  <c r="X1551" s="16"/>
      <c r="Y1551" s="16"/>
      <c r="Z1551" s="16"/>
      <c r="AA1551" s="16"/>
      <c r="AB1551" s="16"/>
      <c r="AC1551" s="16"/>
      <c r="AD1551" s="16"/>
      <c r="AE1551" s="16"/>
      <c r="AF1551" s="16"/>
      <c r="AG1551" s="16"/>
      <c r="AH1551" s="16"/>
      <c r="AI1551" s="16"/>
      <c r="AJ1551" s="16"/>
      <c r="AK1551" s="16"/>
      <c r="AL1551" s="16"/>
      <c r="AM1551" s="16"/>
      <c r="AN1551" s="16"/>
      <c r="AO1551" s="16"/>
      <c r="AP1551" s="16"/>
      <c r="AQ1551" s="16"/>
      <c r="AR1551" s="16"/>
      <c r="AS1551" s="16"/>
      <c r="AT1551" s="16"/>
      <c r="AU1551" s="16"/>
      <c r="AV1551" s="16"/>
      <c r="AW1551" s="16"/>
      <c r="AX1551" s="16"/>
      <c r="AY1551" s="16"/>
      <c r="AZ1551" s="16"/>
      <c r="BA1551" s="16"/>
      <c r="BB1551" s="16"/>
      <c r="BC1551" s="16"/>
      <c r="BD1551" s="16"/>
      <c r="BE1551" s="16"/>
      <c r="BF1551" s="16"/>
      <c r="BG1551" s="16"/>
      <c r="BH1551" s="16"/>
      <c r="BI1551" s="16"/>
      <c r="BJ1551" s="16"/>
      <c r="BK1551" s="16"/>
      <c r="BL1551" s="16"/>
      <c r="BM1551" s="16"/>
      <c r="BN1551" s="16"/>
      <c r="BO1551" s="16"/>
      <c r="BP1551" s="16"/>
      <c r="BQ1551" s="16"/>
      <c r="BR1551" s="16"/>
      <c r="BS1551" s="16"/>
      <c r="BT1551" s="16"/>
      <c r="BU1551" s="16"/>
      <c r="BV1551" s="16"/>
      <c r="BW1551" s="16"/>
      <c r="BX1551" s="16"/>
      <c r="BY1551" s="16"/>
      <c r="BZ1551" s="16"/>
      <c r="CA1551" s="16"/>
      <c r="CB1551" s="16"/>
      <c r="CC1551" s="16"/>
      <c r="CD1551" s="16"/>
      <c r="CE1551" s="16"/>
      <c r="CF1551" s="16"/>
      <c r="CG1551" s="16"/>
      <c r="CH1551" s="16"/>
      <c r="CI1551" s="16"/>
      <c r="CJ1551" s="16"/>
      <c r="CK1551" s="16"/>
      <c r="CL1551" s="16"/>
      <c r="CM1551" s="16"/>
      <c r="CN1551" s="16"/>
      <c r="CO1551" s="16"/>
      <c r="CP1551" s="16"/>
      <c r="CQ1551" s="16"/>
      <c r="CR1551" s="16"/>
      <c r="CS1551" s="16"/>
      <c r="CT1551" s="16"/>
      <c r="CU1551" s="16"/>
      <c r="CV1551" s="16"/>
      <c r="CW1551" s="16"/>
      <c r="CX1551" s="16"/>
      <c r="CY1551" s="16"/>
      <c r="CZ1551" s="16"/>
      <c r="DA1551" s="16"/>
      <c r="DB1551" s="16"/>
      <c r="DC1551" s="16"/>
      <c r="DD1551" s="16"/>
      <c r="DE1551" s="16"/>
      <c r="DF1551" s="16"/>
    </row>
    <row r="1552" spans="8:110" x14ac:dyDescent="0.3">
      <c r="H1552" s="4">
        <f t="shared" si="204"/>
        <v>0</v>
      </c>
      <c r="K1552" s="3"/>
      <c r="L1552" s="16"/>
      <c r="M1552" s="16"/>
      <c r="N1552" s="16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  <c r="Z1552" s="16"/>
      <c r="AA1552" s="16"/>
      <c r="AB1552" s="16"/>
      <c r="AC1552" s="16"/>
      <c r="AD1552" s="16"/>
      <c r="AE1552" s="16"/>
      <c r="AF1552" s="16"/>
      <c r="AG1552" s="16"/>
      <c r="AH1552" s="16"/>
      <c r="AI1552" s="16"/>
      <c r="AJ1552" s="16"/>
      <c r="AK1552" s="16"/>
      <c r="AL1552" s="16"/>
      <c r="AM1552" s="16"/>
      <c r="AN1552" s="16"/>
      <c r="AO1552" s="16"/>
      <c r="AP1552" s="16"/>
      <c r="AQ1552" s="16"/>
      <c r="AR1552" s="16"/>
      <c r="AS1552" s="16"/>
      <c r="AT1552" s="16"/>
      <c r="AU1552" s="16"/>
      <c r="AV1552" s="16"/>
      <c r="AW1552" s="16"/>
      <c r="AX1552" s="16"/>
      <c r="AY1552" s="16"/>
      <c r="AZ1552" s="16"/>
      <c r="BA1552" s="16"/>
      <c r="BB1552" s="16"/>
      <c r="BC1552" s="16"/>
      <c r="BD1552" s="16"/>
      <c r="BE1552" s="16"/>
      <c r="BF1552" s="16"/>
      <c r="BG1552" s="16"/>
      <c r="BH1552" s="16"/>
      <c r="BI1552" s="16"/>
      <c r="BJ1552" s="16"/>
      <c r="BK1552" s="16"/>
      <c r="BL1552" s="16"/>
      <c r="BM1552" s="16"/>
      <c r="BN1552" s="16"/>
      <c r="BO1552" s="16"/>
      <c r="BP1552" s="16"/>
      <c r="BQ1552" s="16"/>
      <c r="BR1552" s="16"/>
      <c r="BS1552" s="16"/>
      <c r="BT1552" s="16"/>
      <c r="BU1552" s="16"/>
      <c r="BV1552" s="16"/>
      <c r="BW1552" s="16"/>
      <c r="BX1552" s="16"/>
      <c r="BY1552" s="16"/>
      <c r="BZ1552" s="16"/>
      <c r="CA1552" s="16"/>
      <c r="CB1552" s="16"/>
      <c r="CC1552" s="16"/>
      <c r="CD1552" s="16"/>
      <c r="CE1552" s="16"/>
      <c r="CF1552" s="16"/>
      <c r="CG1552" s="16"/>
      <c r="CH1552" s="16"/>
      <c r="CI1552" s="16"/>
      <c r="CJ1552" s="16"/>
      <c r="CK1552" s="16"/>
      <c r="CL1552" s="16"/>
      <c r="CM1552" s="16"/>
      <c r="CN1552" s="16"/>
      <c r="CO1552" s="16"/>
      <c r="CP1552" s="16"/>
      <c r="CQ1552" s="16"/>
      <c r="CR1552" s="16"/>
      <c r="CS1552" s="16"/>
      <c r="CT1552" s="16"/>
      <c r="CU1552" s="16"/>
      <c r="CV1552" s="16"/>
      <c r="CW1552" s="16"/>
      <c r="CX1552" s="16"/>
      <c r="CY1552" s="16"/>
      <c r="CZ1552" s="16"/>
      <c r="DA1552" s="16"/>
      <c r="DB1552" s="16"/>
      <c r="DC1552" s="16"/>
      <c r="DD1552" s="16"/>
      <c r="DE1552" s="16"/>
      <c r="DF1552" s="16"/>
    </row>
    <row r="1553" spans="8:110" x14ac:dyDescent="0.3">
      <c r="H1553" s="4">
        <f t="shared" si="204"/>
        <v>0</v>
      </c>
      <c r="K1553" s="3"/>
      <c r="L1553" s="16"/>
      <c r="M1553" s="16"/>
      <c r="N1553" s="16"/>
      <c r="O1553" s="16"/>
      <c r="P1553" s="16"/>
      <c r="Q1553" s="16"/>
      <c r="R1553" s="16"/>
      <c r="S1553" s="16"/>
      <c r="T1553" s="16"/>
      <c r="U1553" s="16"/>
      <c r="V1553" s="16"/>
      <c r="W1553" s="16"/>
      <c r="X1553" s="16"/>
      <c r="Y1553" s="16"/>
      <c r="Z1553" s="16"/>
      <c r="AA1553" s="16"/>
      <c r="AB1553" s="16"/>
      <c r="AC1553" s="16"/>
      <c r="AD1553" s="16"/>
      <c r="AE1553" s="16"/>
      <c r="AF1553" s="16"/>
      <c r="AG1553" s="16"/>
      <c r="AH1553" s="16"/>
      <c r="AI1553" s="16"/>
      <c r="AJ1553" s="16"/>
      <c r="AK1553" s="16"/>
      <c r="AL1553" s="16"/>
      <c r="AM1553" s="16"/>
      <c r="AN1553" s="16"/>
      <c r="AO1553" s="16"/>
      <c r="AP1553" s="16"/>
      <c r="AQ1553" s="16"/>
      <c r="AR1553" s="16"/>
      <c r="AS1553" s="16"/>
      <c r="AT1553" s="16"/>
      <c r="AU1553" s="16"/>
      <c r="AV1553" s="16"/>
      <c r="AW1553" s="16"/>
      <c r="AX1553" s="16"/>
      <c r="AY1553" s="16"/>
      <c r="AZ1553" s="16"/>
      <c r="BA1553" s="16"/>
      <c r="BB1553" s="16"/>
      <c r="BC1553" s="16"/>
      <c r="BD1553" s="16"/>
      <c r="BE1553" s="16"/>
      <c r="BF1553" s="16"/>
      <c r="BG1553" s="16"/>
      <c r="BH1553" s="16"/>
      <c r="BI1553" s="16"/>
      <c r="BJ1553" s="16"/>
      <c r="BK1553" s="16"/>
      <c r="BL1553" s="16"/>
      <c r="BM1553" s="16"/>
      <c r="BN1553" s="16"/>
      <c r="BO1553" s="16"/>
      <c r="BP1553" s="16"/>
      <c r="BQ1553" s="16"/>
      <c r="BR1553" s="16"/>
      <c r="BS1553" s="16"/>
      <c r="BT1553" s="16"/>
      <c r="BU1553" s="16"/>
      <c r="BV1553" s="16"/>
      <c r="BW1553" s="16"/>
      <c r="BX1553" s="16"/>
      <c r="BY1553" s="16"/>
      <c r="BZ1553" s="16"/>
      <c r="CA1553" s="16"/>
      <c r="CB1553" s="16"/>
      <c r="CC1553" s="16"/>
      <c r="CD1553" s="16"/>
      <c r="CE1553" s="16"/>
      <c r="CF1553" s="16"/>
      <c r="CG1553" s="16"/>
      <c r="CH1553" s="16"/>
      <c r="CI1553" s="16"/>
      <c r="CJ1553" s="16"/>
      <c r="CK1553" s="16"/>
      <c r="CL1553" s="16"/>
      <c r="CM1553" s="16"/>
      <c r="CN1553" s="16"/>
      <c r="CO1553" s="16"/>
      <c r="CP1553" s="16"/>
      <c r="CQ1553" s="16"/>
      <c r="CR1553" s="16"/>
      <c r="CS1553" s="16"/>
      <c r="CT1553" s="16"/>
      <c r="CU1553" s="16"/>
      <c r="CV1553" s="16"/>
      <c r="CW1553" s="16"/>
      <c r="CX1553" s="16"/>
      <c r="CY1553" s="16"/>
      <c r="CZ1553" s="16"/>
      <c r="DA1553" s="16"/>
      <c r="DB1553" s="16"/>
      <c r="DC1553" s="16"/>
      <c r="DD1553" s="16"/>
      <c r="DE1553" s="16"/>
      <c r="DF1553" s="16"/>
    </row>
    <row r="1554" spans="8:110" x14ac:dyDescent="0.3">
      <c r="H1554" s="4">
        <f t="shared" si="204"/>
        <v>0</v>
      </c>
      <c r="K1554" s="3"/>
      <c r="L1554" s="16"/>
      <c r="M1554" s="16"/>
      <c r="N1554" s="16"/>
      <c r="O1554" s="16"/>
      <c r="P1554" s="16"/>
      <c r="Q1554" s="16"/>
      <c r="R1554" s="16"/>
      <c r="S1554" s="16"/>
      <c r="T1554" s="16"/>
      <c r="U1554" s="16"/>
      <c r="V1554" s="16"/>
      <c r="W1554" s="16"/>
      <c r="X1554" s="16"/>
      <c r="Y1554" s="16"/>
      <c r="Z1554" s="16"/>
      <c r="AA1554" s="16"/>
      <c r="AB1554" s="16"/>
      <c r="AC1554" s="16"/>
      <c r="AD1554" s="16"/>
      <c r="AE1554" s="16"/>
      <c r="AF1554" s="16"/>
      <c r="AG1554" s="16"/>
      <c r="AH1554" s="16"/>
      <c r="AI1554" s="16"/>
      <c r="AJ1554" s="16"/>
      <c r="AK1554" s="16"/>
      <c r="AL1554" s="16"/>
      <c r="AM1554" s="16"/>
      <c r="AN1554" s="16"/>
      <c r="AO1554" s="16"/>
      <c r="AP1554" s="16"/>
      <c r="AQ1554" s="16"/>
      <c r="AR1554" s="16"/>
      <c r="AS1554" s="16"/>
      <c r="AT1554" s="16"/>
      <c r="AU1554" s="16"/>
      <c r="AV1554" s="16"/>
      <c r="AW1554" s="16"/>
      <c r="AX1554" s="16"/>
      <c r="AY1554" s="16"/>
      <c r="AZ1554" s="16"/>
      <c r="BA1554" s="16"/>
      <c r="BB1554" s="16"/>
      <c r="BC1554" s="16"/>
      <c r="BD1554" s="16"/>
      <c r="BE1554" s="16"/>
      <c r="BF1554" s="16"/>
      <c r="BG1554" s="16"/>
      <c r="BH1554" s="16"/>
      <c r="BI1554" s="16"/>
      <c r="BJ1554" s="16"/>
      <c r="BK1554" s="16"/>
      <c r="BL1554" s="16"/>
      <c r="BM1554" s="16"/>
      <c r="BN1554" s="16"/>
      <c r="BO1554" s="16"/>
      <c r="BP1554" s="16"/>
      <c r="BQ1554" s="16"/>
      <c r="BR1554" s="16"/>
      <c r="BS1554" s="16"/>
      <c r="BT1554" s="16"/>
      <c r="BU1554" s="16"/>
      <c r="BV1554" s="16"/>
      <c r="BW1554" s="16"/>
      <c r="BX1554" s="16"/>
      <c r="BY1554" s="16"/>
      <c r="BZ1554" s="16"/>
      <c r="CA1554" s="16"/>
      <c r="CB1554" s="16"/>
      <c r="CC1554" s="16"/>
      <c r="CD1554" s="16"/>
      <c r="CE1554" s="16"/>
      <c r="CF1554" s="16"/>
      <c r="CG1554" s="16"/>
      <c r="CH1554" s="16"/>
      <c r="CI1554" s="16"/>
      <c r="CJ1554" s="16"/>
      <c r="CK1554" s="16"/>
      <c r="CL1554" s="16"/>
      <c r="CM1554" s="16"/>
      <c r="CN1554" s="16"/>
      <c r="CO1554" s="16"/>
      <c r="CP1554" s="16"/>
      <c r="CQ1554" s="16"/>
      <c r="CR1554" s="16"/>
      <c r="CS1554" s="16"/>
      <c r="CT1554" s="16"/>
      <c r="CU1554" s="16"/>
      <c r="CV1554" s="16"/>
      <c r="CW1554" s="16"/>
      <c r="CX1554" s="16"/>
      <c r="CY1554" s="16"/>
      <c r="CZ1554" s="16"/>
      <c r="DA1554" s="16"/>
      <c r="DB1554" s="16"/>
      <c r="DC1554" s="16"/>
      <c r="DD1554" s="16"/>
      <c r="DE1554" s="16"/>
      <c r="DF1554" s="16"/>
    </row>
    <row r="1555" spans="8:110" x14ac:dyDescent="0.3">
      <c r="H1555" s="4">
        <f t="shared" si="204"/>
        <v>0</v>
      </c>
      <c r="K1555" s="3"/>
      <c r="L1555" s="16"/>
      <c r="M1555" s="16"/>
      <c r="N1555" s="16"/>
      <c r="O1555" s="16"/>
      <c r="P1555" s="16"/>
      <c r="Q1555" s="16"/>
      <c r="R1555" s="16"/>
      <c r="S1555" s="16"/>
      <c r="T1555" s="16"/>
      <c r="U1555" s="16"/>
      <c r="V1555" s="16"/>
      <c r="W1555" s="16"/>
      <c r="X1555" s="16"/>
      <c r="Y1555" s="16"/>
      <c r="Z1555" s="16"/>
      <c r="AA1555" s="16"/>
      <c r="AB1555" s="16"/>
      <c r="AC1555" s="16"/>
      <c r="AD1555" s="16"/>
      <c r="AE1555" s="16"/>
      <c r="AF1555" s="16"/>
      <c r="AG1555" s="16"/>
      <c r="AH1555" s="16"/>
      <c r="AI1555" s="16"/>
      <c r="AJ1555" s="16"/>
      <c r="AK1555" s="16"/>
      <c r="AL1555" s="16"/>
      <c r="AM1555" s="16"/>
      <c r="AN1555" s="16"/>
      <c r="AO1555" s="16"/>
      <c r="AP1555" s="16"/>
      <c r="AQ1555" s="16"/>
      <c r="AR1555" s="16"/>
      <c r="AS1555" s="16"/>
      <c r="AT1555" s="16"/>
      <c r="AU1555" s="16"/>
      <c r="AV1555" s="16"/>
      <c r="AW1555" s="16"/>
      <c r="AX1555" s="16"/>
      <c r="AY1555" s="16"/>
      <c r="AZ1555" s="16"/>
      <c r="BA1555" s="16"/>
      <c r="BB1555" s="16"/>
      <c r="BC1555" s="16"/>
      <c r="BD1555" s="16"/>
      <c r="BE1555" s="16"/>
      <c r="BF1555" s="16"/>
      <c r="BG1555" s="16"/>
      <c r="BH1555" s="16"/>
      <c r="BI1555" s="16"/>
      <c r="BJ1555" s="16"/>
      <c r="BK1555" s="16"/>
      <c r="BL1555" s="16"/>
      <c r="BM1555" s="16"/>
      <c r="BN1555" s="16"/>
      <c r="BO1555" s="16"/>
      <c r="BP1555" s="16"/>
      <c r="BQ1555" s="16"/>
      <c r="BR1555" s="16"/>
      <c r="BS1555" s="16"/>
      <c r="BT1555" s="16"/>
      <c r="BU1555" s="16"/>
      <c r="BV1555" s="16"/>
      <c r="BW1555" s="16"/>
      <c r="BX1555" s="16"/>
      <c r="BY1555" s="16"/>
      <c r="BZ1555" s="16"/>
      <c r="CA1555" s="16"/>
      <c r="CB1555" s="16"/>
      <c r="CC1555" s="16"/>
      <c r="CD1555" s="16"/>
      <c r="CE1555" s="16"/>
      <c r="CF1555" s="16"/>
      <c r="CG1555" s="16"/>
      <c r="CH1555" s="16"/>
      <c r="CI1555" s="16"/>
      <c r="CJ1555" s="16"/>
      <c r="CK1555" s="16"/>
      <c r="CL1555" s="16"/>
      <c r="CM1555" s="16"/>
      <c r="CN1555" s="16"/>
      <c r="CO1555" s="16"/>
      <c r="CP1555" s="16"/>
      <c r="CQ1555" s="16"/>
      <c r="CR1555" s="16"/>
      <c r="CS1555" s="16"/>
      <c r="CT1555" s="16"/>
      <c r="CU1555" s="16"/>
      <c r="CV1555" s="16"/>
      <c r="CW1555" s="16"/>
      <c r="CX1555" s="16"/>
      <c r="CY1555" s="16"/>
      <c r="CZ1555" s="16"/>
      <c r="DA1555" s="16"/>
      <c r="DB1555" s="16"/>
      <c r="DC1555" s="16"/>
      <c r="DD1555" s="16"/>
      <c r="DE1555" s="16"/>
      <c r="DF1555" s="16"/>
    </row>
    <row r="1556" spans="8:110" x14ac:dyDescent="0.3">
      <c r="H1556" s="4">
        <f t="shared" si="204"/>
        <v>0</v>
      </c>
      <c r="K1556" s="3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  <c r="X1556" s="16"/>
      <c r="Y1556" s="16"/>
      <c r="Z1556" s="16"/>
      <c r="AA1556" s="16"/>
      <c r="AB1556" s="16"/>
      <c r="AC1556" s="16"/>
      <c r="AD1556" s="16"/>
      <c r="AE1556" s="16"/>
      <c r="AF1556" s="16"/>
      <c r="AG1556" s="16"/>
      <c r="AH1556" s="16"/>
      <c r="AI1556" s="16"/>
      <c r="AJ1556" s="16"/>
      <c r="AK1556" s="16"/>
      <c r="AL1556" s="16"/>
      <c r="AM1556" s="16"/>
      <c r="AN1556" s="16"/>
      <c r="AO1556" s="16"/>
      <c r="AP1556" s="16"/>
      <c r="AQ1556" s="16"/>
      <c r="AR1556" s="16"/>
      <c r="AS1556" s="16"/>
      <c r="AT1556" s="16"/>
      <c r="AU1556" s="16"/>
      <c r="AV1556" s="16"/>
      <c r="AW1556" s="16"/>
      <c r="AX1556" s="16"/>
      <c r="AY1556" s="16"/>
      <c r="AZ1556" s="16"/>
      <c r="BA1556" s="16"/>
      <c r="BB1556" s="16"/>
      <c r="BC1556" s="16"/>
      <c r="BD1556" s="16"/>
      <c r="BE1556" s="16"/>
      <c r="BF1556" s="16"/>
      <c r="BG1556" s="16"/>
      <c r="BH1556" s="16"/>
      <c r="BI1556" s="16"/>
      <c r="BJ1556" s="16"/>
      <c r="BK1556" s="16"/>
      <c r="BL1556" s="16"/>
      <c r="BM1556" s="16"/>
      <c r="BN1556" s="16"/>
      <c r="BO1556" s="16"/>
      <c r="BP1556" s="16"/>
      <c r="BQ1556" s="16"/>
      <c r="BR1556" s="16"/>
      <c r="BS1556" s="16"/>
      <c r="BT1556" s="16"/>
      <c r="BU1556" s="16"/>
      <c r="BV1556" s="16"/>
      <c r="BW1556" s="16"/>
      <c r="BX1556" s="16"/>
      <c r="BY1556" s="16"/>
      <c r="BZ1556" s="16"/>
      <c r="CA1556" s="16"/>
      <c r="CB1556" s="16"/>
      <c r="CC1556" s="16"/>
      <c r="CD1556" s="16"/>
      <c r="CE1556" s="16"/>
      <c r="CF1556" s="16"/>
      <c r="CG1556" s="16"/>
      <c r="CH1556" s="16"/>
      <c r="CI1556" s="16"/>
      <c r="CJ1556" s="16"/>
      <c r="CK1556" s="16"/>
      <c r="CL1556" s="16"/>
      <c r="CM1556" s="16"/>
      <c r="CN1556" s="16"/>
      <c r="CO1556" s="16"/>
      <c r="CP1556" s="16"/>
      <c r="CQ1556" s="16"/>
      <c r="CR1556" s="16"/>
      <c r="CS1556" s="16"/>
      <c r="CT1556" s="16"/>
      <c r="CU1556" s="16"/>
      <c r="CV1556" s="16"/>
      <c r="CW1556" s="16"/>
      <c r="CX1556" s="16"/>
      <c r="CY1556" s="16"/>
      <c r="CZ1556" s="16"/>
      <c r="DA1556" s="16"/>
      <c r="DB1556" s="16"/>
      <c r="DC1556" s="16"/>
      <c r="DD1556" s="16"/>
      <c r="DE1556" s="16"/>
      <c r="DF1556" s="16"/>
    </row>
    <row r="1557" spans="8:110" x14ac:dyDescent="0.3">
      <c r="H1557" s="4">
        <f t="shared" si="204"/>
        <v>0</v>
      </c>
      <c r="K1557" s="3"/>
      <c r="L1557" s="16"/>
      <c r="M1557" s="16"/>
      <c r="N1557" s="16"/>
      <c r="O1557" s="16"/>
      <c r="P1557" s="16"/>
      <c r="Q1557" s="16"/>
      <c r="R1557" s="16"/>
      <c r="S1557" s="16"/>
      <c r="T1557" s="16"/>
      <c r="U1557" s="16"/>
      <c r="V1557" s="16"/>
      <c r="W1557" s="16"/>
      <c r="X1557" s="16"/>
      <c r="Y1557" s="16"/>
      <c r="Z1557" s="16"/>
      <c r="AA1557" s="16"/>
      <c r="AB1557" s="16"/>
      <c r="AC1557" s="16"/>
      <c r="AD1557" s="16"/>
      <c r="AE1557" s="16"/>
      <c r="AF1557" s="16"/>
      <c r="AG1557" s="16"/>
      <c r="AH1557" s="16"/>
      <c r="AI1557" s="16"/>
      <c r="AJ1557" s="16"/>
      <c r="AK1557" s="16"/>
      <c r="AL1557" s="16"/>
      <c r="AM1557" s="16"/>
      <c r="AN1557" s="16"/>
      <c r="AO1557" s="16"/>
      <c r="AP1557" s="16"/>
      <c r="AQ1557" s="16"/>
      <c r="AR1557" s="16"/>
      <c r="AS1557" s="16"/>
      <c r="AT1557" s="16"/>
      <c r="AU1557" s="16"/>
      <c r="AV1557" s="16"/>
      <c r="AW1557" s="16"/>
      <c r="AX1557" s="16"/>
      <c r="AY1557" s="16"/>
      <c r="AZ1557" s="16"/>
      <c r="BA1557" s="16"/>
      <c r="BB1557" s="16"/>
      <c r="BC1557" s="16"/>
      <c r="BD1557" s="16"/>
      <c r="BE1557" s="16"/>
      <c r="BF1557" s="16"/>
      <c r="BG1557" s="16"/>
      <c r="BH1557" s="16"/>
      <c r="BI1557" s="16"/>
      <c r="BJ1557" s="16"/>
      <c r="BK1557" s="16"/>
      <c r="BL1557" s="16"/>
      <c r="BM1557" s="16"/>
      <c r="BN1557" s="16"/>
      <c r="BO1557" s="16"/>
      <c r="BP1557" s="16"/>
      <c r="BQ1557" s="16"/>
      <c r="BR1557" s="16"/>
      <c r="BS1557" s="16"/>
      <c r="BT1557" s="16"/>
      <c r="BU1557" s="16"/>
      <c r="BV1557" s="16"/>
      <c r="BW1557" s="16"/>
      <c r="BX1557" s="16"/>
      <c r="BY1557" s="16"/>
      <c r="BZ1557" s="16"/>
      <c r="CA1557" s="16"/>
      <c r="CB1557" s="16"/>
      <c r="CC1557" s="16"/>
      <c r="CD1557" s="16"/>
      <c r="CE1557" s="16"/>
      <c r="CF1557" s="16"/>
      <c r="CG1557" s="16"/>
      <c r="CH1557" s="16"/>
      <c r="CI1557" s="16"/>
      <c r="CJ1557" s="16"/>
      <c r="CK1557" s="16"/>
      <c r="CL1557" s="16"/>
      <c r="CM1557" s="16"/>
      <c r="CN1557" s="16"/>
      <c r="CO1557" s="16"/>
      <c r="CP1557" s="16"/>
      <c r="CQ1557" s="16"/>
      <c r="CR1557" s="16"/>
      <c r="CS1557" s="16"/>
      <c r="CT1557" s="16"/>
      <c r="CU1557" s="16"/>
      <c r="CV1557" s="16"/>
      <c r="CW1557" s="16"/>
      <c r="CX1557" s="16"/>
      <c r="CY1557" s="16"/>
      <c r="CZ1557" s="16"/>
      <c r="DA1557" s="16"/>
      <c r="DB1557" s="16"/>
      <c r="DC1557" s="16"/>
      <c r="DD1557" s="16"/>
      <c r="DE1557" s="16"/>
      <c r="DF1557" s="16"/>
    </row>
    <row r="1558" spans="8:110" x14ac:dyDescent="0.3">
      <c r="H1558" s="4">
        <f t="shared" si="204"/>
        <v>0</v>
      </c>
      <c r="K1558" s="3"/>
      <c r="L1558" s="16"/>
      <c r="M1558" s="16"/>
      <c r="N1558" s="16"/>
      <c r="O1558" s="16"/>
      <c r="P1558" s="16"/>
      <c r="Q1558" s="16"/>
      <c r="R1558" s="16"/>
      <c r="S1558" s="16"/>
      <c r="T1558" s="16"/>
      <c r="U1558" s="16"/>
      <c r="V1558" s="16"/>
      <c r="W1558" s="16"/>
      <c r="X1558" s="16"/>
      <c r="Y1558" s="16"/>
      <c r="Z1558" s="16"/>
      <c r="AA1558" s="16"/>
      <c r="AB1558" s="16"/>
      <c r="AC1558" s="16"/>
      <c r="AD1558" s="16"/>
      <c r="AE1558" s="16"/>
      <c r="AF1558" s="16"/>
      <c r="AG1558" s="16"/>
      <c r="AH1558" s="16"/>
      <c r="AI1558" s="16"/>
      <c r="AJ1558" s="16"/>
      <c r="AK1558" s="16"/>
      <c r="AL1558" s="16"/>
      <c r="AM1558" s="16"/>
      <c r="AN1558" s="16"/>
      <c r="AO1558" s="16"/>
      <c r="AP1558" s="16"/>
      <c r="AQ1558" s="16"/>
      <c r="AR1558" s="16"/>
      <c r="AS1558" s="16"/>
      <c r="AT1558" s="16"/>
      <c r="AU1558" s="16"/>
      <c r="AV1558" s="16"/>
      <c r="AW1558" s="16"/>
      <c r="AX1558" s="16"/>
      <c r="AY1558" s="16"/>
      <c r="AZ1558" s="16"/>
      <c r="BA1558" s="16"/>
      <c r="BB1558" s="16"/>
      <c r="BC1558" s="16"/>
      <c r="BD1558" s="16"/>
      <c r="BE1558" s="16"/>
      <c r="BF1558" s="16"/>
      <c r="BG1558" s="16"/>
      <c r="BH1558" s="16"/>
      <c r="BI1558" s="16"/>
      <c r="BJ1558" s="16"/>
      <c r="BK1558" s="16"/>
      <c r="BL1558" s="16"/>
      <c r="BM1558" s="16"/>
      <c r="BN1558" s="16"/>
      <c r="BO1558" s="16"/>
      <c r="BP1558" s="16"/>
      <c r="BQ1558" s="16"/>
      <c r="BR1558" s="16"/>
      <c r="BS1558" s="16"/>
      <c r="BT1558" s="16"/>
      <c r="BU1558" s="16"/>
      <c r="BV1558" s="16"/>
      <c r="BW1558" s="16"/>
      <c r="BX1558" s="16"/>
      <c r="BY1558" s="16"/>
      <c r="BZ1558" s="16"/>
      <c r="CA1558" s="16"/>
      <c r="CB1558" s="16"/>
      <c r="CC1558" s="16"/>
      <c r="CD1558" s="16"/>
      <c r="CE1558" s="16"/>
      <c r="CF1558" s="16"/>
      <c r="CG1558" s="16"/>
      <c r="CH1558" s="16"/>
      <c r="CI1558" s="16"/>
      <c r="CJ1558" s="16"/>
      <c r="CK1558" s="16"/>
      <c r="CL1558" s="16"/>
      <c r="CM1558" s="16"/>
      <c r="CN1558" s="16"/>
      <c r="CO1558" s="16"/>
      <c r="CP1558" s="16"/>
      <c r="CQ1558" s="16"/>
      <c r="CR1558" s="16"/>
      <c r="CS1558" s="16"/>
      <c r="CT1558" s="16"/>
      <c r="CU1558" s="16"/>
      <c r="CV1558" s="16"/>
      <c r="CW1558" s="16"/>
      <c r="CX1558" s="16"/>
      <c r="CY1558" s="16"/>
      <c r="CZ1558" s="16"/>
      <c r="DA1558" s="16"/>
      <c r="DB1558" s="16"/>
      <c r="DC1558" s="16"/>
      <c r="DD1558" s="16"/>
      <c r="DE1558" s="16"/>
      <c r="DF1558" s="16"/>
    </row>
    <row r="1559" spans="8:110" x14ac:dyDescent="0.3">
      <c r="H1559" s="4">
        <f t="shared" si="204"/>
        <v>0</v>
      </c>
      <c r="K1559" s="3"/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  <c r="V1559" s="16"/>
      <c r="W1559" s="16"/>
      <c r="X1559" s="16"/>
      <c r="Y1559" s="16"/>
      <c r="Z1559" s="16"/>
      <c r="AA1559" s="16"/>
      <c r="AB1559" s="16"/>
      <c r="AC1559" s="16"/>
      <c r="AD1559" s="16"/>
      <c r="AE1559" s="16"/>
      <c r="AF1559" s="16"/>
      <c r="AG1559" s="16"/>
      <c r="AH1559" s="16"/>
      <c r="AI1559" s="16"/>
      <c r="AJ1559" s="16"/>
      <c r="AK1559" s="16"/>
      <c r="AL1559" s="16"/>
      <c r="AM1559" s="16"/>
      <c r="AN1559" s="16"/>
      <c r="AO1559" s="16"/>
      <c r="AP1559" s="16"/>
      <c r="AQ1559" s="16"/>
      <c r="AR1559" s="16"/>
      <c r="AS1559" s="16"/>
      <c r="AT1559" s="16"/>
      <c r="AU1559" s="16"/>
      <c r="AV1559" s="16"/>
      <c r="AW1559" s="16"/>
      <c r="AX1559" s="16"/>
      <c r="AY1559" s="16"/>
      <c r="AZ1559" s="16"/>
      <c r="BA1559" s="16"/>
      <c r="BB1559" s="16"/>
      <c r="BC1559" s="16"/>
      <c r="BD1559" s="16"/>
      <c r="BE1559" s="16"/>
      <c r="BF1559" s="16"/>
      <c r="BG1559" s="16"/>
      <c r="BH1559" s="16"/>
      <c r="BI1559" s="16"/>
      <c r="BJ1559" s="16"/>
      <c r="BK1559" s="16"/>
      <c r="BL1559" s="16"/>
      <c r="BM1559" s="16"/>
      <c r="BN1559" s="16"/>
      <c r="BO1559" s="16"/>
      <c r="BP1559" s="16"/>
      <c r="BQ1559" s="16"/>
      <c r="BR1559" s="16"/>
      <c r="BS1559" s="16"/>
      <c r="BT1559" s="16"/>
      <c r="BU1559" s="16"/>
      <c r="BV1559" s="16"/>
      <c r="BW1559" s="16"/>
      <c r="BX1559" s="16"/>
      <c r="BY1559" s="16"/>
      <c r="BZ1559" s="16"/>
      <c r="CA1559" s="16"/>
      <c r="CB1559" s="16"/>
      <c r="CC1559" s="16"/>
      <c r="CD1559" s="16"/>
      <c r="CE1559" s="16"/>
      <c r="CF1559" s="16"/>
      <c r="CG1559" s="16"/>
      <c r="CH1559" s="16"/>
      <c r="CI1559" s="16"/>
      <c r="CJ1559" s="16"/>
      <c r="CK1559" s="16"/>
      <c r="CL1559" s="16"/>
      <c r="CM1559" s="16"/>
      <c r="CN1559" s="16"/>
      <c r="CO1559" s="16"/>
      <c r="CP1559" s="16"/>
      <c r="CQ1559" s="16"/>
      <c r="CR1559" s="16"/>
      <c r="CS1559" s="16"/>
      <c r="CT1559" s="16"/>
      <c r="CU1559" s="16"/>
      <c r="CV1559" s="16"/>
      <c r="CW1559" s="16"/>
      <c r="CX1559" s="16"/>
      <c r="CY1559" s="16"/>
      <c r="CZ1559" s="16"/>
      <c r="DA1559" s="16"/>
      <c r="DB1559" s="16"/>
      <c r="DC1559" s="16"/>
      <c r="DD1559" s="16"/>
      <c r="DE1559" s="16"/>
      <c r="DF1559" s="16"/>
    </row>
    <row r="1560" spans="8:110" x14ac:dyDescent="0.3">
      <c r="H1560" s="4">
        <f t="shared" si="204"/>
        <v>0</v>
      </c>
      <c r="K1560" s="3"/>
      <c r="L1560" s="16"/>
      <c r="M1560" s="16"/>
      <c r="N1560" s="16"/>
      <c r="O1560" s="16"/>
      <c r="P1560" s="16"/>
      <c r="Q1560" s="16"/>
      <c r="R1560" s="16"/>
      <c r="S1560" s="16"/>
      <c r="T1560" s="16"/>
      <c r="U1560" s="16"/>
      <c r="V1560" s="16"/>
      <c r="W1560" s="16"/>
      <c r="X1560" s="16"/>
      <c r="Y1560" s="16"/>
      <c r="Z1560" s="16"/>
      <c r="AA1560" s="16"/>
      <c r="AB1560" s="16"/>
      <c r="AC1560" s="16"/>
      <c r="AD1560" s="16"/>
      <c r="AE1560" s="16"/>
      <c r="AF1560" s="16"/>
      <c r="AG1560" s="16"/>
      <c r="AH1560" s="16"/>
      <c r="AI1560" s="16"/>
      <c r="AJ1560" s="16"/>
      <c r="AK1560" s="16"/>
      <c r="AL1560" s="16"/>
      <c r="AM1560" s="16"/>
      <c r="AN1560" s="16"/>
      <c r="AO1560" s="16"/>
      <c r="AP1560" s="16"/>
      <c r="AQ1560" s="16"/>
      <c r="AR1560" s="16"/>
      <c r="AS1560" s="16"/>
      <c r="AT1560" s="16"/>
      <c r="AU1560" s="16"/>
      <c r="AV1560" s="16"/>
      <c r="AW1560" s="16"/>
      <c r="AX1560" s="16"/>
      <c r="AY1560" s="16"/>
      <c r="AZ1560" s="16"/>
      <c r="BA1560" s="16"/>
      <c r="BB1560" s="16"/>
      <c r="BC1560" s="16"/>
      <c r="BD1560" s="16"/>
      <c r="BE1560" s="16"/>
      <c r="BF1560" s="16"/>
      <c r="BG1560" s="16"/>
      <c r="BH1560" s="16"/>
      <c r="BI1560" s="16"/>
      <c r="BJ1560" s="16"/>
      <c r="BK1560" s="16"/>
      <c r="BL1560" s="16"/>
      <c r="BM1560" s="16"/>
      <c r="BN1560" s="16"/>
      <c r="BO1560" s="16"/>
      <c r="BP1560" s="16"/>
      <c r="BQ1560" s="16"/>
      <c r="BR1560" s="16"/>
      <c r="BS1560" s="16"/>
      <c r="BT1560" s="16"/>
      <c r="BU1560" s="16"/>
      <c r="BV1560" s="16"/>
      <c r="BW1560" s="16"/>
      <c r="BX1560" s="16"/>
      <c r="BY1560" s="16"/>
      <c r="BZ1560" s="16"/>
      <c r="CA1560" s="16"/>
      <c r="CB1560" s="16"/>
      <c r="CC1560" s="16"/>
      <c r="CD1560" s="16"/>
      <c r="CE1560" s="16"/>
      <c r="CF1560" s="16"/>
      <c r="CG1560" s="16"/>
      <c r="CH1560" s="16"/>
      <c r="CI1560" s="16"/>
      <c r="CJ1560" s="16"/>
      <c r="CK1560" s="16"/>
      <c r="CL1560" s="16"/>
      <c r="CM1560" s="16"/>
      <c r="CN1560" s="16"/>
      <c r="CO1560" s="16"/>
      <c r="CP1560" s="16"/>
      <c r="CQ1560" s="16"/>
      <c r="CR1560" s="16"/>
      <c r="CS1560" s="16"/>
      <c r="CT1560" s="16"/>
      <c r="CU1560" s="16"/>
      <c r="CV1560" s="16"/>
      <c r="CW1560" s="16"/>
      <c r="CX1560" s="16"/>
      <c r="CY1560" s="16"/>
      <c r="CZ1560" s="16"/>
      <c r="DA1560" s="16"/>
      <c r="DB1560" s="16"/>
      <c r="DC1560" s="16"/>
      <c r="DD1560" s="16"/>
      <c r="DE1560" s="16"/>
      <c r="DF1560" s="16"/>
    </row>
    <row r="1561" spans="8:110" x14ac:dyDescent="0.3">
      <c r="H1561" s="4">
        <f t="shared" si="204"/>
        <v>0</v>
      </c>
      <c r="K1561" s="3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  <c r="Z1561" s="16"/>
      <c r="AA1561" s="16"/>
      <c r="AB1561" s="16"/>
      <c r="AC1561" s="16"/>
      <c r="AD1561" s="16"/>
      <c r="AE1561" s="16"/>
      <c r="AF1561" s="16"/>
      <c r="AG1561" s="16"/>
      <c r="AH1561" s="16"/>
      <c r="AI1561" s="16"/>
      <c r="AJ1561" s="16"/>
      <c r="AK1561" s="16"/>
      <c r="AL1561" s="16"/>
      <c r="AM1561" s="16"/>
      <c r="AN1561" s="16"/>
      <c r="AO1561" s="16"/>
      <c r="AP1561" s="16"/>
      <c r="AQ1561" s="16"/>
      <c r="AR1561" s="16"/>
      <c r="AS1561" s="16"/>
      <c r="AT1561" s="16"/>
      <c r="AU1561" s="16"/>
      <c r="AV1561" s="16"/>
      <c r="AW1561" s="16"/>
      <c r="AX1561" s="16"/>
      <c r="AY1561" s="16"/>
      <c r="AZ1561" s="16"/>
      <c r="BA1561" s="16"/>
      <c r="BB1561" s="16"/>
      <c r="BC1561" s="16"/>
      <c r="BD1561" s="16"/>
      <c r="BE1561" s="16"/>
      <c r="BF1561" s="16"/>
      <c r="BG1561" s="16"/>
      <c r="BH1561" s="16"/>
      <c r="BI1561" s="16"/>
      <c r="BJ1561" s="16"/>
      <c r="BK1561" s="16"/>
      <c r="BL1561" s="16"/>
      <c r="BM1561" s="16"/>
      <c r="BN1561" s="16"/>
      <c r="BO1561" s="16"/>
      <c r="BP1561" s="16"/>
      <c r="BQ1561" s="16"/>
      <c r="BR1561" s="16"/>
      <c r="BS1561" s="16"/>
      <c r="BT1561" s="16"/>
      <c r="BU1561" s="16"/>
      <c r="BV1561" s="16"/>
      <c r="BW1561" s="16"/>
      <c r="BX1561" s="16"/>
      <c r="BY1561" s="16"/>
      <c r="BZ1561" s="16"/>
      <c r="CA1561" s="16"/>
      <c r="CB1561" s="16"/>
      <c r="CC1561" s="16"/>
      <c r="CD1561" s="16"/>
      <c r="CE1561" s="16"/>
      <c r="CF1561" s="16"/>
      <c r="CG1561" s="16"/>
      <c r="CH1561" s="16"/>
      <c r="CI1561" s="16"/>
      <c r="CJ1561" s="16"/>
      <c r="CK1561" s="16"/>
      <c r="CL1561" s="16"/>
      <c r="CM1561" s="16"/>
      <c r="CN1561" s="16"/>
      <c r="CO1561" s="16"/>
      <c r="CP1561" s="16"/>
      <c r="CQ1561" s="16"/>
      <c r="CR1561" s="16"/>
      <c r="CS1561" s="16"/>
      <c r="CT1561" s="16"/>
      <c r="CU1561" s="16"/>
      <c r="CV1561" s="16"/>
      <c r="CW1561" s="16"/>
      <c r="CX1561" s="16"/>
      <c r="CY1561" s="16"/>
      <c r="CZ1561" s="16"/>
      <c r="DA1561" s="16"/>
      <c r="DB1561" s="16"/>
      <c r="DC1561" s="16"/>
      <c r="DD1561" s="16"/>
      <c r="DE1561" s="16"/>
      <c r="DF1561" s="16"/>
    </row>
    <row r="1562" spans="8:110" x14ac:dyDescent="0.3">
      <c r="H1562" s="4">
        <f t="shared" si="204"/>
        <v>0</v>
      </c>
      <c r="K1562" s="3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16"/>
      <c r="AA1562" s="16"/>
      <c r="AB1562" s="16"/>
      <c r="AC1562" s="16"/>
      <c r="AD1562" s="16"/>
      <c r="AE1562" s="16"/>
      <c r="AF1562" s="16"/>
      <c r="AG1562" s="16"/>
      <c r="AH1562" s="16"/>
      <c r="AI1562" s="16"/>
      <c r="AJ1562" s="16"/>
      <c r="AK1562" s="16"/>
      <c r="AL1562" s="16"/>
      <c r="AM1562" s="16"/>
      <c r="AN1562" s="16"/>
      <c r="AO1562" s="16"/>
      <c r="AP1562" s="16"/>
      <c r="AQ1562" s="16"/>
      <c r="AR1562" s="16"/>
      <c r="AS1562" s="16"/>
      <c r="AT1562" s="16"/>
      <c r="AU1562" s="16"/>
      <c r="AV1562" s="16"/>
      <c r="AW1562" s="16"/>
      <c r="AX1562" s="16"/>
      <c r="AY1562" s="16"/>
      <c r="AZ1562" s="16"/>
      <c r="BA1562" s="16"/>
      <c r="BB1562" s="16"/>
      <c r="BC1562" s="16"/>
      <c r="BD1562" s="16"/>
      <c r="BE1562" s="16"/>
      <c r="BF1562" s="16"/>
      <c r="BG1562" s="16"/>
      <c r="BH1562" s="16"/>
      <c r="BI1562" s="16"/>
      <c r="BJ1562" s="16"/>
      <c r="BK1562" s="16"/>
      <c r="BL1562" s="16"/>
      <c r="BM1562" s="16"/>
      <c r="BN1562" s="16"/>
      <c r="BO1562" s="16"/>
      <c r="BP1562" s="16"/>
      <c r="BQ1562" s="16"/>
      <c r="BR1562" s="16"/>
      <c r="BS1562" s="16"/>
      <c r="BT1562" s="16"/>
      <c r="BU1562" s="16"/>
      <c r="BV1562" s="16"/>
      <c r="BW1562" s="16"/>
      <c r="BX1562" s="16"/>
      <c r="BY1562" s="16"/>
      <c r="BZ1562" s="16"/>
      <c r="CA1562" s="16"/>
      <c r="CB1562" s="16"/>
      <c r="CC1562" s="16"/>
      <c r="CD1562" s="16"/>
      <c r="CE1562" s="16"/>
      <c r="CF1562" s="16"/>
      <c r="CG1562" s="16"/>
      <c r="CH1562" s="16"/>
      <c r="CI1562" s="16"/>
      <c r="CJ1562" s="16"/>
      <c r="CK1562" s="16"/>
      <c r="CL1562" s="16"/>
      <c r="CM1562" s="16"/>
      <c r="CN1562" s="16"/>
      <c r="CO1562" s="16"/>
      <c r="CP1562" s="16"/>
      <c r="CQ1562" s="16"/>
      <c r="CR1562" s="16"/>
      <c r="CS1562" s="16"/>
      <c r="CT1562" s="16"/>
      <c r="CU1562" s="16"/>
      <c r="CV1562" s="16"/>
      <c r="CW1562" s="16"/>
      <c r="CX1562" s="16"/>
      <c r="CY1562" s="16"/>
      <c r="CZ1562" s="16"/>
      <c r="DA1562" s="16"/>
      <c r="DB1562" s="16"/>
      <c r="DC1562" s="16"/>
      <c r="DD1562" s="16"/>
      <c r="DE1562" s="16"/>
      <c r="DF1562" s="16"/>
    </row>
    <row r="1563" spans="8:110" x14ac:dyDescent="0.3">
      <c r="H1563" s="4">
        <f t="shared" si="204"/>
        <v>0</v>
      </c>
      <c r="K1563" s="3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16"/>
      <c r="AA1563" s="16"/>
      <c r="AB1563" s="16"/>
      <c r="AC1563" s="16"/>
      <c r="AD1563" s="16"/>
      <c r="AE1563" s="16"/>
      <c r="AF1563" s="16"/>
      <c r="AG1563" s="16"/>
      <c r="AH1563" s="16"/>
      <c r="AI1563" s="16"/>
      <c r="AJ1563" s="16"/>
      <c r="AK1563" s="16"/>
      <c r="AL1563" s="16"/>
      <c r="AM1563" s="16"/>
      <c r="AN1563" s="16"/>
      <c r="AO1563" s="16"/>
      <c r="AP1563" s="16"/>
      <c r="AQ1563" s="16"/>
      <c r="AR1563" s="16"/>
      <c r="AS1563" s="16"/>
      <c r="AT1563" s="16"/>
      <c r="AU1563" s="16"/>
      <c r="AV1563" s="16"/>
      <c r="AW1563" s="16"/>
      <c r="AX1563" s="16"/>
      <c r="AY1563" s="16"/>
      <c r="AZ1563" s="16"/>
      <c r="BA1563" s="16"/>
      <c r="BB1563" s="16"/>
      <c r="BC1563" s="16"/>
      <c r="BD1563" s="16"/>
      <c r="BE1563" s="16"/>
      <c r="BF1563" s="16"/>
      <c r="BG1563" s="16"/>
      <c r="BH1563" s="16"/>
      <c r="BI1563" s="16"/>
      <c r="BJ1563" s="16"/>
      <c r="BK1563" s="16"/>
      <c r="BL1563" s="16"/>
      <c r="BM1563" s="16"/>
      <c r="BN1563" s="16"/>
      <c r="BO1563" s="16"/>
      <c r="BP1563" s="16"/>
      <c r="BQ1563" s="16"/>
      <c r="BR1563" s="16"/>
      <c r="BS1563" s="16"/>
      <c r="BT1563" s="16"/>
      <c r="BU1563" s="16"/>
      <c r="BV1563" s="16"/>
      <c r="BW1563" s="16"/>
      <c r="BX1563" s="16"/>
      <c r="BY1563" s="16"/>
      <c r="BZ1563" s="16"/>
      <c r="CA1563" s="16"/>
      <c r="CB1563" s="16"/>
      <c r="CC1563" s="16"/>
      <c r="CD1563" s="16"/>
      <c r="CE1563" s="16"/>
      <c r="CF1563" s="16"/>
      <c r="CG1563" s="16"/>
      <c r="CH1563" s="16"/>
      <c r="CI1563" s="16"/>
      <c r="CJ1563" s="16"/>
      <c r="CK1563" s="16"/>
      <c r="CL1563" s="16"/>
      <c r="CM1563" s="16"/>
      <c r="CN1563" s="16"/>
      <c r="CO1563" s="16"/>
      <c r="CP1563" s="16"/>
      <c r="CQ1563" s="16"/>
      <c r="CR1563" s="16"/>
      <c r="CS1563" s="16"/>
      <c r="CT1563" s="16"/>
      <c r="CU1563" s="16"/>
      <c r="CV1563" s="16"/>
      <c r="CW1563" s="16"/>
      <c r="CX1563" s="16"/>
      <c r="CY1563" s="16"/>
      <c r="CZ1563" s="16"/>
      <c r="DA1563" s="16"/>
      <c r="DB1563" s="16"/>
      <c r="DC1563" s="16"/>
      <c r="DD1563" s="16"/>
      <c r="DE1563" s="16"/>
      <c r="DF1563" s="16"/>
    </row>
    <row r="1564" spans="8:110" x14ac:dyDescent="0.3">
      <c r="H1564" s="4">
        <f t="shared" si="204"/>
        <v>0</v>
      </c>
      <c r="K1564" s="3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  <c r="Y1564" s="16"/>
      <c r="Z1564" s="16"/>
      <c r="AA1564" s="16"/>
      <c r="AB1564" s="16"/>
      <c r="AC1564" s="16"/>
      <c r="AD1564" s="16"/>
      <c r="AE1564" s="16"/>
      <c r="AF1564" s="16"/>
      <c r="AG1564" s="16"/>
      <c r="AH1564" s="16"/>
      <c r="AI1564" s="16"/>
      <c r="AJ1564" s="16"/>
      <c r="AK1564" s="16"/>
      <c r="AL1564" s="16"/>
      <c r="AM1564" s="16"/>
      <c r="AN1564" s="16"/>
      <c r="AO1564" s="16"/>
      <c r="AP1564" s="16"/>
      <c r="AQ1564" s="16"/>
      <c r="AR1564" s="16"/>
      <c r="AS1564" s="16"/>
      <c r="AT1564" s="16"/>
      <c r="AU1564" s="16"/>
      <c r="AV1564" s="16"/>
      <c r="AW1564" s="16"/>
      <c r="AX1564" s="16"/>
      <c r="AY1564" s="16"/>
      <c r="AZ1564" s="16"/>
      <c r="BA1564" s="16"/>
      <c r="BB1564" s="16"/>
      <c r="BC1564" s="16"/>
      <c r="BD1564" s="16"/>
      <c r="BE1564" s="16"/>
      <c r="BF1564" s="16"/>
      <c r="BG1564" s="16"/>
      <c r="BH1564" s="16"/>
      <c r="BI1564" s="16"/>
      <c r="BJ1564" s="16"/>
      <c r="BK1564" s="16"/>
      <c r="BL1564" s="16"/>
      <c r="BM1564" s="16"/>
      <c r="BN1564" s="16"/>
      <c r="BO1564" s="16"/>
      <c r="BP1564" s="16"/>
      <c r="BQ1564" s="16"/>
      <c r="BR1564" s="16"/>
      <c r="BS1564" s="16"/>
      <c r="BT1564" s="16"/>
      <c r="BU1564" s="16"/>
      <c r="BV1564" s="16"/>
      <c r="BW1564" s="16"/>
      <c r="BX1564" s="16"/>
      <c r="BY1564" s="16"/>
      <c r="BZ1564" s="16"/>
      <c r="CA1564" s="16"/>
      <c r="CB1564" s="16"/>
      <c r="CC1564" s="16"/>
      <c r="CD1564" s="16"/>
      <c r="CE1564" s="16"/>
      <c r="CF1564" s="16"/>
      <c r="CG1564" s="16"/>
      <c r="CH1564" s="16"/>
      <c r="CI1564" s="16"/>
      <c r="CJ1564" s="16"/>
      <c r="CK1564" s="16"/>
      <c r="CL1564" s="16"/>
      <c r="CM1564" s="16"/>
      <c r="CN1564" s="16"/>
      <c r="CO1564" s="16"/>
      <c r="CP1564" s="16"/>
      <c r="CQ1564" s="16"/>
      <c r="CR1564" s="16"/>
      <c r="CS1564" s="16"/>
      <c r="CT1564" s="16"/>
      <c r="CU1564" s="16"/>
      <c r="CV1564" s="16"/>
      <c r="CW1564" s="16"/>
      <c r="CX1564" s="16"/>
      <c r="CY1564" s="16"/>
      <c r="CZ1564" s="16"/>
      <c r="DA1564" s="16"/>
      <c r="DB1564" s="16"/>
      <c r="DC1564" s="16"/>
      <c r="DD1564" s="16"/>
      <c r="DE1564" s="16"/>
      <c r="DF1564" s="16"/>
    </row>
    <row r="1565" spans="8:110" x14ac:dyDescent="0.3">
      <c r="H1565" s="4">
        <f t="shared" si="204"/>
        <v>0</v>
      </c>
      <c r="K1565" s="3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16"/>
      <c r="AA1565" s="16"/>
      <c r="AB1565" s="16"/>
      <c r="AC1565" s="16"/>
      <c r="AD1565" s="16"/>
      <c r="AE1565" s="16"/>
      <c r="AF1565" s="16"/>
      <c r="AG1565" s="16"/>
      <c r="AH1565" s="16"/>
      <c r="AI1565" s="16"/>
      <c r="AJ1565" s="16"/>
      <c r="AK1565" s="16"/>
      <c r="AL1565" s="16"/>
      <c r="AM1565" s="16"/>
      <c r="AN1565" s="16"/>
      <c r="AO1565" s="16"/>
      <c r="AP1565" s="16"/>
      <c r="AQ1565" s="16"/>
      <c r="AR1565" s="16"/>
      <c r="AS1565" s="16"/>
      <c r="AT1565" s="16"/>
      <c r="AU1565" s="16"/>
      <c r="AV1565" s="16"/>
      <c r="AW1565" s="16"/>
      <c r="AX1565" s="16"/>
      <c r="AY1565" s="16"/>
      <c r="AZ1565" s="16"/>
      <c r="BA1565" s="16"/>
      <c r="BB1565" s="16"/>
      <c r="BC1565" s="16"/>
      <c r="BD1565" s="16"/>
      <c r="BE1565" s="16"/>
      <c r="BF1565" s="16"/>
      <c r="BG1565" s="16"/>
      <c r="BH1565" s="16"/>
      <c r="BI1565" s="16"/>
      <c r="BJ1565" s="16"/>
      <c r="BK1565" s="16"/>
      <c r="BL1565" s="16"/>
      <c r="BM1565" s="16"/>
      <c r="BN1565" s="16"/>
      <c r="BO1565" s="16"/>
      <c r="BP1565" s="16"/>
      <c r="BQ1565" s="16"/>
      <c r="BR1565" s="16"/>
      <c r="BS1565" s="16"/>
      <c r="BT1565" s="16"/>
      <c r="BU1565" s="16"/>
      <c r="BV1565" s="16"/>
      <c r="BW1565" s="16"/>
      <c r="BX1565" s="16"/>
      <c r="BY1565" s="16"/>
      <c r="BZ1565" s="16"/>
      <c r="CA1565" s="16"/>
      <c r="CB1565" s="16"/>
      <c r="CC1565" s="16"/>
      <c r="CD1565" s="16"/>
      <c r="CE1565" s="16"/>
      <c r="CF1565" s="16"/>
      <c r="CG1565" s="16"/>
      <c r="CH1565" s="16"/>
      <c r="CI1565" s="16"/>
      <c r="CJ1565" s="16"/>
      <c r="CK1565" s="16"/>
      <c r="CL1565" s="16"/>
      <c r="CM1565" s="16"/>
      <c r="CN1565" s="16"/>
      <c r="CO1565" s="16"/>
      <c r="CP1565" s="16"/>
      <c r="CQ1565" s="16"/>
      <c r="CR1565" s="16"/>
      <c r="CS1565" s="16"/>
      <c r="CT1565" s="16"/>
      <c r="CU1565" s="16"/>
      <c r="CV1565" s="16"/>
      <c r="CW1565" s="16"/>
      <c r="CX1565" s="16"/>
      <c r="CY1565" s="16"/>
      <c r="CZ1565" s="16"/>
      <c r="DA1565" s="16"/>
      <c r="DB1565" s="16"/>
      <c r="DC1565" s="16"/>
      <c r="DD1565" s="16"/>
      <c r="DE1565" s="16"/>
      <c r="DF1565" s="16"/>
    </row>
    <row r="1566" spans="8:110" x14ac:dyDescent="0.3">
      <c r="H1566" s="4">
        <f t="shared" si="204"/>
        <v>0</v>
      </c>
      <c r="K1566" s="3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16"/>
      <c r="AA1566" s="16"/>
      <c r="AB1566" s="16"/>
      <c r="AC1566" s="16"/>
      <c r="AD1566" s="16"/>
      <c r="AE1566" s="16"/>
      <c r="AF1566" s="16"/>
      <c r="AG1566" s="16"/>
      <c r="AH1566" s="16"/>
      <c r="AI1566" s="16"/>
      <c r="AJ1566" s="16"/>
      <c r="AK1566" s="16"/>
      <c r="AL1566" s="16"/>
      <c r="AM1566" s="16"/>
      <c r="AN1566" s="16"/>
      <c r="AO1566" s="16"/>
      <c r="AP1566" s="16"/>
      <c r="AQ1566" s="16"/>
      <c r="AR1566" s="16"/>
      <c r="AS1566" s="16"/>
      <c r="AT1566" s="16"/>
      <c r="AU1566" s="16"/>
      <c r="AV1566" s="16"/>
      <c r="AW1566" s="16"/>
      <c r="AX1566" s="16"/>
      <c r="AY1566" s="16"/>
      <c r="AZ1566" s="16"/>
      <c r="BA1566" s="16"/>
      <c r="BB1566" s="16"/>
      <c r="BC1566" s="16"/>
      <c r="BD1566" s="16"/>
      <c r="BE1566" s="16"/>
      <c r="BF1566" s="16"/>
      <c r="BG1566" s="16"/>
      <c r="BH1566" s="16"/>
      <c r="BI1566" s="16"/>
      <c r="BJ1566" s="16"/>
      <c r="BK1566" s="16"/>
      <c r="BL1566" s="16"/>
      <c r="BM1566" s="16"/>
      <c r="BN1566" s="16"/>
      <c r="BO1566" s="16"/>
      <c r="BP1566" s="16"/>
      <c r="BQ1566" s="16"/>
      <c r="BR1566" s="16"/>
      <c r="BS1566" s="16"/>
      <c r="BT1566" s="16"/>
      <c r="BU1566" s="16"/>
      <c r="BV1566" s="16"/>
      <c r="BW1566" s="16"/>
      <c r="BX1566" s="16"/>
      <c r="BY1566" s="16"/>
      <c r="BZ1566" s="16"/>
      <c r="CA1566" s="16"/>
      <c r="CB1566" s="16"/>
      <c r="CC1566" s="16"/>
      <c r="CD1566" s="16"/>
      <c r="CE1566" s="16"/>
      <c r="CF1566" s="16"/>
      <c r="CG1566" s="16"/>
      <c r="CH1566" s="16"/>
      <c r="CI1566" s="16"/>
      <c r="CJ1566" s="16"/>
      <c r="CK1566" s="16"/>
      <c r="CL1566" s="16"/>
      <c r="CM1566" s="16"/>
      <c r="CN1566" s="16"/>
      <c r="CO1566" s="16"/>
      <c r="CP1566" s="16"/>
      <c r="CQ1566" s="16"/>
      <c r="CR1566" s="16"/>
      <c r="CS1566" s="16"/>
      <c r="CT1566" s="16"/>
      <c r="CU1566" s="16"/>
      <c r="CV1566" s="16"/>
      <c r="CW1566" s="16"/>
      <c r="CX1566" s="16"/>
      <c r="CY1566" s="16"/>
      <c r="CZ1566" s="16"/>
      <c r="DA1566" s="16"/>
      <c r="DB1566" s="16"/>
      <c r="DC1566" s="16"/>
      <c r="DD1566" s="16"/>
      <c r="DE1566" s="16"/>
      <c r="DF1566" s="16"/>
    </row>
    <row r="1567" spans="8:110" x14ac:dyDescent="0.3">
      <c r="H1567" s="4">
        <f t="shared" si="204"/>
        <v>0</v>
      </c>
      <c r="K1567" s="3"/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/>
      <c r="W1567" s="16"/>
      <c r="X1567" s="16"/>
      <c r="Y1567" s="16"/>
      <c r="Z1567" s="16"/>
      <c r="AA1567" s="16"/>
      <c r="AB1567" s="16"/>
      <c r="AC1567" s="16"/>
      <c r="AD1567" s="16"/>
      <c r="AE1567" s="16"/>
      <c r="AF1567" s="16"/>
      <c r="AG1567" s="16"/>
      <c r="AH1567" s="16"/>
      <c r="AI1567" s="16"/>
      <c r="AJ1567" s="16"/>
      <c r="AK1567" s="16"/>
      <c r="AL1567" s="16"/>
      <c r="AM1567" s="16"/>
      <c r="AN1567" s="16"/>
      <c r="AO1567" s="16"/>
      <c r="AP1567" s="16"/>
      <c r="AQ1567" s="16"/>
      <c r="AR1567" s="16"/>
      <c r="AS1567" s="16"/>
      <c r="AT1567" s="16"/>
      <c r="AU1567" s="16"/>
      <c r="AV1567" s="16"/>
      <c r="AW1567" s="16"/>
      <c r="AX1567" s="16"/>
      <c r="AY1567" s="16"/>
      <c r="AZ1567" s="16"/>
      <c r="BA1567" s="16"/>
      <c r="BB1567" s="16"/>
      <c r="BC1567" s="16"/>
      <c r="BD1567" s="16"/>
      <c r="BE1567" s="16"/>
      <c r="BF1567" s="16"/>
      <c r="BG1567" s="16"/>
      <c r="BH1567" s="16"/>
      <c r="BI1567" s="16"/>
      <c r="BJ1567" s="16"/>
      <c r="BK1567" s="16"/>
      <c r="BL1567" s="16"/>
      <c r="BM1567" s="16"/>
      <c r="BN1567" s="16"/>
      <c r="BO1567" s="16"/>
      <c r="BP1567" s="16"/>
      <c r="BQ1567" s="16"/>
      <c r="BR1567" s="16"/>
      <c r="BS1567" s="16"/>
      <c r="BT1567" s="16"/>
      <c r="BU1567" s="16"/>
      <c r="BV1567" s="16"/>
      <c r="BW1567" s="16"/>
      <c r="BX1567" s="16"/>
      <c r="BY1567" s="16"/>
      <c r="BZ1567" s="16"/>
      <c r="CA1567" s="16"/>
      <c r="CB1567" s="16"/>
      <c r="CC1567" s="16"/>
      <c r="CD1567" s="16"/>
      <c r="CE1567" s="16"/>
      <c r="CF1567" s="16"/>
      <c r="CG1567" s="16"/>
      <c r="CH1567" s="16"/>
      <c r="CI1567" s="16"/>
      <c r="CJ1567" s="16"/>
      <c r="CK1567" s="16"/>
      <c r="CL1567" s="16"/>
      <c r="CM1567" s="16"/>
      <c r="CN1567" s="16"/>
      <c r="CO1567" s="16"/>
      <c r="CP1567" s="16"/>
      <c r="CQ1567" s="16"/>
      <c r="CR1567" s="16"/>
      <c r="CS1567" s="16"/>
      <c r="CT1567" s="16"/>
      <c r="CU1567" s="16"/>
      <c r="CV1567" s="16"/>
      <c r="CW1567" s="16"/>
      <c r="CX1567" s="16"/>
      <c r="CY1567" s="16"/>
      <c r="CZ1567" s="16"/>
      <c r="DA1567" s="16"/>
      <c r="DB1567" s="16"/>
      <c r="DC1567" s="16"/>
      <c r="DD1567" s="16"/>
      <c r="DE1567" s="16"/>
      <c r="DF1567" s="16"/>
    </row>
    <row r="1568" spans="8:110" x14ac:dyDescent="0.3">
      <c r="H1568" s="4">
        <f t="shared" si="204"/>
        <v>0</v>
      </c>
      <c r="K1568" s="3"/>
      <c r="L1568" s="16"/>
      <c r="M1568" s="16"/>
      <c r="N1568" s="16"/>
      <c r="O1568" s="16"/>
      <c r="P1568" s="16"/>
      <c r="Q1568" s="16"/>
      <c r="R1568" s="16"/>
      <c r="S1568" s="16"/>
      <c r="T1568" s="16"/>
      <c r="U1568" s="16"/>
      <c r="V1568" s="16"/>
      <c r="W1568" s="16"/>
      <c r="X1568" s="16"/>
      <c r="Y1568" s="16"/>
      <c r="Z1568" s="16"/>
      <c r="AA1568" s="16"/>
      <c r="AB1568" s="16"/>
      <c r="AC1568" s="16"/>
      <c r="AD1568" s="16"/>
      <c r="AE1568" s="16"/>
      <c r="AF1568" s="16"/>
      <c r="AG1568" s="16"/>
      <c r="AH1568" s="16"/>
      <c r="AI1568" s="16"/>
      <c r="AJ1568" s="16"/>
      <c r="AK1568" s="16"/>
      <c r="AL1568" s="16"/>
      <c r="AM1568" s="16"/>
      <c r="AN1568" s="16"/>
      <c r="AO1568" s="16"/>
      <c r="AP1568" s="16"/>
      <c r="AQ1568" s="16"/>
      <c r="AR1568" s="16"/>
      <c r="AS1568" s="16"/>
      <c r="AT1568" s="16"/>
      <c r="AU1568" s="16"/>
      <c r="AV1568" s="16"/>
      <c r="AW1568" s="16"/>
      <c r="AX1568" s="16"/>
      <c r="AY1568" s="16"/>
      <c r="AZ1568" s="16"/>
      <c r="BA1568" s="16"/>
      <c r="BB1568" s="16"/>
      <c r="BC1568" s="16"/>
      <c r="BD1568" s="16"/>
      <c r="BE1568" s="16"/>
      <c r="BF1568" s="16"/>
      <c r="BG1568" s="16"/>
      <c r="BH1568" s="16"/>
      <c r="BI1568" s="16"/>
      <c r="BJ1568" s="16"/>
      <c r="BK1568" s="16"/>
      <c r="BL1568" s="16"/>
      <c r="BM1568" s="16"/>
      <c r="BN1568" s="16"/>
      <c r="BO1568" s="16"/>
      <c r="BP1568" s="16"/>
      <c r="BQ1568" s="16"/>
      <c r="BR1568" s="16"/>
      <c r="BS1568" s="16"/>
      <c r="BT1568" s="16"/>
      <c r="BU1568" s="16"/>
      <c r="BV1568" s="16"/>
      <c r="BW1568" s="16"/>
      <c r="BX1568" s="16"/>
      <c r="BY1568" s="16"/>
      <c r="BZ1568" s="16"/>
      <c r="CA1568" s="16"/>
      <c r="CB1568" s="16"/>
      <c r="CC1568" s="16"/>
      <c r="CD1568" s="16"/>
      <c r="CE1568" s="16"/>
      <c r="CF1568" s="16"/>
      <c r="CG1568" s="16"/>
      <c r="CH1568" s="16"/>
      <c r="CI1568" s="16"/>
      <c r="CJ1568" s="16"/>
      <c r="CK1568" s="16"/>
      <c r="CL1568" s="16"/>
      <c r="CM1568" s="16"/>
      <c r="CN1568" s="16"/>
      <c r="CO1568" s="16"/>
      <c r="CP1568" s="16"/>
      <c r="CQ1568" s="16"/>
      <c r="CR1568" s="16"/>
      <c r="CS1568" s="16"/>
      <c r="CT1568" s="16"/>
      <c r="CU1568" s="16"/>
      <c r="CV1568" s="16"/>
      <c r="CW1568" s="16"/>
      <c r="CX1568" s="16"/>
      <c r="CY1568" s="16"/>
      <c r="CZ1568" s="16"/>
      <c r="DA1568" s="16"/>
      <c r="DB1568" s="16"/>
      <c r="DC1568" s="16"/>
      <c r="DD1568" s="16"/>
      <c r="DE1568" s="16"/>
      <c r="DF1568" s="16"/>
    </row>
    <row r="1569" spans="8:110" x14ac:dyDescent="0.3">
      <c r="H1569" s="4">
        <f t="shared" si="204"/>
        <v>0</v>
      </c>
      <c r="K1569" s="3"/>
      <c r="L1569" s="16"/>
      <c r="M1569" s="16"/>
      <c r="N1569" s="16"/>
      <c r="O1569" s="16"/>
      <c r="P1569" s="16"/>
      <c r="Q1569" s="16"/>
      <c r="R1569" s="16"/>
      <c r="S1569" s="16"/>
      <c r="T1569" s="16"/>
      <c r="U1569" s="16"/>
      <c r="V1569" s="16"/>
      <c r="W1569" s="16"/>
      <c r="X1569" s="16"/>
      <c r="Y1569" s="16"/>
      <c r="Z1569" s="16"/>
      <c r="AA1569" s="16"/>
      <c r="AB1569" s="16"/>
      <c r="AC1569" s="16"/>
      <c r="AD1569" s="16"/>
      <c r="AE1569" s="16"/>
      <c r="AF1569" s="16"/>
      <c r="AG1569" s="16"/>
      <c r="AH1569" s="16"/>
      <c r="AI1569" s="16"/>
      <c r="AJ1569" s="16"/>
      <c r="AK1569" s="16"/>
      <c r="AL1569" s="16"/>
      <c r="AM1569" s="16"/>
      <c r="AN1569" s="16"/>
      <c r="AO1569" s="16"/>
      <c r="AP1569" s="16"/>
      <c r="AQ1569" s="16"/>
      <c r="AR1569" s="16"/>
      <c r="AS1569" s="16"/>
      <c r="AT1569" s="16"/>
      <c r="AU1569" s="16"/>
      <c r="AV1569" s="16"/>
      <c r="AW1569" s="16"/>
      <c r="AX1569" s="16"/>
      <c r="AY1569" s="16"/>
      <c r="AZ1569" s="16"/>
      <c r="BA1569" s="16"/>
      <c r="BB1569" s="16"/>
      <c r="BC1569" s="16"/>
      <c r="BD1569" s="16"/>
      <c r="BE1569" s="16"/>
      <c r="BF1569" s="16"/>
      <c r="BG1569" s="16"/>
      <c r="BH1569" s="16"/>
      <c r="BI1569" s="16"/>
      <c r="BJ1569" s="16"/>
      <c r="BK1569" s="16"/>
      <c r="BL1569" s="16"/>
      <c r="BM1569" s="16"/>
      <c r="BN1569" s="16"/>
      <c r="BO1569" s="16"/>
      <c r="BP1569" s="16"/>
      <c r="BQ1569" s="16"/>
      <c r="BR1569" s="16"/>
      <c r="BS1569" s="16"/>
      <c r="BT1569" s="16"/>
      <c r="BU1569" s="16"/>
      <c r="BV1569" s="16"/>
      <c r="BW1569" s="16"/>
      <c r="BX1569" s="16"/>
      <c r="BY1569" s="16"/>
      <c r="BZ1569" s="16"/>
      <c r="CA1569" s="16"/>
      <c r="CB1569" s="16"/>
      <c r="CC1569" s="16"/>
      <c r="CD1569" s="16"/>
      <c r="CE1569" s="16"/>
      <c r="CF1569" s="16"/>
      <c r="CG1569" s="16"/>
      <c r="CH1569" s="16"/>
      <c r="CI1569" s="16"/>
      <c r="CJ1569" s="16"/>
      <c r="CK1569" s="16"/>
      <c r="CL1569" s="16"/>
      <c r="CM1569" s="16"/>
      <c r="CN1569" s="16"/>
      <c r="CO1569" s="16"/>
      <c r="CP1569" s="16"/>
      <c r="CQ1569" s="16"/>
      <c r="CR1569" s="16"/>
      <c r="CS1569" s="16"/>
      <c r="CT1569" s="16"/>
      <c r="CU1569" s="16"/>
      <c r="CV1569" s="16"/>
      <c r="CW1569" s="16"/>
      <c r="CX1569" s="16"/>
      <c r="CY1569" s="16"/>
      <c r="CZ1569" s="16"/>
      <c r="DA1569" s="16"/>
      <c r="DB1569" s="16"/>
      <c r="DC1569" s="16"/>
      <c r="DD1569" s="16"/>
      <c r="DE1569" s="16"/>
      <c r="DF1569" s="16"/>
    </row>
    <row r="1570" spans="8:110" x14ac:dyDescent="0.3">
      <c r="H1570" s="4">
        <f t="shared" si="204"/>
        <v>0</v>
      </c>
      <c r="K1570" s="3"/>
      <c r="L1570" s="16"/>
      <c r="M1570" s="16"/>
      <c r="N1570" s="16"/>
      <c r="O1570" s="16"/>
      <c r="P1570" s="16"/>
      <c r="Q1570" s="16"/>
      <c r="R1570" s="16"/>
      <c r="S1570" s="16"/>
      <c r="T1570" s="16"/>
      <c r="U1570" s="16"/>
      <c r="V1570" s="16"/>
      <c r="W1570" s="16"/>
      <c r="X1570" s="16"/>
      <c r="Y1570" s="16"/>
      <c r="Z1570" s="16"/>
      <c r="AA1570" s="16"/>
      <c r="AB1570" s="16"/>
      <c r="AC1570" s="16"/>
      <c r="AD1570" s="16"/>
      <c r="AE1570" s="16"/>
      <c r="AF1570" s="16"/>
      <c r="AG1570" s="16"/>
      <c r="AH1570" s="16"/>
      <c r="AI1570" s="16"/>
      <c r="AJ1570" s="16"/>
      <c r="AK1570" s="16"/>
      <c r="AL1570" s="16"/>
      <c r="AM1570" s="16"/>
      <c r="AN1570" s="16"/>
      <c r="AO1570" s="16"/>
      <c r="AP1570" s="16"/>
      <c r="AQ1570" s="16"/>
      <c r="AR1570" s="16"/>
      <c r="AS1570" s="16"/>
      <c r="AT1570" s="16"/>
      <c r="AU1570" s="16"/>
      <c r="AV1570" s="16"/>
      <c r="AW1570" s="16"/>
      <c r="AX1570" s="16"/>
      <c r="AY1570" s="16"/>
      <c r="AZ1570" s="16"/>
      <c r="BA1570" s="16"/>
      <c r="BB1570" s="16"/>
      <c r="BC1570" s="16"/>
      <c r="BD1570" s="16"/>
      <c r="BE1570" s="16"/>
      <c r="BF1570" s="16"/>
      <c r="BG1570" s="16"/>
      <c r="BH1570" s="16"/>
      <c r="BI1570" s="16"/>
      <c r="BJ1570" s="16"/>
      <c r="BK1570" s="16"/>
      <c r="BL1570" s="16"/>
      <c r="BM1570" s="16"/>
      <c r="BN1570" s="16"/>
      <c r="BO1570" s="16"/>
      <c r="BP1570" s="16"/>
      <c r="BQ1570" s="16"/>
      <c r="BR1570" s="16"/>
      <c r="BS1570" s="16"/>
      <c r="BT1570" s="16"/>
      <c r="BU1570" s="16"/>
      <c r="BV1570" s="16"/>
      <c r="BW1570" s="16"/>
      <c r="BX1570" s="16"/>
      <c r="BY1570" s="16"/>
      <c r="BZ1570" s="16"/>
      <c r="CA1570" s="16"/>
      <c r="CB1570" s="16"/>
      <c r="CC1570" s="16"/>
      <c r="CD1570" s="16"/>
      <c r="CE1570" s="16"/>
      <c r="CF1570" s="16"/>
      <c r="CG1570" s="16"/>
      <c r="CH1570" s="16"/>
      <c r="CI1570" s="16"/>
      <c r="CJ1570" s="16"/>
      <c r="CK1570" s="16"/>
      <c r="CL1570" s="16"/>
      <c r="CM1570" s="16"/>
      <c r="CN1570" s="16"/>
      <c r="CO1570" s="16"/>
      <c r="CP1570" s="16"/>
      <c r="CQ1570" s="16"/>
      <c r="CR1570" s="16"/>
      <c r="CS1570" s="16"/>
      <c r="CT1570" s="16"/>
      <c r="CU1570" s="16"/>
      <c r="CV1570" s="16"/>
      <c r="CW1570" s="16"/>
      <c r="CX1570" s="16"/>
      <c r="CY1570" s="16"/>
      <c r="CZ1570" s="16"/>
      <c r="DA1570" s="16"/>
      <c r="DB1570" s="16"/>
      <c r="DC1570" s="16"/>
      <c r="DD1570" s="16"/>
      <c r="DE1570" s="16"/>
      <c r="DF1570" s="16"/>
    </row>
    <row r="1571" spans="8:110" x14ac:dyDescent="0.3">
      <c r="H1571" s="4">
        <f t="shared" si="204"/>
        <v>0</v>
      </c>
      <c r="K1571" s="3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  <c r="Y1571" s="16"/>
      <c r="Z1571" s="16"/>
      <c r="AA1571" s="16"/>
      <c r="AB1571" s="16"/>
      <c r="AC1571" s="16"/>
      <c r="AD1571" s="16"/>
      <c r="AE1571" s="16"/>
      <c r="AF1571" s="16"/>
      <c r="AG1571" s="16"/>
      <c r="AH1571" s="16"/>
      <c r="AI1571" s="16"/>
      <c r="AJ1571" s="16"/>
      <c r="AK1571" s="16"/>
      <c r="AL1571" s="16"/>
      <c r="AM1571" s="16"/>
      <c r="AN1571" s="16"/>
      <c r="AO1571" s="16"/>
      <c r="AP1571" s="16"/>
      <c r="AQ1571" s="16"/>
      <c r="AR1571" s="16"/>
      <c r="AS1571" s="16"/>
      <c r="AT1571" s="16"/>
      <c r="AU1571" s="16"/>
      <c r="AV1571" s="16"/>
      <c r="AW1571" s="16"/>
      <c r="AX1571" s="16"/>
      <c r="AY1571" s="16"/>
      <c r="AZ1571" s="16"/>
      <c r="BA1571" s="16"/>
      <c r="BB1571" s="16"/>
      <c r="BC1571" s="16"/>
      <c r="BD1571" s="16"/>
      <c r="BE1571" s="16"/>
      <c r="BF1571" s="16"/>
      <c r="BG1571" s="16"/>
      <c r="BH1571" s="16"/>
      <c r="BI1571" s="16"/>
      <c r="BJ1571" s="16"/>
      <c r="BK1571" s="16"/>
      <c r="BL1571" s="16"/>
      <c r="BM1571" s="16"/>
      <c r="BN1571" s="16"/>
      <c r="BO1571" s="16"/>
      <c r="BP1571" s="16"/>
      <c r="BQ1571" s="16"/>
      <c r="BR1571" s="16"/>
      <c r="BS1571" s="16"/>
      <c r="BT1571" s="16"/>
      <c r="BU1571" s="16"/>
      <c r="BV1571" s="16"/>
      <c r="BW1571" s="16"/>
      <c r="BX1571" s="16"/>
      <c r="BY1571" s="16"/>
      <c r="BZ1571" s="16"/>
      <c r="CA1571" s="16"/>
      <c r="CB1571" s="16"/>
      <c r="CC1571" s="16"/>
      <c r="CD1571" s="16"/>
      <c r="CE1571" s="16"/>
      <c r="CF1571" s="16"/>
      <c r="CG1571" s="16"/>
      <c r="CH1571" s="16"/>
      <c r="CI1571" s="16"/>
      <c r="CJ1571" s="16"/>
      <c r="CK1571" s="16"/>
      <c r="CL1571" s="16"/>
      <c r="CM1571" s="16"/>
      <c r="CN1571" s="16"/>
      <c r="CO1571" s="16"/>
      <c r="CP1571" s="16"/>
      <c r="CQ1571" s="16"/>
      <c r="CR1571" s="16"/>
      <c r="CS1571" s="16"/>
      <c r="CT1571" s="16"/>
      <c r="CU1571" s="16"/>
      <c r="CV1571" s="16"/>
      <c r="CW1571" s="16"/>
      <c r="CX1571" s="16"/>
      <c r="CY1571" s="16"/>
      <c r="CZ1571" s="16"/>
      <c r="DA1571" s="16"/>
      <c r="DB1571" s="16"/>
      <c r="DC1571" s="16"/>
      <c r="DD1571" s="16"/>
      <c r="DE1571" s="16"/>
      <c r="DF1571" s="16"/>
    </row>
    <row r="1572" spans="8:110" x14ac:dyDescent="0.3">
      <c r="H1572" s="4">
        <f t="shared" si="204"/>
        <v>0</v>
      </c>
      <c r="K1572" s="3"/>
      <c r="L1572" s="16"/>
      <c r="M1572" s="16"/>
      <c r="N1572" s="16"/>
      <c r="O1572" s="16"/>
      <c r="P1572" s="16"/>
      <c r="Q1572" s="16"/>
      <c r="R1572" s="16"/>
      <c r="S1572" s="16"/>
      <c r="T1572" s="16"/>
      <c r="U1572" s="16"/>
      <c r="V1572" s="16"/>
      <c r="W1572" s="16"/>
      <c r="X1572" s="16"/>
      <c r="Y1572" s="16"/>
      <c r="Z1572" s="16"/>
      <c r="AA1572" s="16"/>
      <c r="AB1572" s="16"/>
      <c r="AC1572" s="16"/>
      <c r="AD1572" s="16"/>
      <c r="AE1572" s="16"/>
      <c r="AF1572" s="16"/>
      <c r="AG1572" s="16"/>
      <c r="AH1572" s="16"/>
      <c r="AI1572" s="16"/>
      <c r="AJ1572" s="16"/>
      <c r="AK1572" s="16"/>
      <c r="AL1572" s="16"/>
      <c r="AM1572" s="16"/>
      <c r="AN1572" s="16"/>
      <c r="AO1572" s="16"/>
      <c r="AP1572" s="16"/>
      <c r="AQ1572" s="16"/>
      <c r="AR1572" s="16"/>
      <c r="AS1572" s="16"/>
      <c r="AT1572" s="16"/>
      <c r="AU1572" s="16"/>
      <c r="AV1572" s="16"/>
      <c r="AW1572" s="16"/>
      <c r="AX1572" s="16"/>
      <c r="AY1572" s="16"/>
      <c r="AZ1572" s="16"/>
      <c r="BA1572" s="16"/>
      <c r="BB1572" s="16"/>
      <c r="BC1572" s="16"/>
      <c r="BD1572" s="16"/>
      <c r="BE1572" s="16"/>
      <c r="BF1572" s="16"/>
      <c r="BG1572" s="16"/>
      <c r="BH1572" s="16"/>
      <c r="BI1572" s="16"/>
      <c r="BJ1572" s="16"/>
      <c r="BK1572" s="16"/>
      <c r="BL1572" s="16"/>
      <c r="BM1572" s="16"/>
      <c r="BN1572" s="16"/>
      <c r="BO1572" s="16"/>
      <c r="BP1572" s="16"/>
      <c r="BQ1572" s="16"/>
      <c r="BR1572" s="16"/>
      <c r="BS1572" s="16"/>
      <c r="BT1572" s="16"/>
      <c r="BU1572" s="16"/>
      <c r="BV1572" s="16"/>
      <c r="BW1572" s="16"/>
      <c r="BX1572" s="16"/>
      <c r="BY1572" s="16"/>
      <c r="BZ1572" s="16"/>
      <c r="CA1572" s="16"/>
      <c r="CB1572" s="16"/>
      <c r="CC1572" s="16"/>
      <c r="CD1572" s="16"/>
      <c r="CE1572" s="16"/>
      <c r="CF1572" s="16"/>
      <c r="CG1572" s="16"/>
      <c r="CH1572" s="16"/>
      <c r="CI1572" s="16"/>
      <c r="CJ1572" s="16"/>
      <c r="CK1572" s="16"/>
      <c r="CL1572" s="16"/>
      <c r="CM1572" s="16"/>
      <c r="CN1572" s="16"/>
      <c r="CO1572" s="16"/>
      <c r="CP1572" s="16"/>
      <c r="CQ1572" s="16"/>
      <c r="CR1572" s="16"/>
      <c r="CS1572" s="16"/>
      <c r="CT1572" s="16"/>
      <c r="CU1572" s="16"/>
      <c r="CV1572" s="16"/>
      <c r="CW1572" s="16"/>
      <c r="CX1572" s="16"/>
      <c r="CY1572" s="16"/>
      <c r="CZ1572" s="16"/>
      <c r="DA1572" s="16"/>
      <c r="DB1572" s="16"/>
      <c r="DC1572" s="16"/>
      <c r="DD1572" s="16"/>
      <c r="DE1572" s="16"/>
      <c r="DF1572" s="16"/>
    </row>
    <row r="1573" spans="8:110" x14ac:dyDescent="0.3">
      <c r="H1573" s="4">
        <f t="shared" si="204"/>
        <v>0</v>
      </c>
      <c r="K1573" s="3"/>
      <c r="L1573" s="16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/>
      <c r="W1573" s="16"/>
      <c r="X1573" s="16"/>
      <c r="Y1573" s="16"/>
      <c r="Z1573" s="16"/>
      <c r="AA1573" s="16"/>
      <c r="AB1573" s="16"/>
      <c r="AC1573" s="16"/>
      <c r="AD1573" s="16"/>
      <c r="AE1573" s="16"/>
      <c r="AF1573" s="16"/>
      <c r="AG1573" s="16"/>
      <c r="AH1573" s="16"/>
      <c r="AI1573" s="16"/>
      <c r="AJ1573" s="16"/>
      <c r="AK1573" s="16"/>
      <c r="AL1573" s="16"/>
      <c r="AM1573" s="16"/>
      <c r="AN1573" s="16"/>
      <c r="AO1573" s="16"/>
      <c r="AP1573" s="16"/>
      <c r="AQ1573" s="16"/>
      <c r="AR1573" s="16"/>
      <c r="AS1573" s="16"/>
      <c r="AT1573" s="16"/>
      <c r="AU1573" s="16"/>
      <c r="AV1573" s="16"/>
      <c r="AW1573" s="16"/>
      <c r="AX1573" s="16"/>
      <c r="AY1573" s="16"/>
      <c r="AZ1573" s="16"/>
      <c r="BA1573" s="16"/>
      <c r="BB1573" s="16"/>
      <c r="BC1573" s="16"/>
      <c r="BD1573" s="16"/>
      <c r="BE1573" s="16"/>
      <c r="BF1573" s="16"/>
      <c r="BG1573" s="16"/>
      <c r="BH1573" s="16"/>
      <c r="BI1573" s="16"/>
      <c r="BJ1573" s="16"/>
      <c r="BK1573" s="16"/>
      <c r="BL1573" s="16"/>
      <c r="BM1573" s="16"/>
      <c r="BN1573" s="16"/>
      <c r="BO1573" s="16"/>
      <c r="BP1573" s="16"/>
      <c r="BQ1573" s="16"/>
      <c r="BR1573" s="16"/>
      <c r="BS1573" s="16"/>
      <c r="BT1573" s="16"/>
      <c r="BU1573" s="16"/>
      <c r="BV1573" s="16"/>
      <c r="BW1573" s="16"/>
      <c r="BX1573" s="16"/>
      <c r="BY1573" s="16"/>
      <c r="BZ1573" s="16"/>
      <c r="CA1573" s="16"/>
      <c r="CB1573" s="16"/>
      <c r="CC1573" s="16"/>
      <c r="CD1573" s="16"/>
      <c r="CE1573" s="16"/>
      <c r="CF1573" s="16"/>
      <c r="CG1573" s="16"/>
      <c r="CH1573" s="16"/>
      <c r="CI1573" s="16"/>
      <c r="CJ1573" s="16"/>
      <c r="CK1573" s="16"/>
      <c r="CL1573" s="16"/>
      <c r="CM1573" s="16"/>
      <c r="CN1573" s="16"/>
      <c r="CO1573" s="16"/>
      <c r="CP1573" s="16"/>
      <c r="CQ1573" s="16"/>
      <c r="CR1573" s="16"/>
      <c r="CS1573" s="16"/>
      <c r="CT1573" s="16"/>
      <c r="CU1573" s="16"/>
      <c r="CV1573" s="16"/>
      <c r="CW1573" s="16"/>
      <c r="CX1573" s="16"/>
      <c r="CY1573" s="16"/>
      <c r="CZ1573" s="16"/>
      <c r="DA1573" s="16"/>
      <c r="DB1573" s="16"/>
      <c r="DC1573" s="16"/>
      <c r="DD1573" s="16"/>
      <c r="DE1573" s="16"/>
      <c r="DF1573" s="16"/>
    </row>
    <row r="1574" spans="8:110" x14ac:dyDescent="0.3">
      <c r="H1574" s="4">
        <f t="shared" si="204"/>
        <v>0</v>
      </c>
      <c r="K1574" s="3"/>
      <c r="L1574" s="16"/>
      <c r="M1574" s="16"/>
      <c r="N1574" s="16"/>
      <c r="O1574" s="16"/>
      <c r="P1574" s="16"/>
      <c r="Q1574" s="16"/>
      <c r="R1574" s="16"/>
      <c r="S1574" s="16"/>
      <c r="T1574" s="16"/>
      <c r="U1574" s="16"/>
      <c r="V1574" s="16"/>
      <c r="W1574" s="16"/>
      <c r="X1574" s="16"/>
      <c r="Y1574" s="16"/>
      <c r="Z1574" s="16"/>
      <c r="AA1574" s="16"/>
      <c r="AB1574" s="16"/>
      <c r="AC1574" s="16"/>
      <c r="AD1574" s="16"/>
      <c r="AE1574" s="16"/>
      <c r="AF1574" s="16"/>
      <c r="AG1574" s="16"/>
      <c r="AH1574" s="16"/>
      <c r="AI1574" s="16"/>
      <c r="AJ1574" s="16"/>
      <c r="AK1574" s="16"/>
      <c r="AL1574" s="16"/>
      <c r="AM1574" s="16"/>
      <c r="AN1574" s="16"/>
      <c r="AO1574" s="16"/>
      <c r="AP1574" s="16"/>
      <c r="AQ1574" s="16"/>
      <c r="AR1574" s="16"/>
      <c r="AS1574" s="16"/>
      <c r="AT1574" s="16"/>
      <c r="AU1574" s="16"/>
      <c r="AV1574" s="16"/>
      <c r="AW1574" s="16"/>
      <c r="AX1574" s="16"/>
      <c r="AY1574" s="16"/>
      <c r="AZ1574" s="16"/>
      <c r="BA1574" s="16"/>
      <c r="BB1574" s="16"/>
      <c r="BC1574" s="16"/>
      <c r="BD1574" s="16"/>
      <c r="BE1574" s="16"/>
      <c r="BF1574" s="16"/>
      <c r="BG1574" s="16"/>
      <c r="BH1574" s="16"/>
      <c r="BI1574" s="16"/>
      <c r="BJ1574" s="16"/>
      <c r="BK1574" s="16"/>
      <c r="BL1574" s="16"/>
      <c r="BM1574" s="16"/>
      <c r="BN1574" s="16"/>
      <c r="BO1574" s="16"/>
      <c r="BP1574" s="16"/>
      <c r="BQ1574" s="16"/>
      <c r="BR1574" s="16"/>
      <c r="BS1574" s="16"/>
      <c r="BT1574" s="16"/>
      <c r="BU1574" s="16"/>
      <c r="BV1574" s="16"/>
      <c r="BW1574" s="16"/>
      <c r="BX1574" s="16"/>
      <c r="BY1574" s="16"/>
      <c r="BZ1574" s="16"/>
      <c r="CA1574" s="16"/>
      <c r="CB1574" s="16"/>
      <c r="CC1574" s="16"/>
      <c r="CD1574" s="16"/>
      <c r="CE1574" s="16"/>
      <c r="CF1574" s="16"/>
      <c r="CG1574" s="16"/>
      <c r="CH1574" s="16"/>
      <c r="CI1574" s="16"/>
      <c r="CJ1574" s="16"/>
      <c r="CK1574" s="16"/>
      <c r="CL1574" s="16"/>
      <c r="CM1574" s="16"/>
      <c r="CN1574" s="16"/>
      <c r="CO1574" s="16"/>
      <c r="CP1574" s="16"/>
      <c r="CQ1574" s="16"/>
      <c r="CR1574" s="16"/>
      <c r="CS1574" s="16"/>
      <c r="CT1574" s="16"/>
      <c r="CU1574" s="16"/>
      <c r="CV1574" s="16"/>
      <c r="CW1574" s="16"/>
      <c r="CX1574" s="16"/>
      <c r="CY1574" s="16"/>
      <c r="CZ1574" s="16"/>
      <c r="DA1574" s="16"/>
      <c r="DB1574" s="16"/>
      <c r="DC1574" s="16"/>
      <c r="DD1574" s="16"/>
      <c r="DE1574" s="16"/>
      <c r="DF1574" s="16"/>
    </row>
    <row r="1575" spans="8:110" x14ac:dyDescent="0.3">
      <c r="H1575" s="4">
        <f t="shared" si="204"/>
        <v>0</v>
      </c>
      <c r="K1575" s="3"/>
      <c r="L1575" s="16"/>
      <c r="M1575" s="16"/>
      <c r="N1575" s="16"/>
      <c r="O1575" s="16"/>
      <c r="P1575" s="16"/>
      <c r="Q1575" s="16"/>
      <c r="R1575" s="16"/>
      <c r="S1575" s="16"/>
      <c r="T1575" s="16"/>
      <c r="U1575" s="16"/>
      <c r="V1575" s="16"/>
      <c r="W1575" s="16"/>
      <c r="X1575" s="16"/>
      <c r="Y1575" s="16"/>
      <c r="Z1575" s="16"/>
      <c r="AA1575" s="16"/>
      <c r="AB1575" s="16"/>
      <c r="AC1575" s="16"/>
      <c r="AD1575" s="16"/>
      <c r="AE1575" s="16"/>
      <c r="AF1575" s="16"/>
      <c r="AG1575" s="16"/>
      <c r="AH1575" s="16"/>
      <c r="AI1575" s="16"/>
      <c r="AJ1575" s="16"/>
      <c r="AK1575" s="16"/>
      <c r="AL1575" s="16"/>
      <c r="AM1575" s="16"/>
      <c r="AN1575" s="16"/>
      <c r="AO1575" s="16"/>
      <c r="AP1575" s="16"/>
      <c r="AQ1575" s="16"/>
      <c r="AR1575" s="16"/>
      <c r="AS1575" s="16"/>
      <c r="AT1575" s="16"/>
      <c r="AU1575" s="16"/>
      <c r="AV1575" s="16"/>
      <c r="AW1575" s="16"/>
      <c r="AX1575" s="16"/>
      <c r="AY1575" s="16"/>
      <c r="AZ1575" s="16"/>
      <c r="BA1575" s="16"/>
      <c r="BB1575" s="16"/>
      <c r="BC1575" s="16"/>
      <c r="BD1575" s="16"/>
      <c r="BE1575" s="16"/>
      <c r="BF1575" s="16"/>
      <c r="BG1575" s="16"/>
      <c r="BH1575" s="16"/>
      <c r="BI1575" s="16"/>
      <c r="BJ1575" s="16"/>
      <c r="BK1575" s="16"/>
      <c r="BL1575" s="16"/>
      <c r="BM1575" s="16"/>
      <c r="BN1575" s="16"/>
      <c r="BO1575" s="16"/>
      <c r="BP1575" s="16"/>
      <c r="BQ1575" s="16"/>
      <c r="BR1575" s="16"/>
      <c r="BS1575" s="16"/>
      <c r="BT1575" s="16"/>
      <c r="BU1575" s="16"/>
      <c r="BV1575" s="16"/>
      <c r="BW1575" s="16"/>
      <c r="BX1575" s="16"/>
      <c r="BY1575" s="16"/>
      <c r="BZ1575" s="16"/>
      <c r="CA1575" s="16"/>
      <c r="CB1575" s="16"/>
      <c r="CC1575" s="16"/>
      <c r="CD1575" s="16"/>
      <c r="CE1575" s="16"/>
      <c r="CF1575" s="16"/>
      <c r="CG1575" s="16"/>
      <c r="CH1575" s="16"/>
      <c r="CI1575" s="16"/>
      <c r="CJ1575" s="16"/>
      <c r="CK1575" s="16"/>
      <c r="CL1575" s="16"/>
      <c r="CM1575" s="16"/>
      <c r="CN1575" s="16"/>
      <c r="CO1575" s="16"/>
      <c r="CP1575" s="16"/>
      <c r="CQ1575" s="16"/>
      <c r="CR1575" s="16"/>
      <c r="CS1575" s="16"/>
      <c r="CT1575" s="16"/>
      <c r="CU1575" s="16"/>
      <c r="CV1575" s="16"/>
      <c r="CW1575" s="16"/>
      <c r="CX1575" s="16"/>
      <c r="CY1575" s="16"/>
      <c r="CZ1575" s="16"/>
      <c r="DA1575" s="16"/>
      <c r="DB1575" s="16"/>
      <c r="DC1575" s="16"/>
      <c r="DD1575" s="16"/>
      <c r="DE1575" s="16"/>
      <c r="DF1575" s="16"/>
    </row>
    <row r="1576" spans="8:110" x14ac:dyDescent="0.3">
      <c r="H1576" s="4">
        <f t="shared" si="204"/>
        <v>0</v>
      </c>
      <c r="K1576" s="3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16"/>
      <c r="AA1576" s="16"/>
      <c r="AB1576" s="16"/>
      <c r="AC1576" s="16"/>
      <c r="AD1576" s="16"/>
      <c r="AE1576" s="16"/>
      <c r="AF1576" s="16"/>
      <c r="AG1576" s="16"/>
      <c r="AH1576" s="16"/>
      <c r="AI1576" s="16"/>
      <c r="AJ1576" s="16"/>
      <c r="AK1576" s="16"/>
      <c r="AL1576" s="16"/>
      <c r="AM1576" s="16"/>
      <c r="AN1576" s="16"/>
      <c r="AO1576" s="16"/>
      <c r="AP1576" s="16"/>
      <c r="AQ1576" s="16"/>
      <c r="AR1576" s="16"/>
      <c r="AS1576" s="16"/>
      <c r="AT1576" s="16"/>
      <c r="AU1576" s="16"/>
      <c r="AV1576" s="16"/>
      <c r="AW1576" s="16"/>
      <c r="AX1576" s="16"/>
      <c r="AY1576" s="16"/>
      <c r="AZ1576" s="16"/>
      <c r="BA1576" s="16"/>
      <c r="BB1576" s="16"/>
      <c r="BC1576" s="16"/>
      <c r="BD1576" s="16"/>
      <c r="BE1576" s="16"/>
      <c r="BF1576" s="16"/>
      <c r="BG1576" s="16"/>
      <c r="BH1576" s="16"/>
      <c r="BI1576" s="16"/>
      <c r="BJ1576" s="16"/>
      <c r="BK1576" s="16"/>
      <c r="BL1576" s="16"/>
      <c r="BM1576" s="16"/>
      <c r="BN1576" s="16"/>
      <c r="BO1576" s="16"/>
      <c r="BP1576" s="16"/>
      <c r="BQ1576" s="16"/>
      <c r="BR1576" s="16"/>
      <c r="BS1576" s="16"/>
      <c r="BT1576" s="16"/>
      <c r="BU1576" s="16"/>
      <c r="BV1576" s="16"/>
      <c r="BW1576" s="16"/>
      <c r="BX1576" s="16"/>
      <c r="BY1576" s="16"/>
      <c r="BZ1576" s="16"/>
      <c r="CA1576" s="16"/>
      <c r="CB1576" s="16"/>
      <c r="CC1576" s="16"/>
      <c r="CD1576" s="16"/>
      <c r="CE1576" s="16"/>
      <c r="CF1576" s="16"/>
      <c r="CG1576" s="16"/>
      <c r="CH1576" s="16"/>
      <c r="CI1576" s="16"/>
      <c r="CJ1576" s="16"/>
      <c r="CK1576" s="16"/>
      <c r="CL1576" s="16"/>
      <c r="CM1576" s="16"/>
      <c r="CN1576" s="16"/>
      <c r="CO1576" s="16"/>
      <c r="CP1576" s="16"/>
      <c r="CQ1576" s="16"/>
      <c r="CR1576" s="16"/>
      <c r="CS1576" s="16"/>
      <c r="CT1576" s="16"/>
      <c r="CU1576" s="16"/>
      <c r="CV1576" s="16"/>
      <c r="CW1576" s="16"/>
      <c r="CX1576" s="16"/>
      <c r="CY1576" s="16"/>
      <c r="CZ1576" s="16"/>
      <c r="DA1576" s="16"/>
      <c r="DB1576" s="16"/>
      <c r="DC1576" s="16"/>
      <c r="DD1576" s="16"/>
      <c r="DE1576" s="16"/>
      <c r="DF1576" s="16"/>
    </row>
    <row r="1577" spans="8:110" x14ac:dyDescent="0.3">
      <c r="H1577" s="4">
        <f t="shared" si="204"/>
        <v>0</v>
      </c>
      <c r="K1577" s="3"/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  <c r="Z1577" s="16"/>
      <c r="AA1577" s="16"/>
      <c r="AB1577" s="16"/>
      <c r="AC1577" s="16"/>
      <c r="AD1577" s="16"/>
      <c r="AE1577" s="16"/>
      <c r="AF1577" s="16"/>
      <c r="AG1577" s="16"/>
      <c r="AH1577" s="16"/>
      <c r="AI1577" s="16"/>
      <c r="AJ1577" s="16"/>
      <c r="AK1577" s="16"/>
      <c r="AL1577" s="16"/>
      <c r="AM1577" s="16"/>
      <c r="AN1577" s="16"/>
      <c r="AO1577" s="16"/>
      <c r="AP1577" s="16"/>
      <c r="AQ1577" s="16"/>
      <c r="AR1577" s="16"/>
      <c r="AS1577" s="16"/>
      <c r="AT1577" s="16"/>
      <c r="AU1577" s="16"/>
      <c r="AV1577" s="16"/>
      <c r="AW1577" s="16"/>
      <c r="AX1577" s="16"/>
      <c r="AY1577" s="16"/>
      <c r="AZ1577" s="16"/>
      <c r="BA1577" s="16"/>
      <c r="BB1577" s="16"/>
      <c r="BC1577" s="16"/>
      <c r="BD1577" s="16"/>
      <c r="BE1577" s="16"/>
      <c r="BF1577" s="16"/>
      <c r="BG1577" s="16"/>
      <c r="BH1577" s="16"/>
      <c r="BI1577" s="16"/>
      <c r="BJ1577" s="16"/>
      <c r="BK1577" s="16"/>
      <c r="BL1577" s="16"/>
      <c r="BM1577" s="16"/>
      <c r="BN1577" s="16"/>
      <c r="BO1577" s="16"/>
      <c r="BP1577" s="16"/>
      <c r="BQ1577" s="16"/>
      <c r="BR1577" s="16"/>
      <c r="BS1577" s="16"/>
      <c r="BT1577" s="16"/>
      <c r="BU1577" s="16"/>
      <c r="BV1577" s="16"/>
      <c r="BW1577" s="16"/>
      <c r="BX1577" s="16"/>
      <c r="BY1577" s="16"/>
      <c r="BZ1577" s="16"/>
      <c r="CA1577" s="16"/>
      <c r="CB1577" s="16"/>
      <c r="CC1577" s="16"/>
      <c r="CD1577" s="16"/>
      <c r="CE1577" s="16"/>
      <c r="CF1577" s="16"/>
      <c r="CG1577" s="16"/>
      <c r="CH1577" s="16"/>
      <c r="CI1577" s="16"/>
      <c r="CJ1577" s="16"/>
      <c r="CK1577" s="16"/>
      <c r="CL1577" s="16"/>
      <c r="CM1577" s="16"/>
      <c r="CN1577" s="16"/>
      <c r="CO1577" s="16"/>
      <c r="CP1577" s="16"/>
      <c r="CQ1577" s="16"/>
      <c r="CR1577" s="16"/>
      <c r="CS1577" s="16"/>
      <c r="CT1577" s="16"/>
      <c r="CU1577" s="16"/>
      <c r="CV1577" s="16"/>
      <c r="CW1577" s="16"/>
      <c r="CX1577" s="16"/>
      <c r="CY1577" s="16"/>
      <c r="CZ1577" s="16"/>
      <c r="DA1577" s="16"/>
      <c r="DB1577" s="16"/>
      <c r="DC1577" s="16"/>
      <c r="DD1577" s="16"/>
      <c r="DE1577" s="16"/>
      <c r="DF1577" s="16"/>
    </row>
    <row r="1578" spans="8:110" x14ac:dyDescent="0.3">
      <c r="H1578" s="4">
        <f t="shared" si="204"/>
        <v>0</v>
      </c>
      <c r="K1578" s="3"/>
      <c r="L1578" s="16"/>
      <c r="M1578" s="16"/>
      <c r="N1578" s="16"/>
      <c r="O1578" s="16"/>
      <c r="P1578" s="16"/>
      <c r="Q1578" s="16"/>
      <c r="R1578" s="16"/>
      <c r="S1578" s="16"/>
      <c r="T1578" s="16"/>
      <c r="U1578" s="16"/>
      <c r="V1578" s="16"/>
      <c r="W1578" s="16"/>
      <c r="X1578" s="16"/>
      <c r="Y1578" s="16"/>
      <c r="Z1578" s="16"/>
      <c r="AA1578" s="16"/>
      <c r="AB1578" s="16"/>
      <c r="AC1578" s="16"/>
      <c r="AD1578" s="16"/>
      <c r="AE1578" s="16"/>
      <c r="AF1578" s="16"/>
      <c r="AG1578" s="16"/>
      <c r="AH1578" s="16"/>
      <c r="AI1578" s="16"/>
      <c r="AJ1578" s="16"/>
      <c r="AK1578" s="16"/>
      <c r="AL1578" s="16"/>
      <c r="AM1578" s="16"/>
      <c r="AN1578" s="16"/>
      <c r="AO1578" s="16"/>
      <c r="AP1578" s="16"/>
      <c r="AQ1578" s="16"/>
      <c r="AR1578" s="16"/>
      <c r="AS1578" s="16"/>
      <c r="AT1578" s="16"/>
      <c r="AU1578" s="16"/>
      <c r="AV1578" s="16"/>
      <c r="AW1578" s="16"/>
      <c r="AX1578" s="16"/>
      <c r="AY1578" s="16"/>
      <c r="AZ1578" s="16"/>
      <c r="BA1578" s="16"/>
      <c r="BB1578" s="16"/>
      <c r="BC1578" s="16"/>
      <c r="BD1578" s="16"/>
      <c r="BE1578" s="16"/>
      <c r="BF1578" s="16"/>
      <c r="BG1578" s="16"/>
      <c r="BH1578" s="16"/>
      <c r="BI1578" s="16"/>
      <c r="BJ1578" s="16"/>
      <c r="BK1578" s="16"/>
      <c r="BL1578" s="16"/>
      <c r="BM1578" s="16"/>
      <c r="BN1578" s="16"/>
      <c r="BO1578" s="16"/>
      <c r="BP1578" s="16"/>
      <c r="BQ1578" s="16"/>
      <c r="BR1578" s="16"/>
      <c r="BS1578" s="16"/>
      <c r="BT1578" s="16"/>
      <c r="BU1578" s="16"/>
      <c r="BV1578" s="16"/>
      <c r="BW1578" s="16"/>
      <c r="BX1578" s="16"/>
      <c r="BY1578" s="16"/>
      <c r="BZ1578" s="16"/>
      <c r="CA1578" s="16"/>
      <c r="CB1578" s="16"/>
      <c r="CC1578" s="16"/>
      <c r="CD1578" s="16"/>
      <c r="CE1578" s="16"/>
      <c r="CF1578" s="16"/>
      <c r="CG1578" s="16"/>
      <c r="CH1578" s="16"/>
      <c r="CI1578" s="16"/>
      <c r="CJ1578" s="16"/>
      <c r="CK1578" s="16"/>
      <c r="CL1578" s="16"/>
      <c r="CM1578" s="16"/>
      <c r="CN1578" s="16"/>
      <c r="CO1578" s="16"/>
      <c r="CP1578" s="16"/>
      <c r="CQ1578" s="16"/>
      <c r="CR1578" s="16"/>
      <c r="CS1578" s="16"/>
      <c r="CT1578" s="16"/>
      <c r="CU1578" s="16"/>
      <c r="CV1578" s="16"/>
      <c r="CW1578" s="16"/>
      <c r="CX1578" s="16"/>
      <c r="CY1578" s="16"/>
      <c r="CZ1578" s="16"/>
      <c r="DA1578" s="16"/>
      <c r="DB1578" s="16"/>
      <c r="DC1578" s="16"/>
      <c r="DD1578" s="16"/>
      <c r="DE1578" s="16"/>
      <c r="DF1578" s="16"/>
    </row>
    <row r="1579" spans="8:110" x14ac:dyDescent="0.3">
      <c r="H1579" s="4">
        <f t="shared" si="204"/>
        <v>0</v>
      </c>
      <c r="K1579" s="3"/>
      <c r="L1579" s="16"/>
      <c r="M1579" s="16"/>
      <c r="N1579" s="16"/>
      <c r="O1579" s="16"/>
      <c r="P1579" s="16"/>
      <c r="Q1579" s="16"/>
      <c r="R1579" s="16"/>
      <c r="S1579" s="16"/>
      <c r="T1579" s="16"/>
      <c r="U1579" s="16"/>
      <c r="V1579" s="16"/>
      <c r="W1579" s="16"/>
      <c r="X1579" s="16"/>
      <c r="Y1579" s="16"/>
      <c r="Z1579" s="16"/>
      <c r="AA1579" s="16"/>
      <c r="AB1579" s="16"/>
      <c r="AC1579" s="16"/>
      <c r="AD1579" s="16"/>
      <c r="AE1579" s="16"/>
      <c r="AF1579" s="16"/>
      <c r="AG1579" s="16"/>
      <c r="AH1579" s="16"/>
      <c r="AI1579" s="16"/>
      <c r="AJ1579" s="16"/>
      <c r="AK1579" s="16"/>
      <c r="AL1579" s="16"/>
      <c r="AM1579" s="16"/>
      <c r="AN1579" s="16"/>
      <c r="AO1579" s="16"/>
      <c r="AP1579" s="16"/>
      <c r="AQ1579" s="16"/>
      <c r="AR1579" s="16"/>
      <c r="AS1579" s="16"/>
      <c r="AT1579" s="16"/>
      <c r="AU1579" s="16"/>
      <c r="AV1579" s="16"/>
      <c r="AW1579" s="16"/>
      <c r="AX1579" s="16"/>
      <c r="AY1579" s="16"/>
      <c r="AZ1579" s="16"/>
      <c r="BA1579" s="16"/>
      <c r="BB1579" s="16"/>
      <c r="BC1579" s="16"/>
      <c r="BD1579" s="16"/>
      <c r="BE1579" s="16"/>
      <c r="BF1579" s="16"/>
      <c r="BG1579" s="16"/>
      <c r="BH1579" s="16"/>
      <c r="BI1579" s="16"/>
      <c r="BJ1579" s="16"/>
      <c r="BK1579" s="16"/>
      <c r="BL1579" s="16"/>
      <c r="BM1579" s="16"/>
      <c r="BN1579" s="16"/>
      <c r="BO1579" s="16"/>
      <c r="BP1579" s="16"/>
      <c r="BQ1579" s="16"/>
      <c r="BR1579" s="16"/>
      <c r="BS1579" s="16"/>
      <c r="BT1579" s="16"/>
      <c r="BU1579" s="16"/>
      <c r="BV1579" s="16"/>
      <c r="BW1579" s="16"/>
      <c r="BX1579" s="16"/>
      <c r="BY1579" s="16"/>
      <c r="BZ1579" s="16"/>
      <c r="CA1579" s="16"/>
      <c r="CB1579" s="16"/>
      <c r="CC1579" s="16"/>
      <c r="CD1579" s="16"/>
      <c r="CE1579" s="16"/>
      <c r="CF1579" s="16"/>
      <c r="CG1579" s="16"/>
      <c r="CH1579" s="16"/>
      <c r="CI1579" s="16"/>
      <c r="CJ1579" s="16"/>
      <c r="CK1579" s="16"/>
      <c r="CL1579" s="16"/>
      <c r="CM1579" s="16"/>
      <c r="CN1579" s="16"/>
      <c r="CO1579" s="16"/>
      <c r="CP1579" s="16"/>
      <c r="CQ1579" s="16"/>
      <c r="CR1579" s="16"/>
      <c r="CS1579" s="16"/>
      <c r="CT1579" s="16"/>
      <c r="CU1579" s="16"/>
      <c r="CV1579" s="16"/>
      <c r="CW1579" s="16"/>
      <c r="CX1579" s="16"/>
      <c r="CY1579" s="16"/>
      <c r="CZ1579" s="16"/>
      <c r="DA1579" s="16"/>
      <c r="DB1579" s="16"/>
      <c r="DC1579" s="16"/>
      <c r="DD1579" s="16"/>
      <c r="DE1579" s="16"/>
      <c r="DF1579" s="16"/>
    </row>
    <row r="1580" spans="8:110" x14ac:dyDescent="0.3">
      <c r="H1580" s="4">
        <f t="shared" si="204"/>
        <v>0</v>
      </c>
      <c r="K1580" s="3"/>
      <c r="L1580" s="16"/>
      <c r="M1580" s="16"/>
      <c r="N1580" s="16"/>
      <c r="O1580" s="16"/>
      <c r="P1580" s="16"/>
      <c r="Q1580" s="16"/>
      <c r="R1580" s="16"/>
      <c r="S1580" s="16"/>
      <c r="T1580" s="16"/>
      <c r="U1580" s="16"/>
      <c r="V1580" s="16"/>
      <c r="W1580" s="16"/>
      <c r="X1580" s="16"/>
      <c r="Y1580" s="16"/>
      <c r="Z1580" s="16"/>
      <c r="AA1580" s="16"/>
      <c r="AB1580" s="16"/>
      <c r="AC1580" s="16"/>
      <c r="AD1580" s="16"/>
      <c r="AE1580" s="16"/>
      <c r="AF1580" s="16"/>
      <c r="AG1580" s="16"/>
      <c r="AH1580" s="16"/>
      <c r="AI1580" s="16"/>
      <c r="AJ1580" s="16"/>
      <c r="AK1580" s="16"/>
      <c r="AL1580" s="16"/>
      <c r="AM1580" s="16"/>
      <c r="AN1580" s="16"/>
      <c r="AO1580" s="16"/>
      <c r="AP1580" s="16"/>
      <c r="AQ1580" s="16"/>
      <c r="AR1580" s="16"/>
      <c r="AS1580" s="16"/>
      <c r="AT1580" s="16"/>
      <c r="AU1580" s="16"/>
      <c r="AV1580" s="16"/>
      <c r="AW1580" s="16"/>
      <c r="AX1580" s="16"/>
      <c r="AY1580" s="16"/>
      <c r="AZ1580" s="16"/>
      <c r="BA1580" s="16"/>
      <c r="BB1580" s="16"/>
      <c r="BC1580" s="16"/>
      <c r="BD1580" s="16"/>
      <c r="BE1580" s="16"/>
      <c r="BF1580" s="16"/>
      <c r="BG1580" s="16"/>
      <c r="BH1580" s="16"/>
      <c r="BI1580" s="16"/>
      <c r="BJ1580" s="16"/>
      <c r="BK1580" s="16"/>
      <c r="BL1580" s="16"/>
      <c r="BM1580" s="16"/>
      <c r="BN1580" s="16"/>
      <c r="BO1580" s="16"/>
      <c r="BP1580" s="16"/>
      <c r="BQ1580" s="16"/>
      <c r="BR1580" s="16"/>
      <c r="BS1580" s="16"/>
      <c r="BT1580" s="16"/>
      <c r="BU1580" s="16"/>
      <c r="BV1580" s="16"/>
      <c r="BW1580" s="16"/>
      <c r="BX1580" s="16"/>
      <c r="BY1580" s="16"/>
      <c r="BZ1580" s="16"/>
      <c r="CA1580" s="16"/>
      <c r="CB1580" s="16"/>
      <c r="CC1580" s="16"/>
      <c r="CD1580" s="16"/>
      <c r="CE1580" s="16"/>
      <c r="CF1580" s="16"/>
      <c r="CG1580" s="16"/>
      <c r="CH1580" s="16"/>
      <c r="CI1580" s="16"/>
      <c r="CJ1580" s="16"/>
      <c r="CK1580" s="16"/>
      <c r="CL1580" s="16"/>
      <c r="CM1580" s="16"/>
      <c r="CN1580" s="16"/>
      <c r="CO1580" s="16"/>
      <c r="CP1580" s="16"/>
      <c r="CQ1580" s="16"/>
      <c r="CR1580" s="16"/>
      <c r="CS1580" s="16"/>
      <c r="CT1580" s="16"/>
      <c r="CU1580" s="16"/>
      <c r="CV1580" s="16"/>
      <c r="CW1580" s="16"/>
      <c r="CX1580" s="16"/>
      <c r="CY1580" s="16"/>
      <c r="CZ1580" s="16"/>
      <c r="DA1580" s="16"/>
      <c r="DB1580" s="16"/>
      <c r="DC1580" s="16"/>
      <c r="DD1580" s="16"/>
      <c r="DE1580" s="16"/>
      <c r="DF1580" s="16"/>
    </row>
    <row r="1581" spans="8:110" x14ac:dyDescent="0.3">
      <c r="H1581" s="4">
        <f t="shared" si="204"/>
        <v>0</v>
      </c>
      <c r="K1581" s="3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  <c r="Y1581" s="16"/>
      <c r="Z1581" s="16"/>
      <c r="AA1581" s="16"/>
      <c r="AB1581" s="16"/>
      <c r="AC1581" s="16"/>
      <c r="AD1581" s="16"/>
      <c r="AE1581" s="16"/>
      <c r="AF1581" s="16"/>
      <c r="AG1581" s="16"/>
      <c r="AH1581" s="16"/>
      <c r="AI1581" s="16"/>
      <c r="AJ1581" s="16"/>
      <c r="AK1581" s="16"/>
      <c r="AL1581" s="16"/>
      <c r="AM1581" s="16"/>
      <c r="AN1581" s="16"/>
      <c r="AO1581" s="16"/>
      <c r="AP1581" s="16"/>
      <c r="AQ1581" s="16"/>
      <c r="AR1581" s="16"/>
      <c r="AS1581" s="16"/>
      <c r="AT1581" s="16"/>
      <c r="AU1581" s="16"/>
      <c r="AV1581" s="16"/>
      <c r="AW1581" s="16"/>
      <c r="AX1581" s="16"/>
      <c r="AY1581" s="16"/>
      <c r="AZ1581" s="16"/>
      <c r="BA1581" s="16"/>
      <c r="BB1581" s="16"/>
      <c r="BC1581" s="16"/>
      <c r="BD1581" s="16"/>
      <c r="BE1581" s="16"/>
      <c r="BF1581" s="16"/>
      <c r="BG1581" s="16"/>
      <c r="BH1581" s="16"/>
      <c r="BI1581" s="16"/>
      <c r="BJ1581" s="16"/>
      <c r="BK1581" s="16"/>
      <c r="BL1581" s="16"/>
      <c r="BM1581" s="16"/>
      <c r="BN1581" s="16"/>
      <c r="BO1581" s="16"/>
      <c r="BP1581" s="16"/>
      <c r="BQ1581" s="16"/>
      <c r="BR1581" s="16"/>
      <c r="BS1581" s="16"/>
      <c r="BT1581" s="16"/>
      <c r="BU1581" s="16"/>
      <c r="BV1581" s="16"/>
      <c r="BW1581" s="16"/>
      <c r="BX1581" s="16"/>
      <c r="BY1581" s="16"/>
      <c r="BZ1581" s="16"/>
      <c r="CA1581" s="16"/>
      <c r="CB1581" s="16"/>
      <c r="CC1581" s="16"/>
      <c r="CD1581" s="16"/>
      <c r="CE1581" s="16"/>
      <c r="CF1581" s="16"/>
      <c r="CG1581" s="16"/>
      <c r="CH1581" s="16"/>
      <c r="CI1581" s="16"/>
      <c r="CJ1581" s="16"/>
      <c r="CK1581" s="16"/>
      <c r="CL1581" s="16"/>
      <c r="CM1581" s="16"/>
      <c r="CN1581" s="16"/>
      <c r="CO1581" s="16"/>
      <c r="CP1581" s="16"/>
      <c r="CQ1581" s="16"/>
      <c r="CR1581" s="16"/>
      <c r="CS1581" s="16"/>
      <c r="CT1581" s="16"/>
      <c r="CU1581" s="16"/>
      <c r="CV1581" s="16"/>
      <c r="CW1581" s="16"/>
      <c r="CX1581" s="16"/>
      <c r="CY1581" s="16"/>
      <c r="CZ1581" s="16"/>
      <c r="DA1581" s="16"/>
      <c r="DB1581" s="16"/>
      <c r="DC1581" s="16"/>
      <c r="DD1581" s="16"/>
      <c r="DE1581" s="16"/>
      <c r="DF1581" s="16"/>
    </row>
    <row r="1582" spans="8:110" x14ac:dyDescent="0.3">
      <c r="H1582" s="4">
        <f t="shared" si="204"/>
        <v>0</v>
      </c>
      <c r="K1582" s="3"/>
      <c r="L1582" s="16"/>
      <c r="M1582" s="16"/>
      <c r="N1582" s="16"/>
      <c r="O1582" s="16"/>
      <c r="P1582" s="16"/>
      <c r="Q1582" s="16"/>
      <c r="R1582" s="16"/>
      <c r="S1582" s="16"/>
      <c r="T1582" s="16"/>
      <c r="U1582" s="16"/>
      <c r="V1582" s="16"/>
      <c r="W1582" s="16"/>
      <c r="X1582" s="16"/>
      <c r="Y1582" s="16"/>
      <c r="Z1582" s="16"/>
      <c r="AA1582" s="16"/>
      <c r="AB1582" s="16"/>
      <c r="AC1582" s="16"/>
      <c r="AD1582" s="16"/>
      <c r="AE1582" s="16"/>
      <c r="AF1582" s="16"/>
      <c r="AG1582" s="16"/>
      <c r="AH1582" s="16"/>
      <c r="AI1582" s="16"/>
      <c r="AJ1582" s="16"/>
      <c r="AK1582" s="16"/>
      <c r="AL1582" s="16"/>
      <c r="AM1582" s="16"/>
      <c r="AN1582" s="16"/>
      <c r="AO1582" s="16"/>
      <c r="AP1582" s="16"/>
      <c r="AQ1582" s="16"/>
      <c r="AR1582" s="16"/>
      <c r="AS1582" s="16"/>
      <c r="AT1582" s="16"/>
      <c r="AU1582" s="16"/>
      <c r="AV1582" s="16"/>
      <c r="AW1582" s="16"/>
      <c r="AX1582" s="16"/>
      <c r="AY1582" s="16"/>
      <c r="AZ1582" s="16"/>
      <c r="BA1582" s="16"/>
      <c r="BB1582" s="16"/>
      <c r="BC1582" s="16"/>
      <c r="BD1582" s="16"/>
      <c r="BE1582" s="16"/>
      <c r="BF1582" s="16"/>
      <c r="BG1582" s="16"/>
      <c r="BH1582" s="16"/>
      <c r="BI1582" s="16"/>
      <c r="BJ1582" s="16"/>
      <c r="BK1582" s="16"/>
      <c r="BL1582" s="16"/>
      <c r="BM1582" s="16"/>
      <c r="BN1582" s="16"/>
      <c r="BO1582" s="16"/>
      <c r="BP1582" s="16"/>
      <c r="BQ1582" s="16"/>
      <c r="BR1582" s="16"/>
      <c r="BS1582" s="16"/>
      <c r="BT1582" s="16"/>
      <c r="BU1582" s="16"/>
      <c r="BV1582" s="16"/>
      <c r="BW1582" s="16"/>
      <c r="BX1582" s="16"/>
      <c r="BY1582" s="16"/>
      <c r="BZ1582" s="16"/>
      <c r="CA1582" s="16"/>
      <c r="CB1582" s="16"/>
      <c r="CC1582" s="16"/>
      <c r="CD1582" s="16"/>
      <c r="CE1582" s="16"/>
      <c r="CF1582" s="16"/>
      <c r="CG1582" s="16"/>
      <c r="CH1582" s="16"/>
      <c r="CI1582" s="16"/>
      <c r="CJ1582" s="16"/>
      <c r="CK1582" s="16"/>
      <c r="CL1582" s="16"/>
      <c r="CM1582" s="16"/>
      <c r="CN1582" s="16"/>
      <c r="CO1582" s="16"/>
      <c r="CP1582" s="16"/>
      <c r="CQ1582" s="16"/>
      <c r="CR1582" s="16"/>
      <c r="CS1582" s="16"/>
      <c r="CT1582" s="16"/>
      <c r="CU1582" s="16"/>
      <c r="CV1582" s="16"/>
      <c r="CW1582" s="16"/>
      <c r="CX1582" s="16"/>
      <c r="CY1582" s="16"/>
      <c r="CZ1582" s="16"/>
      <c r="DA1582" s="16"/>
      <c r="DB1582" s="16"/>
      <c r="DC1582" s="16"/>
      <c r="DD1582" s="16"/>
      <c r="DE1582" s="16"/>
      <c r="DF1582" s="16"/>
    </row>
    <row r="1583" spans="8:110" x14ac:dyDescent="0.3">
      <c r="H1583" s="4">
        <f t="shared" si="204"/>
        <v>0</v>
      </c>
      <c r="K1583" s="3"/>
      <c r="L1583" s="16"/>
      <c r="M1583" s="16"/>
      <c r="N1583" s="16"/>
      <c r="O1583" s="16"/>
      <c r="P1583" s="16"/>
      <c r="Q1583" s="16"/>
      <c r="R1583" s="16"/>
      <c r="S1583" s="16"/>
      <c r="T1583" s="16"/>
      <c r="U1583" s="16"/>
      <c r="V1583" s="16"/>
      <c r="W1583" s="16"/>
      <c r="X1583" s="16"/>
      <c r="Y1583" s="16"/>
      <c r="Z1583" s="16"/>
      <c r="AA1583" s="16"/>
      <c r="AB1583" s="16"/>
      <c r="AC1583" s="16"/>
      <c r="AD1583" s="16"/>
      <c r="AE1583" s="16"/>
      <c r="AF1583" s="16"/>
      <c r="AG1583" s="16"/>
      <c r="AH1583" s="16"/>
      <c r="AI1583" s="16"/>
      <c r="AJ1583" s="16"/>
      <c r="AK1583" s="16"/>
      <c r="AL1583" s="16"/>
      <c r="AM1583" s="16"/>
      <c r="AN1583" s="16"/>
      <c r="AO1583" s="16"/>
      <c r="AP1583" s="16"/>
      <c r="AQ1583" s="16"/>
      <c r="AR1583" s="16"/>
      <c r="AS1583" s="16"/>
      <c r="AT1583" s="16"/>
      <c r="AU1583" s="16"/>
      <c r="AV1583" s="16"/>
      <c r="AW1583" s="16"/>
      <c r="AX1583" s="16"/>
      <c r="AY1583" s="16"/>
      <c r="AZ1583" s="16"/>
      <c r="BA1583" s="16"/>
      <c r="BB1583" s="16"/>
      <c r="BC1583" s="16"/>
      <c r="BD1583" s="16"/>
      <c r="BE1583" s="16"/>
      <c r="BF1583" s="16"/>
      <c r="BG1583" s="16"/>
      <c r="BH1583" s="16"/>
      <c r="BI1583" s="16"/>
      <c r="BJ1583" s="16"/>
      <c r="BK1583" s="16"/>
      <c r="BL1583" s="16"/>
      <c r="BM1583" s="16"/>
      <c r="BN1583" s="16"/>
      <c r="BO1583" s="16"/>
      <c r="BP1583" s="16"/>
      <c r="BQ1583" s="16"/>
      <c r="BR1583" s="16"/>
      <c r="BS1583" s="16"/>
      <c r="BT1583" s="16"/>
      <c r="BU1583" s="16"/>
      <c r="BV1583" s="16"/>
      <c r="BW1583" s="16"/>
      <c r="BX1583" s="16"/>
      <c r="BY1583" s="16"/>
      <c r="BZ1583" s="16"/>
      <c r="CA1583" s="16"/>
      <c r="CB1583" s="16"/>
      <c r="CC1583" s="16"/>
      <c r="CD1583" s="16"/>
      <c r="CE1583" s="16"/>
      <c r="CF1583" s="16"/>
      <c r="CG1583" s="16"/>
      <c r="CH1583" s="16"/>
      <c r="CI1583" s="16"/>
      <c r="CJ1583" s="16"/>
      <c r="CK1583" s="16"/>
      <c r="CL1583" s="16"/>
      <c r="CM1583" s="16"/>
      <c r="CN1583" s="16"/>
      <c r="CO1583" s="16"/>
      <c r="CP1583" s="16"/>
      <c r="CQ1583" s="16"/>
      <c r="CR1583" s="16"/>
      <c r="CS1583" s="16"/>
      <c r="CT1583" s="16"/>
      <c r="CU1583" s="16"/>
      <c r="CV1583" s="16"/>
      <c r="CW1583" s="16"/>
      <c r="CX1583" s="16"/>
      <c r="CY1583" s="16"/>
      <c r="CZ1583" s="16"/>
      <c r="DA1583" s="16"/>
      <c r="DB1583" s="16"/>
      <c r="DC1583" s="16"/>
      <c r="DD1583" s="16"/>
      <c r="DE1583" s="16"/>
      <c r="DF1583" s="16"/>
    </row>
    <row r="1584" spans="8:110" x14ac:dyDescent="0.3">
      <c r="H1584" s="4">
        <f t="shared" si="204"/>
        <v>0</v>
      </c>
      <c r="K1584" s="3"/>
      <c r="L1584" s="16"/>
      <c r="M1584" s="16"/>
      <c r="N1584" s="16"/>
      <c r="O1584" s="16"/>
      <c r="P1584" s="16"/>
      <c r="Q1584" s="16"/>
      <c r="R1584" s="16"/>
      <c r="S1584" s="16"/>
      <c r="T1584" s="16"/>
      <c r="U1584" s="16"/>
      <c r="V1584" s="16"/>
      <c r="W1584" s="16"/>
      <c r="X1584" s="16"/>
      <c r="Y1584" s="16"/>
      <c r="Z1584" s="16"/>
      <c r="AA1584" s="16"/>
      <c r="AB1584" s="16"/>
      <c r="AC1584" s="16"/>
      <c r="AD1584" s="16"/>
      <c r="AE1584" s="16"/>
      <c r="AF1584" s="16"/>
      <c r="AG1584" s="16"/>
      <c r="AH1584" s="16"/>
      <c r="AI1584" s="16"/>
      <c r="AJ1584" s="16"/>
      <c r="AK1584" s="16"/>
      <c r="AL1584" s="16"/>
      <c r="AM1584" s="16"/>
      <c r="AN1584" s="16"/>
      <c r="AO1584" s="16"/>
      <c r="AP1584" s="16"/>
      <c r="AQ1584" s="16"/>
      <c r="AR1584" s="16"/>
      <c r="AS1584" s="16"/>
      <c r="AT1584" s="16"/>
      <c r="AU1584" s="16"/>
      <c r="AV1584" s="16"/>
      <c r="AW1584" s="16"/>
      <c r="AX1584" s="16"/>
      <c r="AY1584" s="16"/>
      <c r="AZ1584" s="16"/>
      <c r="BA1584" s="16"/>
      <c r="BB1584" s="16"/>
      <c r="BC1584" s="16"/>
      <c r="BD1584" s="16"/>
      <c r="BE1584" s="16"/>
      <c r="BF1584" s="16"/>
      <c r="BG1584" s="16"/>
      <c r="BH1584" s="16"/>
      <c r="BI1584" s="16"/>
      <c r="BJ1584" s="16"/>
      <c r="BK1584" s="16"/>
      <c r="BL1584" s="16"/>
      <c r="BM1584" s="16"/>
      <c r="BN1584" s="16"/>
      <c r="BO1584" s="16"/>
      <c r="BP1584" s="16"/>
      <c r="BQ1584" s="16"/>
      <c r="BR1584" s="16"/>
      <c r="BS1584" s="16"/>
      <c r="BT1584" s="16"/>
      <c r="BU1584" s="16"/>
      <c r="BV1584" s="16"/>
      <c r="BW1584" s="16"/>
      <c r="BX1584" s="16"/>
      <c r="BY1584" s="16"/>
      <c r="BZ1584" s="16"/>
      <c r="CA1584" s="16"/>
      <c r="CB1584" s="16"/>
      <c r="CC1584" s="16"/>
      <c r="CD1584" s="16"/>
      <c r="CE1584" s="16"/>
      <c r="CF1584" s="16"/>
      <c r="CG1584" s="16"/>
      <c r="CH1584" s="16"/>
      <c r="CI1584" s="16"/>
      <c r="CJ1584" s="16"/>
      <c r="CK1584" s="16"/>
      <c r="CL1584" s="16"/>
      <c r="CM1584" s="16"/>
      <c r="CN1584" s="16"/>
      <c r="CO1584" s="16"/>
      <c r="CP1584" s="16"/>
      <c r="CQ1584" s="16"/>
      <c r="CR1584" s="16"/>
      <c r="CS1584" s="16"/>
      <c r="CT1584" s="16"/>
      <c r="CU1584" s="16"/>
      <c r="CV1584" s="16"/>
      <c r="CW1584" s="16"/>
      <c r="CX1584" s="16"/>
      <c r="CY1584" s="16"/>
      <c r="CZ1584" s="16"/>
      <c r="DA1584" s="16"/>
      <c r="DB1584" s="16"/>
      <c r="DC1584" s="16"/>
      <c r="DD1584" s="16"/>
      <c r="DE1584" s="16"/>
      <c r="DF1584" s="16"/>
    </row>
    <row r="1585" spans="8:110" x14ac:dyDescent="0.3">
      <c r="H1585" s="4">
        <f t="shared" si="204"/>
        <v>0</v>
      </c>
      <c r="K1585" s="3"/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  <c r="V1585" s="16"/>
      <c r="W1585" s="16"/>
      <c r="X1585" s="16"/>
      <c r="Y1585" s="16"/>
      <c r="Z1585" s="16"/>
      <c r="AA1585" s="16"/>
      <c r="AB1585" s="16"/>
      <c r="AC1585" s="16"/>
      <c r="AD1585" s="16"/>
      <c r="AE1585" s="16"/>
      <c r="AF1585" s="16"/>
      <c r="AG1585" s="16"/>
      <c r="AH1585" s="16"/>
      <c r="AI1585" s="16"/>
      <c r="AJ1585" s="16"/>
      <c r="AK1585" s="16"/>
      <c r="AL1585" s="16"/>
      <c r="AM1585" s="16"/>
      <c r="AN1585" s="16"/>
      <c r="AO1585" s="16"/>
      <c r="AP1585" s="16"/>
      <c r="AQ1585" s="16"/>
      <c r="AR1585" s="16"/>
      <c r="AS1585" s="16"/>
      <c r="AT1585" s="16"/>
      <c r="AU1585" s="16"/>
      <c r="AV1585" s="16"/>
      <c r="AW1585" s="16"/>
      <c r="AX1585" s="16"/>
      <c r="AY1585" s="16"/>
      <c r="AZ1585" s="16"/>
      <c r="BA1585" s="16"/>
      <c r="BB1585" s="16"/>
      <c r="BC1585" s="16"/>
      <c r="BD1585" s="16"/>
      <c r="BE1585" s="16"/>
      <c r="BF1585" s="16"/>
      <c r="BG1585" s="16"/>
      <c r="BH1585" s="16"/>
      <c r="BI1585" s="16"/>
      <c r="BJ1585" s="16"/>
      <c r="BK1585" s="16"/>
      <c r="BL1585" s="16"/>
      <c r="BM1585" s="16"/>
      <c r="BN1585" s="16"/>
      <c r="BO1585" s="16"/>
      <c r="BP1585" s="16"/>
      <c r="BQ1585" s="16"/>
      <c r="BR1585" s="16"/>
      <c r="BS1585" s="16"/>
      <c r="BT1585" s="16"/>
      <c r="BU1585" s="16"/>
      <c r="BV1585" s="16"/>
      <c r="BW1585" s="16"/>
      <c r="BX1585" s="16"/>
      <c r="BY1585" s="16"/>
      <c r="BZ1585" s="16"/>
      <c r="CA1585" s="16"/>
      <c r="CB1585" s="16"/>
      <c r="CC1585" s="16"/>
      <c r="CD1585" s="16"/>
      <c r="CE1585" s="16"/>
      <c r="CF1585" s="16"/>
      <c r="CG1585" s="16"/>
      <c r="CH1585" s="16"/>
      <c r="CI1585" s="16"/>
      <c r="CJ1585" s="16"/>
      <c r="CK1585" s="16"/>
      <c r="CL1585" s="16"/>
      <c r="CM1585" s="16"/>
      <c r="CN1585" s="16"/>
      <c r="CO1585" s="16"/>
      <c r="CP1585" s="16"/>
      <c r="CQ1585" s="16"/>
      <c r="CR1585" s="16"/>
      <c r="CS1585" s="16"/>
      <c r="CT1585" s="16"/>
      <c r="CU1585" s="16"/>
      <c r="CV1585" s="16"/>
      <c r="CW1585" s="16"/>
      <c r="CX1585" s="16"/>
      <c r="CY1585" s="16"/>
      <c r="CZ1585" s="16"/>
      <c r="DA1585" s="16"/>
      <c r="DB1585" s="16"/>
      <c r="DC1585" s="16"/>
      <c r="DD1585" s="16"/>
      <c r="DE1585" s="16"/>
      <c r="DF1585" s="16"/>
    </row>
    <row r="1586" spans="8:110" x14ac:dyDescent="0.3">
      <c r="H1586" s="4">
        <f t="shared" si="204"/>
        <v>0</v>
      </c>
      <c r="K1586" s="3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  <c r="W1586" s="16"/>
      <c r="X1586" s="16"/>
      <c r="Y1586" s="16"/>
      <c r="Z1586" s="16"/>
      <c r="AA1586" s="16"/>
      <c r="AB1586" s="16"/>
      <c r="AC1586" s="16"/>
      <c r="AD1586" s="16"/>
      <c r="AE1586" s="16"/>
      <c r="AF1586" s="16"/>
      <c r="AG1586" s="16"/>
      <c r="AH1586" s="16"/>
      <c r="AI1586" s="16"/>
      <c r="AJ1586" s="16"/>
      <c r="AK1586" s="16"/>
      <c r="AL1586" s="16"/>
      <c r="AM1586" s="16"/>
      <c r="AN1586" s="16"/>
      <c r="AO1586" s="16"/>
      <c r="AP1586" s="16"/>
      <c r="AQ1586" s="16"/>
      <c r="AR1586" s="16"/>
      <c r="AS1586" s="16"/>
      <c r="AT1586" s="16"/>
      <c r="AU1586" s="16"/>
      <c r="AV1586" s="16"/>
      <c r="AW1586" s="16"/>
      <c r="AX1586" s="16"/>
      <c r="AY1586" s="16"/>
      <c r="AZ1586" s="16"/>
      <c r="BA1586" s="16"/>
      <c r="BB1586" s="16"/>
      <c r="BC1586" s="16"/>
      <c r="BD1586" s="16"/>
      <c r="BE1586" s="16"/>
      <c r="BF1586" s="16"/>
      <c r="BG1586" s="16"/>
      <c r="BH1586" s="16"/>
      <c r="BI1586" s="16"/>
      <c r="BJ1586" s="16"/>
      <c r="BK1586" s="16"/>
      <c r="BL1586" s="16"/>
      <c r="BM1586" s="16"/>
      <c r="BN1586" s="16"/>
      <c r="BO1586" s="16"/>
      <c r="BP1586" s="16"/>
      <c r="BQ1586" s="16"/>
      <c r="BR1586" s="16"/>
      <c r="BS1586" s="16"/>
      <c r="BT1586" s="16"/>
      <c r="BU1586" s="16"/>
      <c r="BV1586" s="16"/>
      <c r="BW1586" s="16"/>
      <c r="BX1586" s="16"/>
      <c r="BY1586" s="16"/>
      <c r="BZ1586" s="16"/>
      <c r="CA1586" s="16"/>
      <c r="CB1586" s="16"/>
      <c r="CC1586" s="16"/>
      <c r="CD1586" s="16"/>
      <c r="CE1586" s="16"/>
      <c r="CF1586" s="16"/>
      <c r="CG1586" s="16"/>
      <c r="CH1586" s="16"/>
      <c r="CI1586" s="16"/>
      <c r="CJ1586" s="16"/>
      <c r="CK1586" s="16"/>
      <c r="CL1586" s="16"/>
      <c r="CM1586" s="16"/>
      <c r="CN1586" s="16"/>
      <c r="CO1586" s="16"/>
      <c r="CP1586" s="16"/>
      <c r="CQ1586" s="16"/>
      <c r="CR1586" s="16"/>
      <c r="CS1586" s="16"/>
      <c r="CT1586" s="16"/>
      <c r="CU1586" s="16"/>
      <c r="CV1586" s="16"/>
      <c r="CW1586" s="16"/>
      <c r="CX1586" s="16"/>
      <c r="CY1586" s="16"/>
      <c r="CZ1586" s="16"/>
      <c r="DA1586" s="16"/>
      <c r="DB1586" s="16"/>
      <c r="DC1586" s="16"/>
      <c r="DD1586" s="16"/>
      <c r="DE1586" s="16"/>
      <c r="DF1586" s="16"/>
    </row>
    <row r="1587" spans="8:110" x14ac:dyDescent="0.3">
      <c r="H1587" s="4">
        <f t="shared" si="204"/>
        <v>0</v>
      </c>
      <c r="K1587" s="3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6"/>
      <c r="AB1587" s="16"/>
      <c r="AC1587" s="16"/>
      <c r="AD1587" s="16"/>
      <c r="AE1587" s="16"/>
      <c r="AF1587" s="16"/>
      <c r="AG1587" s="16"/>
      <c r="AH1587" s="16"/>
      <c r="AI1587" s="16"/>
      <c r="AJ1587" s="16"/>
      <c r="AK1587" s="16"/>
      <c r="AL1587" s="16"/>
      <c r="AM1587" s="16"/>
      <c r="AN1587" s="16"/>
      <c r="AO1587" s="16"/>
      <c r="AP1587" s="16"/>
      <c r="AQ1587" s="16"/>
      <c r="AR1587" s="16"/>
      <c r="AS1587" s="16"/>
      <c r="AT1587" s="16"/>
      <c r="AU1587" s="16"/>
      <c r="AV1587" s="16"/>
      <c r="AW1587" s="16"/>
      <c r="AX1587" s="16"/>
      <c r="AY1587" s="16"/>
      <c r="AZ1587" s="16"/>
      <c r="BA1587" s="16"/>
      <c r="BB1587" s="16"/>
      <c r="BC1587" s="16"/>
      <c r="BD1587" s="16"/>
      <c r="BE1587" s="16"/>
      <c r="BF1587" s="16"/>
      <c r="BG1587" s="16"/>
      <c r="BH1587" s="16"/>
      <c r="BI1587" s="16"/>
      <c r="BJ1587" s="16"/>
      <c r="BK1587" s="16"/>
      <c r="BL1587" s="16"/>
      <c r="BM1587" s="16"/>
      <c r="BN1587" s="16"/>
      <c r="BO1587" s="16"/>
      <c r="BP1587" s="16"/>
      <c r="BQ1587" s="16"/>
      <c r="BR1587" s="16"/>
      <c r="BS1587" s="16"/>
      <c r="BT1587" s="16"/>
      <c r="BU1587" s="16"/>
      <c r="BV1587" s="16"/>
      <c r="BW1587" s="16"/>
      <c r="BX1587" s="16"/>
      <c r="BY1587" s="16"/>
      <c r="BZ1587" s="16"/>
      <c r="CA1587" s="16"/>
      <c r="CB1587" s="16"/>
      <c r="CC1587" s="16"/>
      <c r="CD1587" s="16"/>
      <c r="CE1587" s="16"/>
      <c r="CF1587" s="16"/>
      <c r="CG1587" s="16"/>
      <c r="CH1587" s="16"/>
      <c r="CI1587" s="16"/>
      <c r="CJ1587" s="16"/>
      <c r="CK1587" s="16"/>
      <c r="CL1587" s="16"/>
      <c r="CM1587" s="16"/>
      <c r="CN1587" s="16"/>
      <c r="CO1587" s="16"/>
      <c r="CP1587" s="16"/>
      <c r="CQ1587" s="16"/>
      <c r="CR1587" s="16"/>
      <c r="CS1587" s="16"/>
      <c r="CT1587" s="16"/>
      <c r="CU1587" s="16"/>
      <c r="CV1587" s="16"/>
      <c r="CW1587" s="16"/>
      <c r="CX1587" s="16"/>
      <c r="CY1587" s="16"/>
      <c r="CZ1587" s="16"/>
      <c r="DA1587" s="16"/>
      <c r="DB1587" s="16"/>
      <c r="DC1587" s="16"/>
      <c r="DD1587" s="16"/>
      <c r="DE1587" s="16"/>
      <c r="DF1587" s="16"/>
    </row>
    <row r="1588" spans="8:110" x14ac:dyDescent="0.3">
      <c r="H1588" s="4">
        <f t="shared" si="204"/>
        <v>0</v>
      </c>
      <c r="K1588" s="3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6"/>
      <c r="AA1588" s="16"/>
      <c r="AB1588" s="16"/>
      <c r="AC1588" s="16"/>
      <c r="AD1588" s="16"/>
      <c r="AE1588" s="16"/>
      <c r="AF1588" s="16"/>
      <c r="AG1588" s="16"/>
      <c r="AH1588" s="16"/>
      <c r="AI1588" s="16"/>
      <c r="AJ1588" s="16"/>
      <c r="AK1588" s="16"/>
      <c r="AL1588" s="16"/>
      <c r="AM1588" s="16"/>
      <c r="AN1588" s="16"/>
      <c r="AO1588" s="16"/>
      <c r="AP1588" s="16"/>
      <c r="AQ1588" s="16"/>
      <c r="AR1588" s="16"/>
      <c r="AS1588" s="16"/>
      <c r="AT1588" s="16"/>
      <c r="AU1588" s="16"/>
      <c r="AV1588" s="16"/>
      <c r="AW1588" s="16"/>
      <c r="AX1588" s="16"/>
      <c r="AY1588" s="16"/>
      <c r="AZ1588" s="16"/>
      <c r="BA1588" s="16"/>
      <c r="BB1588" s="16"/>
      <c r="BC1588" s="16"/>
      <c r="BD1588" s="16"/>
      <c r="BE1588" s="16"/>
      <c r="BF1588" s="16"/>
      <c r="BG1588" s="16"/>
      <c r="BH1588" s="16"/>
      <c r="BI1588" s="16"/>
      <c r="BJ1588" s="16"/>
      <c r="BK1588" s="16"/>
      <c r="BL1588" s="16"/>
      <c r="BM1588" s="16"/>
      <c r="BN1588" s="16"/>
      <c r="BO1588" s="16"/>
      <c r="BP1588" s="16"/>
      <c r="BQ1588" s="16"/>
      <c r="BR1588" s="16"/>
      <c r="BS1588" s="16"/>
      <c r="BT1588" s="16"/>
      <c r="BU1588" s="16"/>
      <c r="BV1588" s="16"/>
      <c r="BW1588" s="16"/>
      <c r="BX1588" s="16"/>
      <c r="BY1588" s="16"/>
      <c r="BZ1588" s="16"/>
      <c r="CA1588" s="16"/>
      <c r="CB1588" s="16"/>
      <c r="CC1588" s="16"/>
      <c r="CD1588" s="16"/>
      <c r="CE1588" s="16"/>
      <c r="CF1588" s="16"/>
      <c r="CG1588" s="16"/>
      <c r="CH1588" s="16"/>
      <c r="CI1588" s="16"/>
      <c r="CJ1588" s="16"/>
      <c r="CK1588" s="16"/>
      <c r="CL1588" s="16"/>
      <c r="CM1588" s="16"/>
      <c r="CN1588" s="16"/>
      <c r="CO1588" s="16"/>
      <c r="CP1588" s="16"/>
      <c r="CQ1588" s="16"/>
      <c r="CR1588" s="16"/>
      <c r="CS1588" s="16"/>
      <c r="CT1588" s="16"/>
      <c r="CU1588" s="16"/>
      <c r="CV1588" s="16"/>
      <c r="CW1588" s="16"/>
      <c r="CX1588" s="16"/>
      <c r="CY1588" s="16"/>
      <c r="CZ1588" s="16"/>
      <c r="DA1588" s="16"/>
      <c r="DB1588" s="16"/>
      <c r="DC1588" s="16"/>
      <c r="DD1588" s="16"/>
      <c r="DE1588" s="16"/>
      <c r="DF1588" s="16"/>
    </row>
    <row r="1589" spans="8:110" x14ac:dyDescent="0.3">
      <c r="H1589" s="4">
        <f t="shared" si="204"/>
        <v>0</v>
      </c>
      <c r="K1589" s="3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  <c r="V1589" s="16"/>
      <c r="W1589" s="16"/>
      <c r="X1589" s="16"/>
      <c r="Y1589" s="16"/>
      <c r="Z1589" s="16"/>
      <c r="AA1589" s="16"/>
      <c r="AB1589" s="16"/>
      <c r="AC1589" s="16"/>
      <c r="AD1589" s="16"/>
      <c r="AE1589" s="16"/>
      <c r="AF1589" s="16"/>
      <c r="AG1589" s="16"/>
      <c r="AH1589" s="16"/>
      <c r="AI1589" s="16"/>
      <c r="AJ1589" s="16"/>
      <c r="AK1589" s="16"/>
      <c r="AL1589" s="16"/>
      <c r="AM1589" s="16"/>
      <c r="AN1589" s="16"/>
      <c r="AO1589" s="16"/>
      <c r="AP1589" s="16"/>
      <c r="AQ1589" s="16"/>
      <c r="AR1589" s="16"/>
      <c r="AS1589" s="16"/>
      <c r="AT1589" s="16"/>
      <c r="AU1589" s="16"/>
      <c r="AV1589" s="16"/>
      <c r="AW1589" s="16"/>
      <c r="AX1589" s="16"/>
      <c r="AY1589" s="16"/>
      <c r="AZ1589" s="16"/>
      <c r="BA1589" s="16"/>
      <c r="BB1589" s="16"/>
      <c r="BC1589" s="16"/>
      <c r="BD1589" s="16"/>
      <c r="BE1589" s="16"/>
      <c r="BF1589" s="16"/>
      <c r="BG1589" s="16"/>
      <c r="BH1589" s="16"/>
      <c r="BI1589" s="16"/>
      <c r="BJ1589" s="16"/>
      <c r="BK1589" s="16"/>
      <c r="BL1589" s="16"/>
      <c r="BM1589" s="16"/>
      <c r="BN1589" s="16"/>
      <c r="BO1589" s="16"/>
      <c r="BP1589" s="16"/>
      <c r="BQ1589" s="16"/>
      <c r="BR1589" s="16"/>
      <c r="BS1589" s="16"/>
      <c r="BT1589" s="16"/>
      <c r="BU1589" s="16"/>
      <c r="BV1589" s="16"/>
      <c r="BW1589" s="16"/>
      <c r="BX1589" s="16"/>
      <c r="BY1589" s="16"/>
      <c r="BZ1589" s="16"/>
      <c r="CA1589" s="16"/>
      <c r="CB1589" s="16"/>
      <c r="CC1589" s="16"/>
      <c r="CD1589" s="16"/>
      <c r="CE1589" s="16"/>
      <c r="CF1589" s="16"/>
      <c r="CG1589" s="16"/>
      <c r="CH1589" s="16"/>
      <c r="CI1589" s="16"/>
      <c r="CJ1589" s="16"/>
      <c r="CK1589" s="16"/>
      <c r="CL1589" s="16"/>
      <c r="CM1589" s="16"/>
      <c r="CN1589" s="16"/>
      <c r="CO1589" s="16"/>
      <c r="CP1589" s="16"/>
      <c r="CQ1589" s="16"/>
      <c r="CR1589" s="16"/>
      <c r="CS1589" s="16"/>
      <c r="CT1589" s="16"/>
      <c r="CU1589" s="16"/>
      <c r="CV1589" s="16"/>
      <c r="CW1589" s="16"/>
      <c r="CX1589" s="16"/>
      <c r="CY1589" s="16"/>
      <c r="CZ1589" s="16"/>
      <c r="DA1589" s="16"/>
      <c r="DB1589" s="16"/>
      <c r="DC1589" s="16"/>
      <c r="DD1589" s="16"/>
      <c r="DE1589" s="16"/>
      <c r="DF1589" s="16"/>
    </row>
    <row r="1590" spans="8:110" x14ac:dyDescent="0.3">
      <c r="H1590" s="4">
        <f t="shared" si="204"/>
        <v>0</v>
      </c>
      <c r="K1590" s="3"/>
      <c r="L1590" s="16"/>
      <c r="M1590" s="16"/>
      <c r="N1590" s="16"/>
      <c r="O1590" s="16"/>
      <c r="P1590" s="16"/>
      <c r="Q1590" s="16"/>
      <c r="R1590" s="16"/>
      <c r="S1590" s="16"/>
      <c r="T1590" s="16"/>
      <c r="U1590" s="16"/>
      <c r="V1590" s="16"/>
      <c r="W1590" s="16"/>
      <c r="X1590" s="16"/>
      <c r="Y1590" s="16"/>
      <c r="Z1590" s="16"/>
      <c r="AA1590" s="16"/>
      <c r="AB1590" s="16"/>
      <c r="AC1590" s="16"/>
      <c r="AD1590" s="16"/>
      <c r="AE1590" s="16"/>
      <c r="AF1590" s="16"/>
      <c r="AG1590" s="16"/>
      <c r="AH1590" s="16"/>
      <c r="AI1590" s="16"/>
      <c r="AJ1590" s="16"/>
      <c r="AK1590" s="16"/>
      <c r="AL1590" s="16"/>
      <c r="AM1590" s="16"/>
      <c r="AN1590" s="16"/>
      <c r="AO1590" s="16"/>
      <c r="AP1590" s="16"/>
      <c r="AQ1590" s="16"/>
      <c r="AR1590" s="16"/>
      <c r="AS1590" s="16"/>
      <c r="AT1590" s="16"/>
      <c r="AU1590" s="16"/>
      <c r="AV1590" s="16"/>
      <c r="AW1590" s="16"/>
      <c r="AX1590" s="16"/>
      <c r="AY1590" s="16"/>
      <c r="AZ1590" s="16"/>
      <c r="BA1590" s="16"/>
      <c r="BB1590" s="16"/>
      <c r="BC1590" s="16"/>
      <c r="BD1590" s="16"/>
      <c r="BE1590" s="16"/>
      <c r="BF1590" s="16"/>
      <c r="BG1590" s="16"/>
      <c r="BH1590" s="16"/>
      <c r="BI1590" s="16"/>
      <c r="BJ1590" s="16"/>
      <c r="BK1590" s="16"/>
      <c r="BL1590" s="16"/>
      <c r="BM1590" s="16"/>
      <c r="BN1590" s="16"/>
      <c r="BO1590" s="16"/>
      <c r="BP1590" s="16"/>
      <c r="BQ1590" s="16"/>
      <c r="BR1590" s="16"/>
      <c r="BS1590" s="16"/>
      <c r="BT1590" s="16"/>
      <c r="BU1590" s="16"/>
      <c r="BV1590" s="16"/>
      <c r="BW1590" s="16"/>
      <c r="BX1590" s="16"/>
      <c r="BY1590" s="16"/>
      <c r="BZ1590" s="16"/>
      <c r="CA1590" s="16"/>
      <c r="CB1590" s="16"/>
      <c r="CC1590" s="16"/>
      <c r="CD1590" s="16"/>
      <c r="CE1590" s="16"/>
      <c r="CF1590" s="16"/>
      <c r="CG1590" s="16"/>
      <c r="CH1590" s="16"/>
      <c r="CI1590" s="16"/>
      <c r="CJ1590" s="16"/>
      <c r="CK1590" s="16"/>
      <c r="CL1590" s="16"/>
      <c r="CM1590" s="16"/>
      <c r="CN1590" s="16"/>
      <c r="CO1590" s="16"/>
      <c r="CP1590" s="16"/>
      <c r="CQ1590" s="16"/>
      <c r="CR1590" s="16"/>
      <c r="CS1590" s="16"/>
      <c r="CT1590" s="16"/>
      <c r="CU1590" s="16"/>
      <c r="CV1590" s="16"/>
      <c r="CW1590" s="16"/>
      <c r="CX1590" s="16"/>
      <c r="CY1590" s="16"/>
      <c r="CZ1590" s="16"/>
      <c r="DA1590" s="16"/>
      <c r="DB1590" s="16"/>
      <c r="DC1590" s="16"/>
      <c r="DD1590" s="16"/>
      <c r="DE1590" s="16"/>
      <c r="DF1590" s="16"/>
    </row>
    <row r="1591" spans="8:110" x14ac:dyDescent="0.3">
      <c r="H1591" s="4">
        <f t="shared" si="204"/>
        <v>0</v>
      </c>
      <c r="K1591" s="3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  <c r="Y1591" s="16"/>
      <c r="Z1591" s="16"/>
      <c r="AA1591" s="16"/>
      <c r="AB1591" s="16"/>
      <c r="AC1591" s="16"/>
      <c r="AD1591" s="16"/>
      <c r="AE1591" s="16"/>
      <c r="AF1591" s="16"/>
      <c r="AG1591" s="16"/>
      <c r="AH1591" s="16"/>
      <c r="AI1591" s="16"/>
      <c r="AJ1591" s="16"/>
      <c r="AK1591" s="16"/>
      <c r="AL1591" s="16"/>
      <c r="AM1591" s="16"/>
      <c r="AN1591" s="16"/>
      <c r="AO1591" s="16"/>
      <c r="AP1591" s="16"/>
      <c r="AQ1591" s="16"/>
      <c r="AR1591" s="16"/>
      <c r="AS1591" s="16"/>
      <c r="AT1591" s="16"/>
      <c r="AU1591" s="16"/>
      <c r="AV1591" s="16"/>
      <c r="AW1591" s="16"/>
      <c r="AX1591" s="16"/>
      <c r="AY1591" s="16"/>
      <c r="AZ1591" s="16"/>
      <c r="BA1591" s="16"/>
      <c r="BB1591" s="16"/>
      <c r="BC1591" s="16"/>
      <c r="BD1591" s="16"/>
      <c r="BE1591" s="16"/>
      <c r="BF1591" s="16"/>
      <c r="BG1591" s="16"/>
      <c r="BH1591" s="16"/>
      <c r="BI1591" s="16"/>
      <c r="BJ1591" s="16"/>
      <c r="BK1591" s="16"/>
      <c r="BL1591" s="16"/>
      <c r="BM1591" s="16"/>
      <c r="BN1591" s="16"/>
      <c r="BO1591" s="16"/>
      <c r="BP1591" s="16"/>
      <c r="BQ1591" s="16"/>
      <c r="BR1591" s="16"/>
      <c r="BS1591" s="16"/>
      <c r="BT1591" s="16"/>
      <c r="BU1591" s="16"/>
      <c r="BV1591" s="16"/>
      <c r="BW1591" s="16"/>
      <c r="BX1591" s="16"/>
      <c r="BY1591" s="16"/>
      <c r="BZ1591" s="16"/>
      <c r="CA1591" s="16"/>
      <c r="CB1591" s="16"/>
      <c r="CC1591" s="16"/>
      <c r="CD1591" s="16"/>
      <c r="CE1591" s="16"/>
      <c r="CF1591" s="16"/>
      <c r="CG1591" s="16"/>
      <c r="CH1591" s="16"/>
      <c r="CI1591" s="16"/>
      <c r="CJ1591" s="16"/>
      <c r="CK1591" s="16"/>
      <c r="CL1591" s="16"/>
      <c r="CM1591" s="16"/>
      <c r="CN1591" s="16"/>
      <c r="CO1591" s="16"/>
      <c r="CP1591" s="16"/>
      <c r="CQ1591" s="16"/>
      <c r="CR1591" s="16"/>
      <c r="CS1591" s="16"/>
      <c r="CT1591" s="16"/>
      <c r="CU1591" s="16"/>
      <c r="CV1591" s="16"/>
      <c r="CW1591" s="16"/>
      <c r="CX1591" s="16"/>
      <c r="CY1591" s="16"/>
      <c r="CZ1591" s="16"/>
      <c r="DA1591" s="16"/>
      <c r="DB1591" s="16"/>
      <c r="DC1591" s="16"/>
      <c r="DD1591" s="16"/>
      <c r="DE1591" s="16"/>
      <c r="DF1591" s="16"/>
    </row>
    <row r="1592" spans="8:110" x14ac:dyDescent="0.3">
      <c r="H1592" s="4">
        <f t="shared" si="204"/>
        <v>0</v>
      </c>
      <c r="K1592" s="3"/>
      <c r="L1592" s="16"/>
      <c r="M1592" s="16"/>
      <c r="N1592" s="16"/>
      <c r="O1592" s="16"/>
      <c r="P1592" s="16"/>
      <c r="Q1592" s="16"/>
      <c r="R1592" s="16"/>
      <c r="S1592" s="16"/>
      <c r="T1592" s="16"/>
      <c r="U1592" s="16"/>
      <c r="V1592" s="16"/>
      <c r="W1592" s="16"/>
      <c r="X1592" s="16"/>
      <c r="Y1592" s="16"/>
      <c r="Z1592" s="16"/>
      <c r="AA1592" s="16"/>
      <c r="AB1592" s="16"/>
      <c r="AC1592" s="16"/>
      <c r="AD1592" s="16"/>
      <c r="AE1592" s="16"/>
      <c r="AF1592" s="16"/>
      <c r="AG1592" s="16"/>
      <c r="AH1592" s="16"/>
      <c r="AI1592" s="16"/>
      <c r="AJ1592" s="16"/>
      <c r="AK1592" s="16"/>
      <c r="AL1592" s="16"/>
      <c r="AM1592" s="16"/>
      <c r="AN1592" s="16"/>
      <c r="AO1592" s="16"/>
      <c r="AP1592" s="16"/>
      <c r="AQ1592" s="16"/>
      <c r="AR1592" s="16"/>
      <c r="AS1592" s="16"/>
      <c r="AT1592" s="16"/>
      <c r="AU1592" s="16"/>
      <c r="AV1592" s="16"/>
      <c r="AW1592" s="16"/>
      <c r="AX1592" s="16"/>
      <c r="AY1592" s="16"/>
      <c r="AZ1592" s="16"/>
      <c r="BA1592" s="16"/>
      <c r="BB1592" s="16"/>
      <c r="BC1592" s="16"/>
      <c r="BD1592" s="16"/>
      <c r="BE1592" s="16"/>
      <c r="BF1592" s="16"/>
      <c r="BG1592" s="16"/>
      <c r="BH1592" s="16"/>
      <c r="BI1592" s="16"/>
      <c r="BJ1592" s="16"/>
      <c r="BK1592" s="16"/>
      <c r="BL1592" s="16"/>
      <c r="BM1592" s="16"/>
      <c r="BN1592" s="16"/>
      <c r="BO1592" s="16"/>
      <c r="BP1592" s="16"/>
      <c r="BQ1592" s="16"/>
      <c r="BR1592" s="16"/>
      <c r="BS1592" s="16"/>
      <c r="BT1592" s="16"/>
      <c r="BU1592" s="16"/>
      <c r="BV1592" s="16"/>
      <c r="BW1592" s="16"/>
      <c r="BX1592" s="16"/>
      <c r="BY1592" s="16"/>
      <c r="BZ1592" s="16"/>
      <c r="CA1592" s="16"/>
      <c r="CB1592" s="16"/>
      <c r="CC1592" s="16"/>
      <c r="CD1592" s="16"/>
      <c r="CE1592" s="16"/>
      <c r="CF1592" s="16"/>
      <c r="CG1592" s="16"/>
      <c r="CH1592" s="16"/>
      <c r="CI1592" s="16"/>
      <c r="CJ1592" s="16"/>
      <c r="CK1592" s="16"/>
      <c r="CL1592" s="16"/>
      <c r="CM1592" s="16"/>
      <c r="CN1592" s="16"/>
      <c r="CO1592" s="16"/>
      <c r="CP1592" s="16"/>
      <c r="CQ1592" s="16"/>
      <c r="CR1592" s="16"/>
      <c r="CS1592" s="16"/>
      <c r="CT1592" s="16"/>
      <c r="CU1592" s="16"/>
      <c r="CV1592" s="16"/>
      <c r="CW1592" s="16"/>
      <c r="CX1592" s="16"/>
      <c r="CY1592" s="16"/>
      <c r="CZ1592" s="16"/>
      <c r="DA1592" s="16"/>
      <c r="DB1592" s="16"/>
      <c r="DC1592" s="16"/>
      <c r="DD1592" s="16"/>
      <c r="DE1592" s="16"/>
      <c r="DF1592" s="16"/>
    </row>
    <row r="1593" spans="8:110" x14ac:dyDescent="0.3">
      <c r="H1593" s="4">
        <f t="shared" si="204"/>
        <v>0</v>
      </c>
      <c r="K1593" s="3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  <c r="V1593" s="16"/>
      <c r="W1593" s="16"/>
      <c r="X1593" s="16"/>
      <c r="Y1593" s="16"/>
      <c r="Z1593" s="16"/>
      <c r="AA1593" s="16"/>
      <c r="AB1593" s="16"/>
      <c r="AC1593" s="16"/>
      <c r="AD1593" s="16"/>
      <c r="AE1593" s="16"/>
      <c r="AF1593" s="16"/>
      <c r="AG1593" s="16"/>
      <c r="AH1593" s="16"/>
      <c r="AI1593" s="16"/>
      <c r="AJ1593" s="16"/>
      <c r="AK1593" s="16"/>
      <c r="AL1593" s="16"/>
      <c r="AM1593" s="16"/>
      <c r="AN1593" s="16"/>
      <c r="AO1593" s="16"/>
      <c r="AP1593" s="16"/>
      <c r="AQ1593" s="16"/>
      <c r="AR1593" s="16"/>
      <c r="AS1593" s="16"/>
      <c r="AT1593" s="16"/>
      <c r="AU1593" s="16"/>
      <c r="AV1593" s="16"/>
      <c r="AW1593" s="16"/>
      <c r="AX1593" s="16"/>
      <c r="AY1593" s="16"/>
      <c r="AZ1593" s="16"/>
      <c r="BA1593" s="16"/>
      <c r="BB1593" s="16"/>
      <c r="BC1593" s="16"/>
      <c r="BD1593" s="16"/>
      <c r="BE1593" s="16"/>
      <c r="BF1593" s="16"/>
      <c r="BG1593" s="16"/>
      <c r="BH1593" s="16"/>
      <c r="BI1593" s="16"/>
      <c r="BJ1593" s="16"/>
      <c r="BK1593" s="16"/>
      <c r="BL1593" s="16"/>
      <c r="BM1593" s="16"/>
      <c r="BN1593" s="16"/>
      <c r="BO1593" s="16"/>
      <c r="BP1593" s="16"/>
      <c r="BQ1593" s="16"/>
      <c r="BR1593" s="16"/>
      <c r="BS1593" s="16"/>
      <c r="BT1593" s="16"/>
      <c r="BU1593" s="16"/>
      <c r="BV1593" s="16"/>
      <c r="BW1593" s="16"/>
      <c r="BX1593" s="16"/>
      <c r="BY1593" s="16"/>
      <c r="BZ1593" s="16"/>
      <c r="CA1593" s="16"/>
      <c r="CB1593" s="16"/>
      <c r="CC1593" s="16"/>
      <c r="CD1593" s="16"/>
      <c r="CE1593" s="16"/>
      <c r="CF1593" s="16"/>
      <c r="CG1593" s="16"/>
      <c r="CH1593" s="16"/>
      <c r="CI1593" s="16"/>
      <c r="CJ1593" s="16"/>
      <c r="CK1593" s="16"/>
      <c r="CL1593" s="16"/>
      <c r="CM1593" s="16"/>
      <c r="CN1593" s="16"/>
      <c r="CO1593" s="16"/>
      <c r="CP1593" s="16"/>
      <c r="CQ1593" s="16"/>
      <c r="CR1593" s="16"/>
      <c r="CS1593" s="16"/>
      <c r="CT1593" s="16"/>
      <c r="CU1593" s="16"/>
      <c r="CV1593" s="16"/>
      <c r="CW1593" s="16"/>
      <c r="CX1593" s="16"/>
      <c r="CY1593" s="16"/>
      <c r="CZ1593" s="16"/>
      <c r="DA1593" s="16"/>
      <c r="DB1593" s="16"/>
      <c r="DC1593" s="16"/>
      <c r="DD1593" s="16"/>
      <c r="DE1593" s="16"/>
      <c r="DF1593" s="16"/>
    </row>
    <row r="1594" spans="8:110" x14ac:dyDescent="0.3">
      <c r="H1594" s="4">
        <f t="shared" si="204"/>
        <v>0</v>
      </c>
      <c r="K1594" s="3"/>
      <c r="L1594" s="16"/>
      <c r="M1594" s="16"/>
      <c r="N1594" s="16"/>
      <c r="O1594" s="16"/>
      <c r="P1594" s="16"/>
      <c r="Q1594" s="16"/>
      <c r="R1594" s="16"/>
      <c r="S1594" s="16"/>
      <c r="T1594" s="16"/>
      <c r="U1594" s="16"/>
      <c r="V1594" s="16"/>
      <c r="W1594" s="16"/>
      <c r="X1594" s="16"/>
      <c r="Y1594" s="16"/>
      <c r="Z1594" s="16"/>
      <c r="AA1594" s="16"/>
      <c r="AB1594" s="16"/>
      <c r="AC1594" s="16"/>
      <c r="AD1594" s="16"/>
      <c r="AE1594" s="16"/>
      <c r="AF1594" s="16"/>
      <c r="AG1594" s="16"/>
      <c r="AH1594" s="16"/>
      <c r="AI1594" s="16"/>
      <c r="AJ1594" s="16"/>
      <c r="AK1594" s="16"/>
      <c r="AL1594" s="16"/>
      <c r="AM1594" s="16"/>
      <c r="AN1594" s="16"/>
      <c r="AO1594" s="16"/>
      <c r="AP1594" s="16"/>
      <c r="AQ1594" s="16"/>
      <c r="AR1594" s="16"/>
      <c r="AS1594" s="16"/>
      <c r="AT1594" s="16"/>
      <c r="AU1594" s="16"/>
      <c r="AV1594" s="16"/>
      <c r="AW1594" s="16"/>
      <c r="AX1594" s="16"/>
      <c r="AY1594" s="16"/>
      <c r="AZ1594" s="16"/>
      <c r="BA1594" s="16"/>
      <c r="BB1594" s="16"/>
      <c r="BC1594" s="16"/>
      <c r="BD1594" s="16"/>
      <c r="BE1594" s="16"/>
      <c r="BF1594" s="16"/>
      <c r="BG1594" s="16"/>
      <c r="BH1594" s="16"/>
      <c r="BI1594" s="16"/>
      <c r="BJ1594" s="16"/>
      <c r="BK1594" s="16"/>
      <c r="BL1594" s="16"/>
      <c r="BM1594" s="16"/>
      <c r="BN1594" s="16"/>
      <c r="BO1594" s="16"/>
      <c r="BP1594" s="16"/>
      <c r="BQ1594" s="16"/>
      <c r="BR1594" s="16"/>
      <c r="BS1594" s="16"/>
      <c r="BT1594" s="16"/>
      <c r="BU1594" s="16"/>
      <c r="BV1594" s="16"/>
      <c r="BW1594" s="16"/>
      <c r="BX1594" s="16"/>
      <c r="BY1594" s="16"/>
      <c r="BZ1594" s="16"/>
      <c r="CA1594" s="16"/>
      <c r="CB1594" s="16"/>
      <c r="CC1594" s="16"/>
      <c r="CD1594" s="16"/>
      <c r="CE1594" s="16"/>
      <c r="CF1594" s="16"/>
      <c r="CG1594" s="16"/>
      <c r="CH1594" s="16"/>
      <c r="CI1594" s="16"/>
      <c r="CJ1594" s="16"/>
      <c r="CK1594" s="16"/>
      <c r="CL1594" s="16"/>
      <c r="CM1594" s="16"/>
      <c r="CN1594" s="16"/>
      <c r="CO1594" s="16"/>
      <c r="CP1594" s="16"/>
      <c r="CQ1594" s="16"/>
      <c r="CR1594" s="16"/>
      <c r="CS1594" s="16"/>
      <c r="CT1594" s="16"/>
      <c r="CU1594" s="16"/>
      <c r="CV1594" s="16"/>
      <c r="CW1594" s="16"/>
      <c r="CX1594" s="16"/>
      <c r="CY1594" s="16"/>
      <c r="CZ1594" s="16"/>
      <c r="DA1594" s="16"/>
      <c r="DB1594" s="16"/>
      <c r="DC1594" s="16"/>
      <c r="DD1594" s="16"/>
      <c r="DE1594" s="16"/>
      <c r="DF1594" s="16"/>
    </row>
    <row r="1595" spans="8:110" x14ac:dyDescent="0.3">
      <c r="H1595" s="4">
        <f t="shared" si="204"/>
        <v>0</v>
      </c>
      <c r="K1595" s="3"/>
      <c r="L1595" s="16"/>
      <c r="M1595" s="16"/>
      <c r="N1595" s="16"/>
      <c r="O1595" s="16"/>
      <c r="P1595" s="16"/>
      <c r="Q1595" s="16"/>
      <c r="R1595" s="16"/>
      <c r="S1595" s="16"/>
      <c r="T1595" s="16"/>
      <c r="U1595" s="16"/>
      <c r="V1595" s="16"/>
      <c r="W1595" s="16"/>
      <c r="X1595" s="16"/>
      <c r="Y1595" s="16"/>
      <c r="Z1595" s="16"/>
      <c r="AA1595" s="16"/>
      <c r="AB1595" s="16"/>
      <c r="AC1595" s="16"/>
      <c r="AD1595" s="16"/>
      <c r="AE1595" s="16"/>
      <c r="AF1595" s="16"/>
      <c r="AG1595" s="16"/>
      <c r="AH1595" s="16"/>
      <c r="AI1595" s="16"/>
      <c r="AJ1595" s="16"/>
      <c r="AK1595" s="16"/>
      <c r="AL1595" s="16"/>
      <c r="AM1595" s="16"/>
      <c r="AN1595" s="16"/>
      <c r="AO1595" s="16"/>
      <c r="AP1595" s="16"/>
      <c r="AQ1595" s="16"/>
      <c r="AR1595" s="16"/>
      <c r="AS1595" s="16"/>
      <c r="AT1595" s="16"/>
      <c r="AU1595" s="16"/>
      <c r="AV1595" s="16"/>
      <c r="AW1595" s="16"/>
      <c r="AX1595" s="16"/>
      <c r="AY1595" s="16"/>
      <c r="AZ1595" s="16"/>
      <c r="BA1595" s="16"/>
      <c r="BB1595" s="16"/>
      <c r="BC1595" s="16"/>
      <c r="BD1595" s="16"/>
      <c r="BE1595" s="16"/>
      <c r="BF1595" s="16"/>
      <c r="BG1595" s="16"/>
      <c r="BH1595" s="16"/>
      <c r="BI1595" s="16"/>
      <c r="BJ1595" s="16"/>
      <c r="BK1595" s="16"/>
      <c r="BL1595" s="16"/>
      <c r="BM1595" s="16"/>
      <c r="BN1595" s="16"/>
      <c r="BO1595" s="16"/>
      <c r="BP1595" s="16"/>
      <c r="BQ1595" s="16"/>
      <c r="BR1595" s="16"/>
      <c r="BS1595" s="16"/>
      <c r="BT1595" s="16"/>
      <c r="BU1595" s="16"/>
      <c r="BV1595" s="16"/>
      <c r="BW1595" s="16"/>
      <c r="BX1595" s="16"/>
      <c r="BY1595" s="16"/>
      <c r="BZ1595" s="16"/>
      <c r="CA1595" s="16"/>
      <c r="CB1595" s="16"/>
      <c r="CC1595" s="16"/>
      <c r="CD1595" s="16"/>
      <c r="CE1595" s="16"/>
      <c r="CF1595" s="16"/>
      <c r="CG1595" s="16"/>
      <c r="CH1595" s="16"/>
      <c r="CI1595" s="16"/>
      <c r="CJ1595" s="16"/>
      <c r="CK1595" s="16"/>
      <c r="CL1595" s="16"/>
      <c r="CM1595" s="16"/>
      <c r="CN1595" s="16"/>
      <c r="CO1595" s="16"/>
      <c r="CP1595" s="16"/>
      <c r="CQ1595" s="16"/>
      <c r="CR1595" s="16"/>
      <c r="CS1595" s="16"/>
      <c r="CT1595" s="16"/>
      <c r="CU1595" s="16"/>
      <c r="CV1595" s="16"/>
      <c r="CW1595" s="16"/>
      <c r="CX1595" s="16"/>
      <c r="CY1595" s="16"/>
      <c r="CZ1595" s="16"/>
      <c r="DA1595" s="16"/>
      <c r="DB1595" s="16"/>
      <c r="DC1595" s="16"/>
      <c r="DD1595" s="16"/>
      <c r="DE1595" s="16"/>
      <c r="DF1595" s="16"/>
    </row>
    <row r="1596" spans="8:110" x14ac:dyDescent="0.3">
      <c r="H1596" s="4">
        <f t="shared" si="204"/>
        <v>0</v>
      </c>
      <c r="K1596" s="3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  <c r="W1596" s="16"/>
      <c r="X1596" s="16"/>
      <c r="Y1596" s="16"/>
      <c r="Z1596" s="16"/>
      <c r="AA1596" s="16"/>
      <c r="AB1596" s="16"/>
      <c r="AC1596" s="16"/>
      <c r="AD1596" s="16"/>
      <c r="AE1596" s="16"/>
      <c r="AF1596" s="16"/>
      <c r="AG1596" s="16"/>
      <c r="AH1596" s="16"/>
      <c r="AI1596" s="16"/>
      <c r="AJ1596" s="16"/>
      <c r="AK1596" s="16"/>
      <c r="AL1596" s="16"/>
      <c r="AM1596" s="16"/>
      <c r="AN1596" s="16"/>
      <c r="AO1596" s="16"/>
      <c r="AP1596" s="16"/>
      <c r="AQ1596" s="16"/>
      <c r="AR1596" s="16"/>
      <c r="AS1596" s="16"/>
      <c r="AT1596" s="16"/>
      <c r="AU1596" s="16"/>
      <c r="AV1596" s="16"/>
      <c r="AW1596" s="16"/>
      <c r="AX1596" s="16"/>
      <c r="AY1596" s="16"/>
      <c r="AZ1596" s="16"/>
      <c r="BA1596" s="16"/>
      <c r="BB1596" s="16"/>
      <c r="BC1596" s="16"/>
      <c r="BD1596" s="16"/>
      <c r="BE1596" s="16"/>
      <c r="BF1596" s="16"/>
      <c r="BG1596" s="16"/>
      <c r="BH1596" s="16"/>
      <c r="BI1596" s="16"/>
      <c r="BJ1596" s="16"/>
      <c r="BK1596" s="16"/>
      <c r="BL1596" s="16"/>
      <c r="BM1596" s="16"/>
      <c r="BN1596" s="16"/>
      <c r="BO1596" s="16"/>
      <c r="BP1596" s="16"/>
      <c r="BQ1596" s="16"/>
      <c r="BR1596" s="16"/>
      <c r="BS1596" s="16"/>
      <c r="BT1596" s="16"/>
      <c r="BU1596" s="16"/>
      <c r="BV1596" s="16"/>
      <c r="BW1596" s="16"/>
      <c r="BX1596" s="16"/>
      <c r="BY1596" s="16"/>
      <c r="BZ1596" s="16"/>
      <c r="CA1596" s="16"/>
      <c r="CB1596" s="16"/>
      <c r="CC1596" s="16"/>
      <c r="CD1596" s="16"/>
      <c r="CE1596" s="16"/>
      <c r="CF1596" s="16"/>
      <c r="CG1596" s="16"/>
      <c r="CH1596" s="16"/>
      <c r="CI1596" s="16"/>
      <c r="CJ1596" s="16"/>
      <c r="CK1596" s="16"/>
      <c r="CL1596" s="16"/>
      <c r="CM1596" s="16"/>
      <c r="CN1596" s="16"/>
      <c r="CO1596" s="16"/>
      <c r="CP1596" s="16"/>
      <c r="CQ1596" s="16"/>
      <c r="CR1596" s="16"/>
      <c r="CS1596" s="16"/>
      <c r="CT1596" s="16"/>
      <c r="CU1596" s="16"/>
      <c r="CV1596" s="16"/>
      <c r="CW1596" s="16"/>
      <c r="CX1596" s="16"/>
      <c r="CY1596" s="16"/>
      <c r="CZ1596" s="16"/>
      <c r="DA1596" s="16"/>
      <c r="DB1596" s="16"/>
      <c r="DC1596" s="16"/>
      <c r="DD1596" s="16"/>
      <c r="DE1596" s="16"/>
      <c r="DF1596" s="16"/>
    </row>
    <row r="1597" spans="8:110" x14ac:dyDescent="0.3">
      <c r="H1597" s="4">
        <f t="shared" si="204"/>
        <v>0</v>
      </c>
      <c r="K1597" s="3"/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  <c r="Z1597" s="16"/>
      <c r="AA1597" s="16"/>
      <c r="AB1597" s="16"/>
      <c r="AC1597" s="16"/>
      <c r="AD1597" s="16"/>
      <c r="AE1597" s="16"/>
      <c r="AF1597" s="16"/>
      <c r="AG1597" s="16"/>
      <c r="AH1597" s="16"/>
      <c r="AI1597" s="16"/>
      <c r="AJ1597" s="16"/>
      <c r="AK1597" s="16"/>
      <c r="AL1597" s="16"/>
      <c r="AM1597" s="16"/>
      <c r="AN1597" s="16"/>
      <c r="AO1597" s="16"/>
      <c r="AP1597" s="16"/>
      <c r="AQ1597" s="16"/>
      <c r="AR1597" s="16"/>
      <c r="AS1597" s="16"/>
      <c r="AT1597" s="16"/>
      <c r="AU1597" s="16"/>
      <c r="AV1597" s="16"/>
      <c r="AW1597" s="16"/>
      <c r="AX1597" s="16"/>
      <c r="AY1597" s="16"/>
      <c r="AZ1597" s="16"/>
      <c r="BA1597" s="16"/>
      <c r="BB1597" s="16"/>
      <c r="BC1597" s="16"/>
      <c r="BD1597" s="16"/>
      <c r="BE1597" s="16"/>
      <c r="BF1597" s="16"/>
      <c r="BG1597" s="16"/>
      <c r="BH1597" s="16"/>
      <c r="BI1597" s="16"/>
      <c r="BJ1597" s="16"/>
      <c r="BK1597" s="16"/>
      <c r="BL1597" s="16"/>
      <c r="BM1597" s="16"/>
      <c r="BN1597" s="16"/>
      <c r="BO1597" s="16"/>
      <c r="BP1597" s="16"/>
      <c r="BQ1597" s="16"/>
      <c r="BR1597" s="16"/>
      <c r="BS1597" s="16"/>
      <c r="BT1597" s="16"/>
      <c r="BU1597" s="16"/>
      <c r="BV1597" s="16"/>
      <c r="BW1597" s="16"/>
      <c r="BX1597" s="16"/>
      <c r="BY1597" s="16"/>
      <c r="BZ1597" s="16"/>
      <c r="CA1597" s="16"/>
      <c r="CB1597" s="16"/>
      <c r="CC1597" s="16"/>
      <c r="CD1597" s="16"/>
      <c r="CE1597" s="16"/>
      <c r="CF1597" s="16"/>
      <c r="CG1597" s="16"/>
      <c r="CH1597" s="16"/>
      <c r="CI1597" s="16"/>
      <c r="CJ1597" s="16"/>
      <c r="CK1597" s="16"/>
      <c r="CL1597" s="16"/>
      <c r="CM1597" s="16"/>
      <c r="CN1597" s="16"/>
      <c r="CO1597" s="16"/>
      <c r="CP1597" s="16"/>
      <c r="CQ1597" s="16"/>
      <c r="CR1597" s="16"/>
      <c r="CS1597" s="16"/>
      <c r="CT1597" s="16"/>
      <c r="CU1597" s="16"/>
      <c r="CV1597" s="16"/>
      <c r="CW1597" s="16"/>
      <c r="CX1597" s="16"/>
      <c r="CY1597" s="16"/>
      <c r="CZ1597" s="16"/>
      <c r="DA1597" s="16"/>
      <c r="DB1597" s="16"/>
      <c r="DC1597" s="16"/>
      <c r="DD1597" s="16"/>
      <c r="DE1597" s="16"/>
      <c r="DF1597" s="16"/>
    </row>
    <row r="1598" spans="8:110" x14ac:dyDescent="0.3">
      <c r="H1598" s="4">
        <f t="shared" ref="H1598:H1661" si="205">D1598-C1598</f>
        <v>0</v>
      </c>
      <c r="K1598" s="3"/>
      <c r="L1598" s="16"/>
      <c r="M1598" s="16"/>
      <c r="N1598" s="16"/>
      <c r="O1598" s="16"/>
      <c r="P1598" s="16"/>
      <c r="Q1598" s="16"/>
      <c r="R1598" s="16"/>
      <c r="S1598" s="16"/>
      <c r="T1598" s="16"/>
      <c r="U1598" s="16"/>
      <c r="V1598" s="16"/>
      <c r="W1598" s="16"/>
      <c r="X1598" s="16"/>
      <c r="Y1598" s="16"/>
      <c r="Z1598" s="16"/>
      <c r="AA1598" s="16"/>
      <c r="AB1598" s="16"/>
      <c r="AC1598" s="16"/>
      <c r="AD1598" s="16"/>
      <c r="AE1598" s="16"/>
      <c r="AF1598" s="16"/>
      <c r="AG1598" s="16"/>
      <c r="AH1598" s="16"/>
      <c r="AI1598" s="16"/>
      <c r="AJ1598" s="16"/>
      <c r="AK1598" s="16"/>
      <c r="AL1598" s="16"/>
      <c r="AM1598" s="16"/>
      <c r="AN1598" s="16"/>
      <c r="AO1598" s="16"/>
      <c r="AP1598" s="16"/>
      <c r="AQ1598" s="16"/>
      <c r="AR1598" s="16"/>
      <c r="AS1598" s="16"/>
      <c r="AT1598" s="16"/>
      <c r="AU1598" s="16"/>
      <c r="AV1598" s="16"/>
      <c r="AW1598" s="16"/>
      <c r="AX1598" s="16"/>
      <c r="AY1598" s="16"/>
      <c r="AZ1598" s="16"/>
      <c r="BA1598" s="16"/>
      <c r="BB1598" s="16"/>
      <c r="BC1598" s="16"/>
      <c r="BD1598" s="16"/>
      <c r="BE1598" s="16"/>
      <c r="BF1598" s="16"/>
      <c r="BG1598" s="16"/>
      <c r="BH1598" s="16"/>
      <c r="BI1598" s="16"/>
      <c r="BJ1598" s="16"/>
      <c r="BK1598" s="16"/>
      <c r="BL1598" s="16"/>
      <c r="BM1598" s="16"/>
      <c r="BN1598" s="16"/>
      <c r="BO1598" s="16"/>
      <c r="BP1598" s="16"/>
      <c r="BQ1598" s="16"/>
      <c r="BR1598" s="16"/>
      <c r="BS1598" s="16"/>
      <c r="BT1598" s="16"/>
      <c r="BU1598" s="16"/>
      <c r="BV1598" s="16"/>
      <c r="BW1598" s="16"/>
      <c r="BX1598" s="16"/>
      <c r="BY1598" s="16"/>
      <c r="BZ1598" s="16"/>
      <c r="CA1598" s="16"/>
      <c r="CB1598" s="16"/>
      <c r="CC1598" s="16"/>
      <c r="CD1598" s="16"/>
      <c r="CE1598" s="16"/>
      <c r="CF1598" s="16"/>
      <c r="CG1598" s="16"/>
      <c r="CH1598" s="16"/>
      <c r="CI1598" s="16"/>
      <c r="CJ1598" s="16"/>
      <c r="CK1598" s="16"/>
      <c r="CL1598" s="16"/>
      <c r="CM1598" s="16"/>
      <c r="CN1598" s="16"/>
      <c r="CO1598" s="16"/>
      <c r="CP1598" s="16"/>
      <c r="CQ1598" s="16"/>
      <c r="CR1598" s="16"/>
      <c r="CS1598" s="16"/>
      <c r="CT1598" s="16"/>
      <c r="CU1598" s="16"/>
      <c r="CV1598" s="16"/>
      <c r="CW1598" s="16"/>
      <c r="CX1598" s="16"/>
      <c r="CY1598" s="16"/>
      <c r="CZ1598" s="16"/>
      <c r="DA1598" s="16"/>
      <c r="DB1598" s="16"/>
      <c r="DC1598" s="16"/>
      <c r="DD1598" s="16"/>
      <c r="DE1598" s="16"/>
      <c r="DF1598" s="16"/>
    </row>
    <row r="1599" spans="8:110" x14ac:dyDescent="0.3">
      <c r="H1599" s="4">
        <f t="shared" si="205"/>
        <v>0</v>
      </c>
      <c r="K1599" s="3"/>
      <c r="L1599" s="16"/>
      <c r="M1599" s="16"/>
      <c r="N1599" s="16"/>
      <c r="O1599" s="16"/>
      <c r="P1599" s="16"/>
      <c r="Q1599" s="16"/>
      <c r="R1599" s="16"/>
      <c r="S1599" s="16"/>
      <c r="T1599" s="16"/>
      <c r="U1599" s="16"/>
      <c r="V1599" s="16"/>
      <c r="W1599" s="16"/>
      <c r="X1599" s="16"/>
      <c r="Y1599" s="16"/>
      <c r="Z1599" s="16"/>
      <c r="AA1599" s="16"/>
      <c r="AB1599" s="16"/>
      <c r="AC1599" s="16"/>
      <c r="AD1599" s="16"/>
      <c r="AE1599" s="16"/>
      <c r="AF1599" s="16"/>
      <c r="AG1599" s="16"/>
      <c r="AH1599" s="16"/>
      <c r="AI1599" s="16"/>
      <c r="AJ1599" s="16"/>
      <c r="AK1599" s="16"/>
      <c r="AL1599" s="16"/>
      <c r="AM1599" s="16"/>
      <c r="AN1599" s="16"/>
      <c r="AO1599" s="16"/>
      <c r="AP1599" s="16"/>
      <c r="AQ1599" s="16"/>
      <c r="AR1599" s="16"/>
      <c r="AS1599" s="16"/>
      <c r="AT1599" s="16"/>
      <c r="AU1599" s="16"/>
      <c r="AV1599" s="16"/>
      <c r="AW1599" s="16"/>
      <c r="AX1599" s="16"/>
      <c r="AY1599" s="16"/>
      <c r="AZ1599" s="16"/>
      <c r="BA1599" s="16"/>
      <c r="BB1599" s="16"/>
      <c r="BC1599" s="16"/>
      <c r="BD1599" s="16"/>
      <c r="BE1599" s="16"/>
      <c r="BF1599" s="16"/>
      <c r="BG1599" s="16"/>
      <c r="BH1599" s="16"/>
      <c r="BI1599" s="16"/>
      <c r="BJ1599" s="16"/>
      <c r="BK1599" s="16"/>
      <c r="BL1599" s="16"/>
      <c r="BM1599" s="16"/>
      <c r="BN1599" s="16"/>
      <c r="BO1599" s="16"/>
      <c r="BP1599" s="16"/>
      <c r="BQ1599" s="16"/>
      <c r="BR1599" s="16"/>
      <c r="BS1599" s="16"/>
      <c r="BT1599" s="16"/>
      <c r="BU1599" s="16"/>
      <c r="BV1599" s="16"/>
      <c r="BW1599" s="16"/>
      <c r="BX1599" s="16"/>
      <c r="BY1599" s="16"/>
      <c r="BZ1599" s="16"/>
      <c r="CA1599" s="16"/>
      <c r="CB1599" s="16"/>
      <c r="CC1599" s="16"/>
      <c r="CD1599" s="16"/>
      <c r="CE1599" s="16"/>
      <c r="CF1599" s="16"/>
      <c r="CG1599" s="16"/>
      <c r="CH1599" s="16"/>
      <c r="CI1599" s="16"/>
      <c r="CJ1599" s="16"/>
      <c r="CK1599" s="16"/>
      <c r="CL1599" s="16"/>
      <c r="CM1599" s="16"/>
      <c r="CN1599" s="16"/>
      <c r="CO1599" s="16"/>
      <c r="CP1599" s="16"/>
      <c r="CQ1599" s="16"/>
      <c r="CR1599" s="16"/>
      <c r="CS1599" s="16"/>
      <c r="CT1599" s="16"/>
      <c r="CU1599" s="16"/>
      <c r="CV1599" s="16"/>
      <c r="CW1599" s="16"/>
      <c r="CX1599" s="16"/>
      <c r="CY1599" s="16"/>
      <c r="CZ1599" s="16"/>
      <c r="DA1599" s="16"/>
      <c r="DB1599" s="16"/>
      <c r="DC1599" s="16"/>
      <c r="DD1599" s="16"/>
      <c r="DE1599" s="16"/>
      <c r="DF1599" s="16"/>
    </row>
    <row r="1600" spans="8:110" x14ac:dyDescent="0.3">
      <c r="H1600" s="4">
        <f t="shared" si="205"/>
        <v>0</v>
      </c>
      <c r="K1600" s="3"/>
      <c r="L1600" s="16"/>
      <c r="M1600" s="16"/>
      <c r="N1600" s="16"/>
      <c r="O1600" s="16"/>
      <c r="P1600" s="16"/>
      <c r="Q1600" s="16"/>
      <c r="R1600" s="16"/>
      <c r="S1600" s="16"/>
      <c r="T1600" s="16"/>
      <c r="U1600" s="16"/>
      <c r="V1600" s="16"/>
      <c r="W1600" s="16"/>
      <c r="X1600" s="16"/>
      <c r="Y1600" s="16"/>
      <c r="Z1600" s="16"/>
      <c r="AA1600" s="16"/>
      <c r="AB1600" s="16"/>
      <c r="AC1600" s="16"/>
      <c r="AD1600" s="16"/>
      <c r="AE1600" s="16"/>
      <c r="AF1600" s="16"/>
      <c r="AG1600" s="16"/>
      <c r="AH1600" s="16"/>
      <c r="AI1600" s="16"/>
      <c r="AJ1600" s="16"/>
      <c r="AK1600" s="16"/>
      <c r="AL1600" s="16"/>
      <c r="AM1600" s="16"/>
      <c r="AN1600" s="16"/>
      <c r="AO1600" s="16"/>
      <c r="AP1600" s="16"/>
      <c r="AQ1600" s="16"/>
      <c r="AR1600" s="16"/>
      <c r="AS1600" s="16"/>
      <c r="AT1600" s="16"/>
      <c r="AU1600" s="16"/>
      <c r="AV1600" s="16"/>
      <c r="AW1600" s="16"/>
      <c r="AX1600" s="16"/>
      <c r="AY1600" s="16"/>
      <c r="AZ1600" s="16"/>
      <c r="BA1600" s="16"/>
      <c r="BB1600" s="16"/>
      <c r="BC1600" s="16"/>
      <c r="BD1600" s="16"/>
      <c r="BE1600" s="16"/>
      <c r="BF1600" s="16"/>
      <c r="BG1600" s="16"/>
      <c r="BH1600" s="16"/>
      <c r="BI1600" s="16"/>
      <c r="BJ1600" s="16"/>
      <c r="BK1600" s="16"/>
      <c r="BL1600" s="16"/>
      <c r="BM1600" s="16"/>
      <c r="BN1600" s="16"/>
      <c r="BO1600" s="16"/>
      <c r="BP1600" s="16"/>
      <c r="BQ1600" s="16"/>
      <c r="BR1600" s="16"/>
      <c r="BS1600" s="16"/>
      <c r="BT1600" s="16"/>
      <c r="BU1600" s="16"/>
      <c r="BV1600" s="16"/>
      <c r="BW1600" s="16"/>
      <c r="BX1600" s="16"/>
      <c r="BY1600" s="16"/>
      <c r="BZ1600" s="16"/>
      <c r="CA1600" s="16"/>
      <c r="CB1600" s="16"/>
      <c r="CC1600" s="16"/>
      <c r="CD1600" s="16"/>
      <c r="CE1600" s="16"/>
      <c r="CF1600" s="16"/>
      <c r="CG1600" s="16"/>
      <c r="CH1600" s="16"/>
      <c r="CI1600" s="16"/>
      <c r="CJ1600" s="16"/>
      <c r="CK1600" s="16"/>
      <c r="CL1600" s="16"/>
      <c r="CM1600" s="16"/>
      <c r="CN1600" s="16"/>
      <c r="CO1600" s="16"/>
      <c r="CP1600" s="16"/>
      <c r="CQ1600" s="16"/>
      <c r="CR1600" s="16"/>
      <c r="CS1600" s="16"/>
      <c r="CT1600" s="16"/>
      <c r="CU1600" s="16"/>
      <c r="CV1600" s="16"/>
      <c r="CW1600" s="16"/>
      <c r="CX1600" s="16"/>
      <c r="CY1600" s="16"/>
      <c r="CZ1600" s="16"/>
      <c r="DA1600" s="16"/>
      <c r="DB1600" s="16"/>
      <c r="DC1600" s="16"/>
      <c r="DD1600" s="16"/>
      <c r="DE1600" s="16"/>
      <c r="DF1600" s="16"/>
    </row>
    <row r="1601" spans="8:110" x14ac:dyDescent="0.3">
      <c r="H1601" s="4">
        <f t="shared" si="205"/>
        <v>0</v>
      </c>
      <c r="K1601" s="3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  <c r="W1601" s="16"/>
      <c r="X1601" s="16"/>
      <c r="Y1601" s="16"/>
      <c r="Z1601" s="16"/>
      <c r="AA1601" s="16"/>
      <c r="AB1601" s="16"/>
      <c r="AC1601" s="16"/>
      <c r="AD1601" s="16"/>
      <c r="AE1601" s="16"/>
      <c r="AF1601" s="16"/>
      <c r="AG1601" s="16"/>
      <c r="AH1601" s="16"/>
      <c r="AI1601" s="16"/>
      <c r="AJ1601" s="16"/>
      <c r="AK1601" s="16"/>
      <c r="AL1601" s="16"/>
      <c r="AM1601" s="16"/>
      <c r="AN1601" s="16"/>
      <c r="AO1601" s="16"/>
      <c r="AP1601" s="16"/>
      <c r="AQ1601" s="16"/>
      <c r="AR1601" s="16"/>
      <c r="AS1601" s="16"/>
      <c r="AT1601" s="16"/>
      <c r="AU1601" s="16"/>
      <c r="AV1601" s="16"/>
      <c r="AW1601" s="16"/>
      <c r="AX1601" s="16"/>
      <c r="AY1601" s="16"/>
      <c r="AZ1601" s="16"/>
      <c r="BA1601" s="16"/>
      <c r="BB1601" s="16"/>
      <c r="BC1601" s="16"/>
      <c r="BD1601" s="16"/>
      <c r="BE1601" s="16"/>
      <c r="BF1601" s="16"/>
      <c r="BG1601" s="16"/>
      <c r="BH1601" s="16"/>
      <c r="BI1601" s="16"/>
      <c r="BJ1601" s="16"/>
      <c r="BK1601" s="16"/>
      <c r="BL1601" s="16"/>
      <c r="BM1601" s="16"/>
      <c r="BN1601" s="16"/>
      <c r="BO1601" s="16"/>
      <c r="BP1601" s="16"/>
      <c r="BQ1601" s="16"/>
      <c r="BR1601" s="16"/>
      <c r="BS1601" s="16"/>
      <c r="BT1601" s="16"/>
      <c r="BU1601" s="16"/>
      <c r="BV1601" s="16"/>
      <c r="BW1601" s="16"/>
      <c r="BX1601" s="16"/>
      <c r="BY1601" s="16"/>
      <c r="BZ1601" s="16"/>
      <c r="CA1601" s="16"/>
      <c r="CB1601" s="16"/>
      <c r="CC1601" s="16"/>
      <c r="CD1601" s="16"/>
      <c r="CE1601" s="16"/>
      <c r="CF1601" s="16"/>
      <c r="CG1601" s="16"/>
      <c r="CH1601" s="16"/>
      <c r="CI1601" s="16"/>
      <c r="CJ1601" s="16"/>
      <c r="CK1601" s="16"/>
      <c r="CL1601" s="16"/>
      <c r="CM1601" s="16"/>
      <c r="CN1601" s="16"/>
      <c r="CO1601" s="16"/>
      <c r="CP1601" s="16"/>
      <c r="CQ1601" s="16"/>
      <c r="CR1601" s="16"/>
      <c r="CS1601" s="16"/>
      <c r="CT1601" s="16"/>
      <c r="CU1601" s="16"/>
      <c r="CV1601" s="16"/>
      <c r="CW1601" s="16"/>
      <c r="CX1601" s="16"/>
      <c r="CY1601" s="16"/>
      <c r="CZ1601" s="16"/>
      <c r="DA1601" s="16"/>
      <c r="DB1601" s="16"/>
      <c r="DC1601" s="16"/>
      <c r="DD1601" s="16"/>
      <c r="DE1601" s="16"/>
      <c r="DF1601" s="16"/>
    </row>
    <row r="1602" spans="8:110" x14ac:dyDescent="0.3">
      <c r="H1602" s="4">
        <f t="shared" si="205"/>
        <v>0</v>
      </c>
      <c r="K1602" s="3"/>
      <c r="L1602" s="16"/>
      <c r="M1602" s="16"/>
      <c r="N1602" s="16"/>
      <c r="O1602" s="16"/>
      <c r="P1602" s="16"/>
      <c r="Q1602" s="16"/>
      <c r="R1602" s="16"/>
      <c r="S1602" s="16"/>
      <c r="T1602" s="16"/>
      <c r="U1602" s="16"/>
      <c r="V1602" s="16"/>
      <c r="W1602" s="16"/>
      <c r="X1602" s="16"/>
      <c r="Y1602" s="16"/>
      <c r="Z1602" s="16"/>
      <c r="AA1602" s="16"/>
      <c r="AB1602" s="16"/>
      <c r="AC1602" s="16"/>
      <c r="AD1602" s="16"/>
      <c r="AE1602" s="16"/>
      <c r="AF1602" s="16"/>
      <c r="AG1602" s="16"/>
      <c r="AH1602" s="16"/>
      <c r="AI1602" s="16"/>
      <c r="AJ1602" s="16"/>
      <c r="AK1602" s="16"/>
      <c r="AL1602" s="16"/>
      <c r="AM1602" s="16"/>
      <c r="AN1602" s="16"/>
      <c r="AO1602" s="16"/>
      <c r="AP1602" s="16"/>
      <c r="AQ1602" s="16"/>
      <c r="AR1602" s="16"/>
      <c r="AS1602" s="16"/>
      <c r="AT1602" s="16"/>
      <c r="AU1602" s="16"/>
      <c r="AV1602" s="16"/>
      <c r="AW1602" s="16"/>
      <c r="AX1602" s="16"/>
      <c r="AY1602" s="16"/>
      <c r="AZ1602" s="16"/>
      <c r="BA1602" s="16"/>
      <c r="BB1602" s="16"/>
      <c r="BC1602" s="16"/>
      <c r="BD1602" s="16"/>
      <c r="BE1602" s="16"/>
      <c r="BF1602" s="16"/>
      <c r="BG1602" s="16"/>
      <c r="BH1602" s="16"/>
      <c r="BI1602" s="16"/>
      <c r="BJ1602" s="16"/>
      <c r="BK1602" s="16"/>
      <c r="BL1602" s="16"/>
      <c r="BM1602" s="16"/>
      <c r="BN1602" s="16"/>
      <c r="BO1602" s="16"/>
      <c r="BP1602" s="16"/>
      <c r="BQ1602" s="16"/>
      <c r="BR1602" s="16"/>
      <c r="BS1602" s="16"/>
      <c r="BT1602" s="16"/>
      <c r="BU1602" s="16"/>
      <c r="BV1602" s="16"/>
      <c r="BW1602" s="16"/>
      <c r="BX1602" s="16"/>
      <c r="BY1602" s="16"/>
      <c r="BZ1602" s="16"/>
      <c r="CA1602" s="16"/>
      <c r="CB1602" s="16"/>
      <c r="CC1602" s="16"/>
      <c r="CD1602" s="16"/>
      <c r="CE1602" s="16"/>
      <c r="CF1602" s="16"/>
      <c r="CG1602" s="16"/>
      <c r="CH1602" s="16"/>
      <c r="CI1602" s="16"/>
      <c r="CJ1602" s="16"/>
      <c r="CK1602" s="16"/>
      <c r="CL1602" s="16"/>
      <c r="CM1602" s="16"/>
      <c r="CN1602" s="16"/>
      <c r="CO1602" s="16"/>
      <c r="CP1602" s="16"/>
      <c r="CQ1602" s="16"/>
      <c r="CR1602" s="16"/>
      <c r="CS1602" s="16"/>
      <c r="CT1602" s="16"/>
      <c r="CU1602" s="16"/>
      <c r="CV1602" s="16"/>
      <c r="CW1602" s="16"/>
      <c r="CX1602" s="16"/>
      <c r="CY1602" s="16"/>
      <c r="CZ1602" s="16"/>
      <c r="DA1602" s="16"/>
      <c r="DB1602" s="16"/>
      <c r="DC1602" s="16"/>
      <c r="DD1602" s="16"/>
      <c r="DE1602" s="16"/>
      <c r="DF1602" s="16"/>
    </row>
    <row r="1603" spans="8:110" x14ac:dyDescent="0.3">
      <c r="H1603" s="4">
        <f t="shared" si="205"/>
        <v>0</v>
      </c>
      <c r="K1603" s="3"/>
      <c r="L1603" s="16"/>
      <c r="M1603" s="16"/>
      <c r="N1603" s="16"/>
      <c r="O1603" s="16"/>
      <c r="P1603" s="16"/>
      <c r="Q1603" s="16"/>
      <c r="R1603" s="16"/>
      <c r="S1603" s="16"/>
      <c r="T1603" s="16"/>
      <c r="U1603" s="16"/>
      <c r="V1603" s="16"/>
      <c r="W1603" s="16"/>
      <c r="X1603" s="16"/>
      <c r="Y1603" s="16"/>
      <c r="Z1603" s="16"/>
      <c r="AA1603" s="16"/>
      <c r="AB1603" s="16"/>
      <c r="AC1603" s="16"/>
      <c r="AD1603" s="16"/>
      <c r="AE1603" s="16"/>
      <c r="AF1603" s="16"/>
      <c r="AG1603" s="16"/>
      <c r="AH1603" s="16"/>
      <c r="AI1603" s="16"/>
      <c r="AJ1603" s="16"/>
      <c r="AK1603" s="16"/>
      <c r="AL1603" s="16"/>
      <c r="AM1603" s="16"/>
      <c r="AN1603" s="16"/>
      <c r="AO1603" s="16"/>
      <c r="AP1603" s="16"/>
      <c r="AQ1603" s="16"/>
      <c r="AR1603" s="16"/>
      <c r="AS1603" s="16"/>
      <c r="AT1603" s="16"/>
      <c r="AU1603" s="16"/>
      <c r="AV1603" s="16"/>
      <c r="AW1603" s="16"/>
      <c r="AX1603" s="16"/>
      <c r="AY1603" s="16"/>
      <c r="AZ1603" s="16"/>
      <c r="BA1603" s="16"/>
      <c r="BB1603" s="16"/>
      <c r="BC1603" s="16"/>
      <c r="BD1603" s="16"/>
      <c r="BE1603" s="16"/>
      <c r="BF1603" s="16"/>
      <c r="BG1603" s="16"/>
      <c r="BH1603" s="16"/>
      <c r="BI1603" s="16"/>
      <c r="BJ1603" s="16"/>
      <c r="BK1603" s="16"/>
      <c r="BL1603" s="16"/>
      <c r="BM1603" s="16"/>
      <c r="BN1603" s="16"/>
      <c r="BO1603" s="16"/>
      <c r="BP1603" s="16"/>
      <c r="BQ1603" s="16"/>
      <c r="BR1603" s="16"/>
      <c r="BS1603" s="16"/>
      <c r="BT1603" s="16"/>
      <c r="BU1603" s="16"/>
      <c r="BV1603" s="16"/>
      <c r="BW1603" s="16"/>
      <c r="BX1603" s="16"/>
      <c r="BY1603" s="16"/>
      <c r="BZ1603" s="16"/>
      <c r="CA1603" s="16"/>
      <c r="CB1603" s="16"/>
      <c r="CC1603" s="16"/>
      <c r="CD1603" s="16"/>
      <c r="CE1603" s="16"/>
      <c r="CF1603" s="16"/>
      <c r="CG1603" s="16"/>
      <c r="CH1603" s="16"/>
      <c r="CI1603" s="16"/>
      <c r="CJ1603" s="16"/>
      <c r="CK1603" s="16"/>
      <c r="CL1603" s="16"/>
      <c r="CM1603" s="16"/>
      <c r="CN1603" s="16"/>
      <c r="CO1603" s="16"/>
      <c r="CP1603" s="16"/>
      <c r="CQ1603" s="16"/>
      <c r="CR1603" s="16"/>
      <c r="CS1603" s="16"/>
      <c r="CT1603" s="16"/>
      <c r="CU1603" s="16"/>
      <c r="CV1603" s="16"/>
      <c r="CW1603" s="16"/>
      <c r="CX1603" s="16"/>
      <c r="CY1603" s="16"/>
      <c r="CZ1603" s="16"/>
      <c r="DA1603" s="16"/>
      <c r="DB1603" s="16"/>
      <c r="DC1603" s="16"/>
      <c r="DD1603" s="16"/>
      <c r="DE1603" s="16"/>
      <c r="DF1603" s="16"/>
    </row>
    <row r="1604" spans="8:110" x14ac:dyDescent="0.3">
      <c r="H1604" s="4">
        <f t="shared" si="205"/>
        <v>0</v>
      </c>
      <c r="K1604" s="3"/>
      <c r="L1604" s="16"/>
      <c r="M1604" s="16"/>
      <c r="N1604" s="16"/>
      <c r="O1604" s="16"/>
      <c r="P1604" s="16"/>
      <c r="Q1604" s="16"/>
      <c r="R1604" s="16"/>
      <c r="S1604" s="16"/>
      <c r="T1604" s="16"/>
      <c r="U1604" s="16"/>
      <c r="V1604" s="16"/>
      <c r="W1604" s="16"/>
      <c r="X1604" s="16"/>
      <c r="Y1604" s="16"/>
      <c r="Z1604" s="16"/>
      <c r="AA1604" s="16"/>
      <c r="AB1604" s="16"/>
      <c r="AC1604" s="16"/>
      <c r="AD1604" s="16"/>
      <c r="AE1604" s="16"/>
      <c r="AF1604" s="16"/>
      <c r="AG1604" s="16"/>
      <c r="AH1604" s="16"/>
      <c r="AI1604" s="16"/>
      <c r="AJ1604" s="16"/>
      <c r="AK1604" s="16"/>
      <c r="AL1604" s="16"/>
      <c r="AM1604" s="16"/>
      <c r="AN1604" s="16"/>
      <c r="AO1604" s="16"/>
      <c r="AP1604" s="16"/>
      <c r="AQ1604" s="16"/>
      <c r="AR1604" s="16"/>
      <c r="AS1604" s="16"/>
      <c r="AT1604" s="16"/>
      <c r="AU1604" s="16"/>
      <c r="AV1604" s="16"/>
      <c r="AW1604" s="16"/>
      <c r="AX1604" s="16"/>
      <c r="AY1604" s="16"/>
      <c r="AZ1604" s="16"/>
      <c r="BA1604" s="16"/>
      <c r="BB1604" s="16"/>
      <c r="BC1604" s="16"/>
      <c r="BD1604" s="16"/>
      <c r="BE1604" s="16"/>
      <c r="BF1604" s="16"/>
      <c r="BG1604" s="16"/>
      <c r="BH1604" s="16"/>
      <c r="BI1604" s="16"/>
      <c r="BJ1604" s="16"/>
      <c r="BK1604" s="16"/>
      <c r="BL1604" s="16"/>
      <c r="BM1604" s="16"/>
      <c r="BN1604" s="16"/>
      <c r="BO1604" s="16"/>
      <c r="BP1604" s="16"/>
      <c r="BQ1604" s="16"/>
      <c r="BR1604" s="16"/>
      <c r="BS1604" s="16"/>
      <c r="BT1604" s="16"/>
      <c r="BU1604" s="16"/>
      <c r="BV1604" s="16"/>
      <c r="BW1604" s="16"/>
      <c r="BX1604" s="16"/>
      <c r="BY1604" s="16"/>
      <c r="BZ1604" s="16"/>
      <c r="CA1604" s="16"/>
      <c r="CB1604" s="16"/>
      <c r="CC1604" s="16"/>
      <c r="CD1604" s="16"/>
      <c r="CE1604" s="16"/>
      <c r="CF1604" s="16"/>
      <c r="CG1604" s="16"/>
      <c r="CH1604" s="16"/>
      <c r="CI1604" s="16"/>
      <c r="CJ1604" s="16"/>
      <c r="CK1604" s="16"/>
      <c r="CL1604" s="16"/>
      <c r="CM1604" s="16"/>
      <c r="CN1604" s="16"/>
      <c r="CO1604" s="16"/>
      <c r="CP1604" s="16"/>
      <c r="CQ1604" s="16"/>
      <c r="CR1604" s="16"/>
      <c r="CS1604" s="16"/>
      <c r="CT1604" s="16"/>
      <c r="CU1604" s="16"/>
      <c r="CV1604" s="16"/>
      <c r="CW1604" s="16"/>
      <c r="CX1604" s="16"/>
      <c r="CY1604" s="16"/>
      <c r="CZ1604" s="16"/>
      <c r="DA1604" s="16"/>
      <c r="DB1604" s="16"/>
      <c r="DC1604" s="16"/>
      <c r="DD1604" s="16"/>
      <c r="DE1604" s="16"/>
      <c r="DF1604" s="16"/>
    </row>
    <row r="1605" spans="8:110" x14ac:dyDescent="0.3">
      <c r="H1605" s="4">
        <f t="shared" si="205"/>
        <v>0</v>
      </c>
      <c r="K1605" s="3"/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  <c r="V1605" s="16"/>
      <c r="W1605" s="16"/>
      <c r="X1605" s="16"/>
      <c r="Y1605" s="16"/>
      <c r="Z1605" s="16"/>
      <c r="AA1605" s="16"/>
      <c r="AB1605" s="16"/>
      <c r="AC1605" s="16"/>
      <c r="AD1605" s="16"/>
      <c r="AE1605" s="16"/>
      <c r="AF1605" s="16"/>
      <c r="AG1605" s="16"/>
      <c r="AH1605" s="16"/>
      <c r="AI1605" s="16"/>
      <c r="AJ1605" s="16"/>
      <c r="AK1605" s="16"/>
      <c r="AL1605" s="16"/>
      <c r="AM1605" s="16"/>
      <c r="AN1605" s="16"/>
      <c r="AO1605" s="16"/>
      <c r="AP1605" s="16"/>
      <c r="AQ1605" s="16"/>
      <c r="AR1605" s="16"/>
      <c r="AS1605" s="16"/>
      <c r="AT1605" s="16"/>
      <c r="AU1605" s="16"/>
      <c r="AV1605" s="16"/>
      <c r="AW1605" s="16"/>
      <c r="AX1605" s="16"/>
      <c r="AY1605" s="16"/>
      <c r="AZ1605" s="16"/>
      <c r="BA1605" s="16"/>
      <c r="BB1605" s="16"/>
      <c r="BC1605" s="16"/>
      <c r="BD1605" s="16"/>
      <c r="BE1605" s="16"/>
      <c r="BF1605" s="16"/>
      <c r="BG1605" s="16"/>
      <c r="BH1605" s="16"/>
      <c r="BI1605" s="16"/>
      <c r="BJ1605" s="16"/>
      <c r="BK1605" s="16"/>
      <c r="BL1605" s="16"/>
      <c r="BM1605" s="16"/>
      <c r="BN1605" s="16"/>
      <c r="BO1605" s="16"/>
      <c r="BP1605" s="16"/>
      <c r="BQ1605" s="16"/>
      <c r="BR1605" s="16"/>
      <c r="BS1605" s="16"/>
      <c r="BT1605" s="16"/>
      <c r="BU1605" s="16"/>
      <c r="BV1605" s="16"/>
      <c r="BW1605" s="16"/>
      <c r="BX1605" s="16"/>
      <c r="BY1605" s="16"/>
      <c r="BZ1605" s="16"/>
      <c r="CA1605" s="16"/>
      <c r="CB1605" s="16"/>
      <c r="CC1605" s="16"/>
      <c r="CD1605" s="16"/>
      <c r="CE1605" s="16"/>
      <c r="CF1605" s="16"/>
      <c r="CG1605" s="16"/>
      <c r="CH1605" s="16"/>
      <c r="CI1605" s="16"/>
      <c r="CJ1605" s="16"/>
      <c r="CK1605" s="16"/>
      <c r="CL1605" s="16"/>
      <c r="CM1605" s="16"/>
      <c r="CN1605" s="16"/>
      <c r="CO1605" s="16"/>
      <c r="CP1605" s="16"/>
      <c r="CQ1605" s="16"/>
      <c r="CR1605" s="16"/>
      <c r="CS1605" s="16"/>
      <c r="CT1605" s="16"/>
      <c r="CU1605" s="16"/>
      <c r="CV1605" s="16"/>
      <c r="CW1605" s="16"/>
      <c r="CX1605" s="16"/>
      <c r="CY1605" s="16"/>
      <c r="CZ1605" s="16"/>
      <c r="DA1605" s="16"/>
      <c r="DB1605" s="16"/>
      <c r="DC1605" s="16"/>
      <c r="DD1605" s="16"/>
      <c r="DE1605" s="16"/>
      <c r="DF1605" s="16"/>
    </row>
    <row r="1606" spans="8:110" x14ac:dyDescent="0.3">
      <c r="H1606" s="4">
        <f t="shared" si="205"/>
        <v>0</v>
      </c>
      <c r="K1606" s="3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  <c r="Z1606" s="16"/>
      <c r="AA1606" s="16"/>
      <c r="AB1606" s="16"/>
      <c r="AC1606" s="16"/>
      <c r="AD1606" s="16"/>
      <c r="AE1606" s="16"/>
      <c r="AF1606" s="16"/>
      <c r="AG1606" s="16"/>
      <c r="AH1606" s="16"/>
      <c r="AI1606" s="16"/>
      <c r="AJ1606" s="16"/>
      <c r="AK1606" s="16"/>
      <c r="AL1606" s="16"/>
      <c r="AM1606" s="16"/>
      <c r="AN1606" s="16"/>
      <c r="AO1606" s="16"/>
      <c r="AP1606" s="16"/>
      <c r="AQ1606" s="16"/>
      <c r="AR1606" s="16"/>
      <c r="AS1606" s="16"/>
      <c r="AT1606" s="16"/>
      <c r="AU1606" s="16"/>
      <c r="AV1606" s="16"/>
      <c r="AW1606" s="16"/>
      <c r="AX1606" s="16"/>
      <c r="AY1606" s="16"/>
      <c r="AZ1606" s="16"/>
      <c r="BA1606" s="16"/>
      <c r="BB1606" s="16"/>
      <c r="BC1606" s="16"/>
      <c r="BD1606" s="16"/>
      <c r="BE1606" s="16"/>
      <c r="BF1606" s="16"/>
      <c r="BG1606" s="16"/>
      <c r="BH1606" s="16"/>
      <c r="BI1606" s="16"/>
      <c r="BJ1606" s="16"/>
      <c r="BK1606" s="16"/>
      <c r="BL1606" s="16"/>
      <c r="BM1606" s="16"/>
      <c r="BN1606" s="16"/>
      <c r="BO1606" s="16"/>
      <c r="BP1606" s="16"/>
      <c r="BQ1606" s="16"/>
      <c r="BR1606" s="16"/>
      <c r="BS1606" s="16"/>
      <c r="BT1606" s="16"/>
      <c r="BU1606" s="16"/>
      <c r="BV1606" s="16"/>
      <c r="BW1606" s="16"/>
      <c r="BX1606" s="16"/>
      <c r="BY1606" s="16"/>
      <c r="BZ1606" s="16"/>
      <c r="CA1606" s="16"/>
      <c r="CB1606" s="16"/>
      <c r="CC1606" s="16"/>
      <c r="CD1606" s="16"/>
      <c r="CE1606" s="16"/>
      <c r="CF1606" s="16"/>
      <c r="CG1606" s="16"/>
      <c r="CH1606" s="16"/>
      <c r="CI1606" s="16"/>
      <c r="CJ1606" s="16"/>
      <c r="CK1606" s="16"/>
      <c r="CL1606" s="16"/>
      <c r="CM1606" s="16"/>
      <c r="CN1606" s="16"/>
      <c r="CO1606" s="16"/>
      <c r="CP1606" s="16"/>
      <c r="CQ1606" s="16"/>
      <c r="CR1606" s="16"/>
      <c r="CS1606" s="16"/>
      <c r="CT1606" s="16"/>
      <c r="CU1606" s="16"/>
      <c r="CV1606" s="16"/>
      <c r="CW1606" s="16"/>
      <c r="CX1606" s="16"/>
      <c r="CY1606" s="16"/>
      <c r="CZ1606" s="16"/>
      <c r="DA1606" s="16"/>
      <c r="DB1606" s="16"/>
      <c r="DC1606" s="16"/>
      <c r="DD1606" s="16"/>
      <c r="DE1606" s="16"/>
      <c r="DF1606" s="16"/>
    </row>
    <row r="1607" spans="8:110" x14ac:dyDescent="0.3">
      <c r="H1607" s="4">
        <f t="shared" si="205"/>
        <v>0</v>
      </c>
      <c r="K1607" s="3"/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6"/>
      <c r="W1607" s="16"/>
      <c r="X1607" s="16"/>
      <c r="Y1607" s="16"/>
      <c r="Z1607" s="16"/>
      <c r="AA1607" s="16"/>
      <c r="AB1607" s="16"/>
      <c r="AC1607" s="16"/>
      <c r="AD1607" s="16"/>
      <c r="AE1607" s="16"/>
      <c r="AF1607" s="16"/>
      <c r="AG1607" s="16"/>
      <c r="AH1607" s="16"/>
      <c r="AI1607" s="16"/>
      <c r="AJ1607" s="16"/>
      <c r="AK1607" s="16"/>
      <c r="AL1607" s="16"/>
      <c r="AM1607" s="16"/>
      <c r="AN1607" s="16"/>
      <c r="AO1607" s="16"/>
      <c r="AP1607" s="16"/>
      <c r="AQ1607" s="16"/>
      <c r="AR1607" s="16"/>
      <c r="AS1607" s="16"/>
      <c r="AT1607" s="16"/>
      <c r="AU1607" s="16"/>
      <c r="AV1607" s="16"/>
      <c r="AW1607" s="16"/>
      <c r="AX1607" s="16"/>
      <c r="AY1607" s="16"/>
      <c r="AZ1607" s="16"/>
      <c r="BA1607" s="16"/>
      <c r="BB1607" s="16"/>
      <c r="BC1607" s="16"/>
      <c r="BD1607" s="16"/>
      <c r="BE1607" s="16"/>
      <c r="BF1607" s="16"/>
      <c r="BG1607" s="16"/>
      <c r="BH1607" s="16"/>
      <c r="BI1607" s="16"/>
      <c r="BJ1607" s="16"/>
      <c r="BK1607" s="16"/>
      <c r="BL1607" s="16"/>
      <c r="BM1607" s="16"/>
      <c r="BN1607" s="16"/>
      <c r="BO1607" s="16"/>
      <c r="BP1607" s="16"/>
      <c r="BQ1607" s="16"/>
      <c r="BR1607" s="16"/>
      <c r="BS1607" s="16"/>
      <c r="BT1607" s="16"/>
      <c r="BU1607" s="16"/>
      <c r="BV1607" s="16"/>
      <c r="BW1607" s="16"/>
      <c r="BX1607" s="16"/>
      <c r="BY1607" s="16"/>
      <c r="BZ1607" s="16"/>
      <c r="CA1607" s="16"/>
      <c r="CB1607" s="16"/>
      <c r="CC1607" s="16"/>
      <c r="CD1607" s="16"/>
      <c r="CE1607" s="16"/>
      <c r="CF1607" s="16"/>
      <c r="CG1607" s="16"/>
      <c r="CH1607" s="16"/>
      <c r="CI1607" s="16"/>
      <c r="CJ1607" s="16"/>
      <c r="CK1607" s="16"/>
      <c r="CL1607" s="16"/>
      <c r="CM1607" s="16"/>
      <c r="CN1607" s="16"/>
      <c r="CO1607" s="16"/>
      <c r="CP1607" s="16"/>
      <c r="CQ1607" s="16"/>
      <c r="CR1607" s="16"/>
      <c r="CS1607" s="16"/>
      <c r="CT1607" s="16"/>
      <c r="CU1607" s="16"/>
      <c r="CV1607" s="16"/>
      <c r="CW1607" s="16"/>
      <c r="CX1607" s="16"/>
      <c r="CY1607" s="16"/>
      <c r="CZ1607" s="16"/>
      <c r="DA1607" s="16"/>
      <c r="DB1607" s="16"/>
      <c r="DC1607" s="16"/>
      <c r="DD1607" s="16"/>
      <c r="DE1607" s="16"/>
      <c r="DF1607" s="16"/>
    </row>
    <row r="1608" spans="8:110" x14ac:dyDescent="0.3">
      <c r="H1608" s="4">
        <f t="shared" si="205"/>
        <v>0</v>
      </c>
      <c r="K1608" s="3"/>
      <c r="L1608" s="16"/>
      <c r="M1608" s="16"/>
      <c r="N1608" s="16"/>
      <c r="O1608" s="16"/>
      <c r="P1608" s="16"/>
      <c r="Q1608" s="16"/>
      <c r="R1608" s="16"/>
      <c r="S1608" s="16"/>
      <c r="T1608" s="16"/>
      <c r="U1608" s="16"/>
      <c r="V1608" s="16"/>
      <c r="W1608" s="16"/>
      <c r="X1608" s="16"/>
      <c r="Y1608" s="16"/>
      <c r="Z1608" s="16"/>
      <c r="AA1608" s="16"/>
      <c r="AB1608" s="16"/>
      <c r="AC1608" s="16"/>
      <c r="AD1608" s="16"/>
      <c r="AE1608" s="16"/>
      <c r="AF1608" s="16"/>
      <c r="AG1608" s="16"/>
      <c r="AH1608" s="16"/>
      <c r="AI1608" s="16"/>
      <c r="AJ1608" s="16"/>
      <c r="AK1608" s="16"/>
      <c r="AL1608" s="16"/>
      <c r="AM1608" s="16"/>
      <c r="AN1608" s="16"/>
      <c r="AO1608" s="16"/>
      <c r="AP1608" s="16"/>
      <c r="AQ1608" s="16"/>
      <c r="AR1608" s="16"/>
      <c r="AS1608" s="16"/>
      <c r="AT1608" s="16"/>
      <c r="AU1608" s="16"/>
      <c r="AV1608" s="16"/>
      <c r="AW1608" s="16"/>
      <c r="AX1608" s="16"/>
      <c r="AY1608" s="16"/>
      <c r="AZ1608" s="16"/>
      <c r="BA1608" s="16"/>
      <c r="BB1608" s="16"/>
      <c r="BC1608" s="16"/>
      <c r="BD1608" s="16"/>
      <c r="BE1608" s="16"/>
      <c r="BF1608" s="16"/>
      <c r="BG1608" s="16"/>
      <c r="BH1608" s="16"/>
      <c r="BI1608" s="16"/>
      <c r="BJ1608" s="16"/>
      <c r="BK1608" s="16"/>
      <c r="BL1608" s="16"/>
      <c r="BM1608" s="16"/>
      <c r="BN1608" s="16"/>
      <c r="BO1608" s="16"/>
      <c r="BP1608" s="16"/>
      <c r="BQ1608" s="16"/>
      <c r="BR1608" s="16"/>
      <c r="BS1608" s="16"/>
      <c r="BT1608" s="16"/>
      <c r="BU1608" s="16"/>
      <c r="BV1608" s="16"/>
      <c r="BW1608" s="16"/>
      <c r="BX1608" s="16"/>
      <c r="BY1608" s="16"/>
      <c r="BZ1608" s="16"/>
      <c r="CA1608" s="16"/>
      <c r="CB1608" s="16"/>
      <c r="CC1608" s="16"/>
      <c r="CD1608" s="16"/>
      <c r="CE1608" s="16"/>
      <c r="CF1608" s="16"/>
      <c r="CG1608" s="16"/>
      <c r="CH1608" s="16"/>
      <c r="CI1608" s="16"/>
      <c r="CJ1608" s="16"/>
      <c r="CK1608" s="16"/>
      <c r="CL1608" s="16"/>
      <c r="CM1608" s="16"/>
      <c r="CN1608" s="16"/>
      <c r="CO1608" s="16"/>
      <c r="CP1608" s="16"/>
      <c r="CQ1608" s="16"/>
      <c r="CR1608" s="16"/>
      <c r="CS1608" s="16"/>
      <c r="CT1608" s="16"/>
      <c r="CU1608" s="16"/>
      <c r="CV1608" s="16"/>
      <c r="CW1608" s="16"/>
      <c r="CX1608" s="16"/>
      <c r="CY1608" s="16"/>
      <c r="CZ1608" s="16"/>
      <c r="DA1608" s="16"/>
      <c r="DB1608" s="16"/>
      <c r="DC1608" s="16"/>
      <c r="DD1608" s="16"/>
      <c r="DE1608" s="16"/>
      <c r="DF1608" s="16"/>
    </row>
    <row r="1609" spans="8:110" x14ac:dyDescent="0.3">
      <c r="H1609" s="4">
        <f t="shared" si="205"/>
        <v>0</v>
      </c>
      <c r="K1609" s="3"/>
      <c r="L1609" s="16"/>
      <c r="M1609" s="16"/>
      <c r="N1609" s="16"/>
      <c r="O1609" s="16"/>
      <c r="P1609" s="16"/>
      <c r="Q1609" s="16"/>
      <c r="R1609" s="16"/>
      <c r="S1609" s="16"/>
      <c r="T1609" s="16"/>
      <c r="U1609" s="16"/>
      <c r="V1609" s="16"/>
      <c r="W1609" s="16"/>
      <c r="X1609" s="16"/>
      <c r="Y1609" s="16"/>
      <c r="Z1609" s="16"/>
      <c r="AA1609" s="16"/>
      <c r="AB1609" s="16"/>
      <c r="AC1609" s="16"/>
      <c r="AD1609" s="16"/>
      <c r="AE1609" s="16"/>
      <c r="AF1609" s="16"/>
      <c r="AG1609" s="16"/>
      <c r="AH1609" s="16"/>
      <c r="AI1609" s="16"/>
      <c r="AJ1609" s="16"/>
      <c r="AK1609" s="16"/>
      <c r="AL1609" s="16"/>
      <c r="AM1609" s="16"/>
      <c r="AN1609" s="16"/>
      <c r="AO1609" s="16"/>
      <c r="AP1609" s="16"/>
      <c r="AQ1609" s="16"/>
      <c r="AR1609" s="16"/>
      <c r="AS1609" s="16"/>
      <c r="AT1609" s="16"/>
      <c r="AU1609" s="16"/>
      <c r="AV1609" s="16"/>
      <c r="AW1609" s="16"/>
      <c r="AX1609" s="16"/>
      <c r="AY1609" s="16"/>
      <c r="AZ1609" s="16"/>
      <c r="BA1609" s="16"/>
      <c r="BB1609" s="16"/>
      <c r="BC1609" s="16"/>
      <c r="BD1609" s="16"/>
      <c r="BE1609" s="16"/>
      <c r="BF1609" s="16"/>
      <c r="BG1609" s="16"/>
      <c r="BH1609" s="16"/>
      <c r="BI1609" s="16"/>
      <c r="BJ1609" s="16"/>
      <c r="BK1609" s="16"/>
      <c r="BL1609" s="16"/>
      <c r="BM1609" s="16"/>
      <c r="BN1609" s="16"/>
      <c r="BO1609" s="16"/>
      <c r="BP1609" s="16"/>
      <c r="BQ1609" s="16"/>
      <c r="BR1609" s="16"/>
      <c r="BS1609" s="16"/>
      <c r="BT1609" s="16"/>
      <c r="BU1609" s="16"/>
      <c r="BV1609" s="16"/>
      <c r="BW1609" s="16"/>
      <c r="BX1609" s="16"/>
      <c r="BY1609" s="16"/>
      <c r="BZ1609" s="16"/>
      <c r="CA1609" s="16"/>
      <c r="CB1609" s="16"/>
      <c r="CC1609" s="16"/>
      <c r="CD1609" s="16"/>
      <c r="CE1609" s="16"/>
      <c r="CF1609" s="16"/>
      <c r="CG1609" s="16"/>
      <c r="CH1609" s="16"/>
      <c r="CI1609" s="16"/>
      <c r="CJ1609" s="16"/>
      <c r="CK1609" s="16"/>
      <c r="CL1609" s="16"/>
      <c r="CM1609" s="16"/>
      <c r="CN1609" s="16"/>
      <c r="CO1609" s="16"/>
      <c r="CP1609" s="16"/>
      <c r="CQ1609" s="16"/>
      <c r="CR1609" s="16"/>
      <c r="CS1609" s="16"/>
      <c r="CT1609" s="16"/>
      <c r="CU1609" s="16"/>
      <c r="CV1609" s="16"/>
      <c r="CW1609" s="16"/>
      <c r="CX1609" s="16"/>
      <c r="CY1609" s="16"/>
      <c r="CZ1609" s="16"/>
      <c r="DA1609" s="16"/>
      <c r="DB1609" s="16"/>
      <c r="DC1609" s="16"/>
      <c r="DD1609" s="16"/>
      <c r="DE1609" s="16"/>
      <c r="DF1609" s="16"/>
    </row>
    <row r="1610" spans="8:110" x14ac:dyDescent="0.3">
      <c r="H1610" s="4">
        <f t="shared" si="205"/>
        <v>0</v>
      </c>
      <c r="K1610" s="3"/>
      <c r="L1610" s="16"/>
      <c r="M1610" s="16"/>
      <c r="N1610" s="16"/>
      <c r="O1610" s="16"/>
      <c r="P1610" s="16"/>
      <c r="Q1610" s="16"/>
      <c r="R1610" s="16"/>
      <c r="S1610" s="16"/>
      <c r="T1610" s="16"/>
      <c r="U1610" s="16"/>
      <c r="V1610" s="16"/>
      <c r="W1610" s="16"/>
      <c r="X1610" s="16"/>
      <c r="Y1610" s="16"/>
      <c r="Z1610" s="16"/>
      <c r="AA1610" s="16"/>
      <c r="AB1610" s="16"/>
      <c r="AC1610" s="16"/>
      <c r="AD1610" s="16"/>
      <c r="AE1610" s="16"/>
      <c r="AF1610" s="16"/>
      <c r="AG1610" s="16"/>
      <c r="AH1610" s="16"/>
      <c r="AI1610" s="16"/>
      <c r="AJ1610" s="16"/>
      <c r="AK1610" s="16"/>
      <c r="AL1610" s="16"/>
      <c r="AM1610" s="16"/>
      <c r="AN1610" s="16"/>
      <c r="AO1610" s="16"/>
      <c r="AP1610" s="16"/>
      <c r="AQ1610" s="16"/>
      <c r="AR1610" s="16"/>
      <c r="AS1610" s="16"/>
      <c r="AT1610" s="16"/>
      <c r="AU1610" s="16"/>
      <c r="AV1610" s="16"/>
      <c r="AW1610" s="16"/>
      <c r="AX1610" s="16"/>
      <c r="AY1610" s="16"/>
      <c r="AZ1610" s="16"/>
      <c r="BA1610" s="16"/>
      <c r="BB1610" s="16"/>
      <c r="BC1610" s="16"/>
      <c r="BD1610" s="16"/>
      <c r="BE1610" s="16"/>
      <c r="BF1610" s="16"/>
      <c r="BG1610" s="16"/>
      <c r="BH1610" s="16"/>
      <c r="BI1610" s="16"/>
      <c r="BJ1610" s="16"/>
      <c r="BK1610" s="16"/>
      <c r="BL1610" s="16"/>
      <c r="BM1610" s="16"/>
      <c r="BN1610" s="16"/>
      <c r="BO1610" s="16"/>
      <c r="BP1610" s="16"/>
      <c r="BQ1610" s="16"/>
      <c r="BR1610" s="16"/>
      <c r="BS1610" s="16"/>
      <c r="BT1610" s="16"/>
      <c r="BU1610" s="16"/>
      <c r="BV1610" s="16"/>
      <c r="BW1610" s="16"/>
      <c r="BX1610" s="16"/>
      <c r="BY1610" s="16"/>
      <c r="BZ1610" s="16"/>
      <c r="CA1610" s="16"/>
      <c r="CB1610" s="16"/>
      <c r="CC1610" s="16"/>
      <c r="CD1610" s="16"/>
      <c r="CE1610" s="16"/>
      <c r="CF1610" s="16"/>
      <c r="CG1610" s="16"/>
      <c r="CH1610" s="16"/>
      <c r="CI1610" s="16"/>
      <c r="CJ1610" s="16"/>
      <c r="CK1610" s="16"/>
      <c r="CL1610" s="16"/>
      <c r="CM1610" s="16"/>
      <c r="CN1610" s="16"/>
      <c r="CO1610" s="16"/>
      <c r="CP1610" s="16"/>
      <c r="CQ1610" s="16"/>
      <c r="CR1610" s="16"/>
      <c r="CS1610" s="16"/>
      <c r="CT1610" s="16"/>
      <c r="CU1610" s="16"/>
      <c r="CV1610" s="16"/>
      <c r="CW1610" s="16"/>
      <c r="CX1610" s="16"/>
      <c r="CY1610" s="16"/>
      <c r="CZ1610" s="16"/>
      <c r="DA1610" s="16"/>
      <c r="DB1610" s="16"/>
      <c r="DC1610" s="16"/>
      <c r="DD1610" s="16"/>
      <c r="DE1610" s="16"/>
      <c r="DF1610" s="16"/>
    </row>
    <row r="1611" spans="8:110" x14ac:dyDescent="0.3">
      <c r="H1611" s="4">
        <f t="shared" si="205"/>
        <v>0</v>
      </c>
      <c r="K1611" s="3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  <c r="X1611" s="16"/>
      <c r="Y1611" s="16"/>
      <c r="Z1611" s="16"/>
      <c r="AA1611" s="16"/>
      <c r="AB1611" s="16"/>
      <c r="AC1611" s="16"/>
      <c r="AD1611" s="16"/>
      <c r="AE1611" s="16"/>
      <c r="AF1611" s="16"/>
      <c r="AG1611" s="16"/>
      <c r="AH1611" s="16"/>
      <c r="AI1611" s="16"/>
      <c r="AJ1611" s="16"/>
      <c r="AK1611" s="16"/>
      <c r="AL1611" s="16"/>
      <c r="AM1611" s="16"/>
      <c r="AN1611" s="16"/>
      <c r="AO1611" s="16"/>
      <c r="AP1611" s="16"/>
      <c r="AQ1611" s="16"/>
      <c r="AR1611" s="16"/>
      <c r="AS1611" s="16"/>
      <c r="AT1611" s="16"/>
      <c r="AU1611" s="16"/>
      <c r="AV1611" s="16"/>
      <c r="AW1611" s="16"/>
      <c r="AX1611" s="16"/>
      <c r="AY1611" s="16"/>
      <c r="AZ1611" s="16"/>
      <c r="BA1611" s="16"/>
      <c r="BB1611" s="16"/>
      <c r="BC1611" s="16"/>
      <c r="BD1611" s="16"/>
      <c r="BE1611" s="16"/>
      <c r="BF1611" s="16"/>
      <c r="BG1611" s="16"/>
      <c r="BH1611" s="16"/>
      <c r="BI1611" s="16"/>
      <c r="BJ1611" s="16"/>
      <c r="BK1611" s="16"/>
      <c r="BL1611" s="16"/>
      <c r="BM1611" s="16"/>
      <c r="BN1611" s="16"/>
      <c r="BO1611" s="16"/>
      <c r="BP1611" s="16"/>
      <c r="BQ1611" s="16"/>
      <c r="BR1611" s="16"/>
      <c r="BS1611" s="16"/>
      <c r="BT1611" s="16"/>
      <c r="BU1611" s="16"/>
      <c r="BV1611" s="16"/>
      <c r="BW1611" s="16"/>
      <c r="BX1611" s="16"/>
      <c r="BY1611" s="16"/>
      <c r="BZ1611" s="16"/>
      <c r="CA1611" s="16"/>
      <c r="CB1611" s="16"/>
      <c r="CC1611" s="16"/>
      <c r="CD1611" s="16"/>
      <c r="CE1611" s="16"/>
      <c r="CF1611" s="16"/>
      <c r="CG1611" s="16"/>
      <c r="CH1611" s="16"/>
      <c r="CI1611" s="16"/>
      <c r="CJ1611" s="16"/>
      <c r="CK1611" s="16"/>
      <c r="CL1611" s="16"/>
      <c r="CM1611" s="16"/>
      <c r="CN1611" s="16"/>
      <c r="CO1611" s="16"/>
      <c r="CP1611" s="16"/>
      <c r="CQ1611" s="16"/>
      <c r="CR1611" s="16"/>
      <c r="CS1611" s="16"/>
      <c r="CT1611" s="16"/>
      <c r="CU1611" s="16"/>
      <c r="CV1611" s="16"/>
      <c r="CW1611" s="16"/>
      <c r="CX1611" s="16"/>
      <c r="CY1611" s="16"/>
      <c r="CZ1611" s="16"/>
      <c r="DA1611" s="16"/>
      <c r="DB1611" s="16"/>
      <c r="DC1611" s="16"/>
      <c r="DD1611" s="16"/>
      <c r="DE1611" s="16"/>
      <c r="DF1611" s="16"/>
    </row>
    <row r="1612" spans="8:110" x14ac:dyDescent="0.3">
      <c r="H1612" s="4">
        <f t="shared" si="205"/>
        <v>0</v>
      </c>
      <c r="K1612" s="3"/>
      <c r="L1612" s="16"/>
      <c r="M1612" s="16"/>
      <c r="N1612" s="16"/>
      <c r="O1612" s="16"/>
      <c r="P1612" s="16"/>
      <c r="Q1612" s="16"/>
      <c r="R1612" s="16"/>
      <c r="S1612" s="16"/>
      <c r="T1612" s="16"/>
      <c r="U1612" s="16"/>
      <c r="V1612" s="16"/>
      <c r="W1612" s="16"/>
      <c r="X1612" s="16"/>
      <c r="Y1612" s="16"/>
      <c r="Z1612" s="16"/>
      <c r="AA1612" s="16"/>
      <c r="AB1612" s="16"/>
      <c r="AC1612" s="16"/>
      <c r="AD1612" s="16"/>
      <c r="AE1612" s="16"/>
      <c r="AF1612" s="16"/>
      <c r="AG1612" s="16"/>
      <c r="AH1612" s="16"/>
      <c r="AI1612" s="16"/>
      <c r="AJ1612" s="16"/>
      <c r="AK1612" s="16"/>
      <c r="AL1612" s="16"/>
      <c r="AM1612" s="16"/>
      <c r="AN1612" s="16"/>
      <c r="AO1612" s="16"/>
      <c r="AP1612" s="16"/>
      <c r="AQ1612" s="16"/>
      <c r="AR1612" s="16"/>
      <c r="AS1612" s="16"/>
      <c r="AT1612" s="16"/>
      <c r="AU1612" s="16"/>
      <c r="AV1612" s="16"/>
      <c r="AW1612" s="16"/>
      <c r="AX1612" s="16"/>
      <c r="AY1612" s="16"/>
      <c r="AZ1612" s="16"/>
      <c r="BA1612" s="16"/>
      <c r="BB1612" s="16"/>
      <c r="BC1612" s="16"/>
      <c r="BD1612" s="16"/>
      <c r="BE1612" s="16"/>
      <c r="BF1612" s="16"/>
      <c r="BG1612" s="16"/>
      <c r="BH1612" s="16"/>
      <c r="BI1612" s="16"/>
      <c r="BJ1612" s="16"/>
      <c r="BK1612" s="16"/>
      <c r="BL1612" s="16"/>
      <c r="BM1612" s="16"/>
      <c r="BN1612" s="16"/>
      <c r="BO1612" s="16"/>
      <c r="BP1612" s="16"/>
      <c r="BQ1612" s="16"/>
      <c r="BR1612" s="16"/>
      <c r="BS1612" s="16"/>
      <c r="BT1612" s="16"/>
      <c r="BU1612" s="16"/>
      <c r="BV1612" s="16"/>
      <c r="BW1612" s="16"/>
      <c r="BX1612" s="16"/>
      <c r="BY1612" s="16"/>
      <c r="BZ1612" s="16"/>
      <c r="CA1612" s="16"/>
      <c r="CB1612" s="16"/>
      <c r="CC1612" s="16"/>
      <c r="CD1612" s="16"/>
      <c r="CE1612" s="16"/>
      <c r="CF1612" s="16"/>
      <c r="CG1612" s="16"/>
      <c r="CH1612" s="16"/>
      <c r="CI1612" s="16"/>
      <c r="CJ1612" s="16"/>
      <c r="CK1612" s="16"/>
      <c r="CL1612" s="16"/>
      <c r="CM1612" s="16"/>
      <c r="CN1612" s="16"/>
      <c r="CO1612" s="16"/>
      <c r="CP1612" s="16"/>
      <c r="CQ1612" s="16"/>
      <c r="CR1612" s="16"/>
      <c r="CS1612" s="16"/>
      <c r="CT1612" s="16"/>
      <c r="CU1612" s="16"/>
      <c r="CV1612" s="16"/>
      <c r="CW1612" s="16"/>
      <c r="CX1612" s="16"/>
      <c r="CY1612" s="16"/>
      <c r="CZ1612" s="16"/>
      <c r="DA1612" s="16"/>
      <c r="DB1612" s="16"/>
      <c r="DC1612" s="16"/>
      <c r="DD1612" s="16"/>
      <c r="DE1612" s="16"/>
      <c r="DF1612" s="16"/>
    </row>
    <row r="1613" spans="8:110" x14ac:dyDescent="0.3">
      <c r="H1613" s="4">
        <f t="shared" si="205"/>
        <v>0</v>
      </c>
      <c r="K1613" s="3"/>
      <c r="L1613" s="16"/>
      <c r="M1613" s="16"/>
      <c r="N1613" s="16"/>
      <c r="O1613" s="16"/>
      <c r="P1613" s="16"/>
      <c r="Q1613" s="16"/>
      <c r="R1613" s="16"/>
      <c r="S1613" s="16"/>
      <c r="T1613" s="16"/>
      <c r="U1613" s="16"/>
      <c r="V1613" s="16"/>
      <c r="W1613" s="16"/>
      <c r="X1613" s="16"/>
      <c r="Y1613" s="16"/>
      <c r="Z1613" s="16"/>
      <c r="AA1613" s="16"/>
      <c r="AB1613" s="16"/>
      <c r="AC1613" s="16"/>
      <c r="AD1613" s="16"/>
      <c r="AE1613" s="16"/>
      <c r="AF1613" s="16"/>
      <c r="AG1613" s="16"/>
      <c r="AH1613" s="16"/>
      <c r="AI1613" s="16"/>
      <c r="AJ1613" s="16"/>
      <c r="AK1613" s="16"/>
      <c r="AL1613" s="16"/>
      <c r="AM1613" s="16"/>
      <c r="AN1613" s="16"/>
      <c r="AO1613" s="16"/>
      <c r="AP1613" s="16"/>
      <c r="AQ1613" s="16"/>
      <c r="AR1613" s="16"/>
      <c r="AS1613" s="16"/>
      <c r="AT1613" s="16"/>
      <c r="AU1613" s="16"/>
      <c r="AV1613" s="16"/>
      <c r="AW1613" s="16"/>
      <c r="AX1613" s="16"/>
      <c r="AY1613" s="16"/>
      <c r="AZ1613" s="16"/>
      <c r="BA1613" s="16"/>
      <c r="BB1613" s="16"/>
      <c r="BC1613" s="16"/>
      <c r="BD1613" s="16"/>
      <c r="BE1613" s="16"/>
      <c r="BF1613" s="16"/>
      <c r="BG1613" s="16"/>
      <c r="BH1613" s="16"/>
      <c r="BI1613" s="16"/>
      <c r="BJ1613" s="16"/>
      <c r="BK1613" s="16"/>
      <c r="BL1613" s="16"/>
      <c r="BM1613" s="16"/>
      <c r="BN1613" s="16"/>
      <c r="BO1613" s="16"/>
      <c r="BP1613" s="16"/>
      <c r="BQ1613" s="16"/>
      <c r="BR1613" s="16"/>
      <c r="BS1613" s="16"/>
      <c r="BT1613" s="16"/>
      <c r="BU1613" s="16"/>
      <c r="BV1613" s="16"/>
      <c r="BW1613" s="16"/>
      <c r="BX1613" s="16"/>
      <c r="BY1613" s="16"/>
      <c r="BZ1613" s="16"/>
      <c r="CA1613" s="16"/>
      <c r="CB1613" s="16"/>
      <c r="CC1613" s="16"/>
      <c r="CD1613" s="16"/>
      <c r="CE1613" s="16"/>
      <c r="CF1613" s="16"/>
      <c r="CG1613" s="16"/>
      <c r="CH1613" s="16"/>
      <c r="CI1613" s="16"/>
      <c r="CJ1613" s="16"/>
      <c r="CK1613" s="16"/>
      <c r="CL1613" s="16"/>
      <c r="CM1613" s="16"/>
      <c r="CN1613" s="16"/>
      <c r="CO1613" s="16"/>
      <c r="CP1613" s="16"/>
      <c r="CQ1613" s="16"/>
      <c r="CR1613" s="16"/>
      <c r="CS1613" s="16"/>
      <c r="CT1613" s="16"/>
      <c r="CU1613" s="16"/>
      <c r="CV1613" s="16"/>
      <c r="CW1613" s="16"/>
      <c r="CX1613" s="16"/>
      <c r="CY1613" s="16"/>
      <c r="CZ1613" s="16"/>
      <c r="DA1613" s="16"/>
      <c r="DB1613" s="16"/>
      <c r="DC1613" s="16"/>
      <c r="DD1613" s="16"/>
      <c r="DE1613" s="16"/>
      <c r="DF1613" s="16"/>
    </row>
    <row r="1614" spans="8:110" x14ac:dyDescent="0.3">
      <c r="H1614" s="4">
        <f t="shared" si="205"/>
        <v>0</v>
      </c>
      <c r="K1614" s="3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  <c r="V1614" s="16"/>
      <c r="W1614" s="16"/>
      <c r="X1614" s="16"/>
      <c r="Y1614" s="16"/>
      <c r="Z1614" s="16"/>
      <c r="AA1614" s="16"/>
      <c r="AB1614" s="16"/>
      <c r="AC1614" s="16"/>
      <c r="AD1614" s="16"/>
      <c r="AE1614" s="16"/>
      <c r="AF1614" s="16"/>
      <c r="AG1614" s="16"/>
      <c r="AH1614" s="16"/>
      <c r="AI1614" s="16"/>
      <c r="AJ1614" s="16"/>
      <c r="AK1614" s="16"/>
      <c r="AL1614" s="16"/>
      <c r="AM1614" s="16"/>
      <c r="AN1614" s="16"/>
      <c r="AO1614" s="16"/>
      <c r="AP1614" s="16"/>
      <c r="AQ1614" s="16"/>
      <c r="AR1614" s="16"/>
      <c r="AS1614" s="16"/>
      <c r="AT1614" s="16"/>
      <c r="AU1614" s="16"/>
      <c r="AV1614" s="16"/>
      <c r="AW1614" s="16"/>
      <c r="AX1614" s="16"/>
      <c r="AY1614" s="16"/>
      <c r="AZ1614" s="16"/>
      <c r="BA1614" s="16"/>
      <c r="BB1614" s="16"/>
      <c r="BC1614" s="16"/>
      <c r="BD1614" s="16"/>
      <c r="BE1614" s="16"/>
      <c r="BF1614" s="16"/>
      <c r="BG1614" s="16"/>
      <c r="BH1614" s="16"/>
      <c r="BI1614" s="16"/>
      <c r="BJ1614" s="16"/>
      <c r="BK1614" s="16"/>
      <c r="BL1614" s="16"/>
      <c r="BM1614" s="16"/>
      <c r="BN1614" s="16"/>
      <c r="BO1614" s="16"/>
      <c r="BP1614" s="16"/>
      <c r="BQ1614" s="16"/>
      <c r="BR1614" s="16"/>
      <c r="BS1614" s="16"/>
      <c r="BT1614" s="16"/>
      <c r="BU1614" s="16"/>
      <c r="BV1614" s="16"/>
      <c r="BW1614" s="16"/>
      <c r="BX1614" s="16"/>
      <c r="BY1614" s="16"/>
      <c r="BZ1614" s="16"/>
      <c r="CA1614" s="16"/>
      <c r="CB1614" s="16"/>
      <c r="CC1614" s="16"/>
      <c r="CD1614" s="16"/>
      <c r="CE1614" s="16"/>
      <c r="CF1614" s="16"/>
      <c r="CG1614" s="16"/>
      <c r="CH1614" s="16"/>
      <c r="CI1614" s="16"/>
      <c r="CJ1614" s="16"/>
      <c r="CK1614" s="16"/>
      <c r="CL1614" s="16"/>
      <c r="CM1614" s="16"/>
      <c r="CN1614" s="16"/>
      <c r="CO1614" s="16"/>
      <c r="CP1614" s="16"/>
      <c r="CQ1614" s="16"/>
      <c r="CR1614" s="16"/>
      <c r="CS1614" s="16"/>
      <c r="CT1614" s="16"/>
      <c r="CU1614" s="16"/>
      <c r="CV1614" s="16"/>
      <c r="CW1614" s="16"/>
      <c r="CX1614" s="16"/>
      <c r="CY1614" s="16"/>
      <c r="CZ1614" s="16"/>
      <c r="DA1614" s="16"/>
      <c r="DB1614" s="16"/>
      <c r="DC1614" s="16"/>
      <c r="DD1614" s="16"/>
      <c r="DE1614" s="16"/>
      <c r="DF1614" s="16"/>
    </row>
    <row r="1615" spans="8:110" x14ac:dyDescent="0.3">
      <c r="H1615" s="4">
        <f t="shared" si="205"/>
        <v>0</v>
      </c>
      <c r="K1615" s="3"/>
      <c r="L1615" s="16"/>
      <c r="M1615" s="16"/>
      <c r="N1615" s="16"/>
      <c r="O1615" s="16"/>
      <c r="P1615" s="16"/>
      <c r="Q1615" s="16"/>
      <c r="R1615" s="16"/>
      <c r="S1615" s="16"/>
      <c r="T1615" s="16"/>
      <c r="U1615" s="16"/>
      <c r="V1615" s="16"/>
      <c r="W1615" s="16"/>
      <c r="X1615" s="16"/>
      <c r="Y1615" s="16"/>
      <c r="Z1615" s="16"/>
      <c r="AA1615" s="16"/>
      <c r="AB1615" s="16"/>
      <c r="AC1615" s="16"/>
      <c r="AD1615" s="16"/>
      <c r="AE1615" s="16"/>
      <c r="AF1615" s="16"/>
      <c r="AG1615" s="16"/>
      <c r="AH1615" s="16"/>
      <c r="AI1615" s="16"/>
      <c r="AJ1615" s="16"/>
      <c r="AK1615" s="16"/>
      <c r="AL1615" s="16"/>
      <c r="AM1615" s="16"/>
      <c r="AN1615" s="16"/>
      <c r="AO1615" s="16"/>
      <c r="AP1615" s="16"/>
      <c r="AQ1615" s="16"/>
      <c r="AR1615" s="16"/>
      <c r="AS1615" s="16"/>
      <c r="AT1615" s="16"/>
      <c r="AU1615" s="16"/>
      <c r="AV1615" s="16"/>
      <c r="AW1615" s="16"/>
      <c r="AX1615" s="16"/>
      <c r="AY1615" s="16"/>
      <c r="AZ1615" s="16"/>
      <c r="BA1615" s="16"/>
      <c r="BB1615" s="16"/>
      <c r="BC1615" s="16"/>
      <c r="BD1615" s="16"/>
      <c r="BE1615" s="16"/>
      <c r="BF1615" s="16"/>
      <c r="BG1615" s="16"/>
      <c r="BH1615" s="16"/>
      <c r="BI1615" s="16"/>
      <c r="BJ1615" s="16"/>
      <c r="BK1615" s="16"/>
      <c r="BL1615" s="16"/>
      <c r="BM1615" s="16"/>
      <c r="BN1615" s="16"/>
      <c r="BO1615" s="16"/>
      <c r="BP1615" s="16"/>
      <c r="BQ1615" s="16"/>
      <c r="BR1615" s="16"/>
      <c r="BS1615" s="16"/>
      <c r="BT1615" s="16"/>
      <c r="BU1615" s="16"/>
      <c r="BV1615" s="16"/>
      <c r="BW1615" s="16"/>
      <c r="BX1615" s="16"/>
      <c r="BY1615" s="16"/>
      <c r="BZ1615" s="16"/>
      <c r="CA1615" s="16"/>
      <c r="CB1615" s="16"/>
      <c r="CC1615" s="16"/>
      <c r="CD1615" s="16"/>
      <c r="CE1615" s="16"/>
      <c r="CF1615" s="16"/>
      <c r="CG1615" s="16"/>
      <c r="CH1615" s="16"/>
      <c r="CI1615" s="16"/>
      <c r="CJ1615" s="16"/>
      <c r="CK1615" s="16"/>
      <c r="CL1615" s="16"/>
      <c r="CM1615" s="16"/>
      <c r="CN1615" s="16"/>
      <c r="CO1615" s="16"/>
      <c r="CP1615" s="16"/>
      <c r="CQ1615" s="16"/>
      <c r="CR1615" s="16"/>
      <c r="CS1615" s="16"/>
      <c r="CT1615" s="16"/>
      <c r="CU1615" s="16"/>
      <c r="CV1615" s="16"/>
      <c r="CW1615" s="16"/>
      <c r="CX1615" s="16"/>
      <c r="CY1615" s="16"/>
      <c r="CZ1615" s="16"/>
      <c r="DA1615" s="16"/>
      <c r="DB1615" s="16"/>
      <c r="DC1615" s="16"/>
      <c r="DD1615" s="16"/>
      <c r="DE1615" s="16"/>
      <c r="DF1615" s="16"/>
    </row>
    <row r="1616" spans="8:110" x14ac:dyDescent="0.3">
      <c r="H1616" s="4">
        <f t="shared" si="205"/>
        <v>0</v>
      </c>
      <c r="K1616" s="3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  <c r="Z1616" s="16"/>
      <c r="AA1616" s="16"/>
      <c r="AB1616" s="16"/>
      <c r="AC1616" s="16"/>
      <c r="AD1616" s="16"/>
      <c r="AE1616" s="16"/>
      <c r="AF1616" s="16"/>
      <c r="AG1616" s="16"/>
      <c r="AH1616" s="16"/>
      <c r="AI1616" s="16"/>
      <c r="AJ1616" s="16"/>
      <c r="AK1616" s="16"/>
      <c r="AL1616" s="16"/>
      <c r="AM1616" s="16"/>
      <c r="AN1616" s="16"/>
      <c r="AO1616" s="16"/>
      <c r="AP1616" s="16"/>
      <c r="AQ1616" s="16"/>
      <c r="AR1616" s="16"/>
      <c r="AS1616" s="16"/>
      <c r="AT1616" s="16"/>
      <c r="AU1616" s="16"/>
      <c r="AV1616" s="16"/>
      <c r="AW1616" s="16"/>
      <c r="AX1616" s="16"/>
      <c r="AY1616" s="16"/>
      <c r="AZ1616" s="16"/>
      <c r="BA1616" s="16"/>
      <c r="BB1616" s="16"/>
      <c r="BC1616" s="16"/>
      <c r="BD1616" s="16"/>
      <c r="BE1616" s="16"/>
      <c r="BF1616" s="16"/>
      <c r="BG1616" s="16"/>
      <c r="BH1616" s="16"/>
      <c r="BI1616" s="16"/>
      <c r="BJ1616" s="16"/>
      <c r="BK1616" s="16"/>
      <c r="BL1616" s="16"/>
      <c r="BM1616" s="16"/>
      <c r="BN1616" s="16"/>
      <c r="BO1616" s="16"/>
      <c r="BP1616" s="16"/>
      <c r="BQ1616" s="16"/>
      <c r="BR1616" s="16"/>
      <c r="BS1616" s="16"/>
      <c r="BT1616" s="16"/>
      <c r="BU1616" s="16"/>
      <c r="BV1616" s="16"/>
      <c r="BW1616" s="16"/>
      <c r="BX1616" s="16"/>
      <c r="BY1616" s="16"/>
      <c r="BZ1616" s="16"/>
      <c r="CA1616" s="16"/>
      <c r="CB1616" s="16"/>
      <c r="CC1616" s="16"/>
      <c r="CD1616" s="16"/>
      <c r="CE1616" s="16"/>
      <c r="CF1616" s="16"/>
      <c r="CG1616" s="16"/>
      <c r="CH1616" s="16"/>
      <c r="CI1616" s="16"/>
      <c r="CJ1616" s="16"/>
      <c r="CK1616" s="16"/>
      <c r="CL1616" s="16"/>
      <c r="CM1616" s="16"/>
      <c r="CN1616" s="16"/>
      <c r="CO1616" s="16"/>
      <c r="CP1616" s="16"/>
      <c r="CQ1616" s="16"/>
      <c r="CR1616" s="16"/>
      <c r="CS1616" s="16"/>
      <c r="CT1616" s="16"/>
      <c r="CU1616" s="16"/>
      <c r="CV1616" s="16"/>
      <c r="CW1616" s="16"/>
      <c r="CX1616" s="16"/>
      <c r="CY1616" s="16"/>
      <c r="CZ1616" s="16"/>
      <c r="DA1616" s="16"/>
      <c r="DB1616" s="16"/>
      <c r="DC1616" s="16"/>
      <c r="DD1616" s="16"/>
      <c r="DE1616" s="16"/>
      <c r="DF1616" s="16"/>
    </row>
    <row r="1617" spans="8:110" x14ac:dyDescent="0.3">
      <c r="H1617" s="4">
        <f t="shared" si="205"/>
        <v>0</v>
      </c>
      <c r="K1617" s="3"/>
      <c r="L1617" s="16"/>
      <c r="M1617" s="16"/>
      <c r="N1617" s="16"/>
      <c r="O1617" s="16"/>
      <c r="P1617" s="16"/>
      <c r="Q1617" s="16"/>
      <c r="R1617" s="16"/>
      <c r="S1617" s="16"/>
      <c r="T1617" s="16"/>
      <c r="U1617" s="16"/>
      <c r="V1617" s="16"/>
      <c r="W1617" s="16"/>
      <c r="X1617" s="16"/>
      <c r="Y1617" s="16"/>
      <c r="Z1617" s="16"/>
      <c r="AA1617" s="16"/>
      <c r="AB1617" s="16"/>
      <c r="AC1617" s="16"/>
      <c r="AD1617" s="16"/>
      <c r="AE1617" s="16"/>
      <c r="AF1617" s="16"/>
      <c r="AG1617" s="16"/>
      <c r="AH1617" s="16"/>
      <c r="AI1617" s="16"/>
      <c r="AJ1617" s="16"/>
      <c r="AK1617" s="16"/>
      <c r="AL1617" s="16"/>
      <c r="AM1617" s="16"/>
      <c r="AN1617" s="16"/>
      <c r="AO1617" s="16"/>
      <c r="AP1617" s="16"/>
      <c r="AQ1617" s="16"/>
      <c r="AR1617" s="16"/>
      <c r="AS1617" s="16"/>
      <c r="AT1617" s="16"/>
      <c r="AU1617" s="16"/>
      <c r="AV1617" s="16"/>
      <c r="AW1617" s="16"/>
      <c r="AX1617" s="16"/>
      <c r="AY1617" s="16"/>
      <c r="AZ1617" s="16"/>
      <c r="BA1617" s="16"/>
      <c r="BB1617" s="16"/>
      <c r="BC1617" s="16"/>
      <c r="BD1617" s="16"/>
      <c r="BE1617" s="16"/>
      <c r="BF1617" s="16"/>
      <c r="BG1617" s="16"/>
      <c r="BH1617" s="16"/>
      <c r="BI1617" s="16"/>
      <c r="BJ1617" s="16"/>
      <c r="BK1617" s="16"/>
      <c r="BL1617" s="16"/>
      <c r="BM1617" s="16"/>
      <c r="BN1617" s="16"/>
      <c r="BO1617" s="16"/>
      <c r="BP1617" s="16"/>
      <c r="BQ1617" s="16"/>
      <c r="BR1617" s="16"/>
      <c r="BS1617" s="16"/>
      <c r="BT1617" s="16"/>
      <c r="BU1617" s="16"/>
      <c r="BV1617" s="16"/>
      <c r="BW1617" s="16"/>
      <c r="BX1617" s="16"/>
      <c r="BY1617" s="16"/>
      <c r="BZ1617" s="16"/>
      <c r="CA1617" s="16"/>
      <c r="CB1617" s="16"/>
      <c r="CC1617" s="16"/>
      <c r="CD1617" s="16"/>
      <c r="CE1617" s="16"/>
      <c r="CF1617" s="16"/>
      <c r="CG1617" s="16"/>
      <c r="CH1617" s="16"/>
      <c r="CI1617" s="16"/>
      <c r="CJ1617" s="16"/>
      <c r="CK1617" s="16"/>
      <c r="CL1617" s="16"/>
      <c r="CM1617" s="16"/>
      <c r="CN1617" s="16"/>
      <c r="CO1617" s="16"/>
      <c r="CP1617" s="16"/>
      <c r="CQ1617" s="16"/>
      <c r="CR1617" s="16"/>
      <c r="CS1617" s="16"/>
      <c r="CT1617" s="16"/>
      <c r="CU1617" s="16"/>
      <c r="CV1617" s="16"/>
      <c r="CW1617" s="16"/>
      <c r="CX1617" s="16"/>
      <c r="CY1617" s="16"/>
      <c r="CZ1617" s="16"/>
      <c r="DA1617" s="16"/>
      <c r="DB1617" s="16"/>
      <c r="DC1617" s="16"/>
      <c r="DD1617" s="16"/>
      <c r="DE1617" s="16"/>
      <c r="DF1617" s="16"/>
    </row>
    <row r="1618" spans="8:110" x14ac:dyDescent="0.3">
      <c r="H1618" s="4">
        <f t="shared" si="205"/>
        <v>0</v>
      </c>
      <c r="K1618" s="3"/>
      <c r="L1618" s="16"/>
      <c r="M1618" s="16"/>
      <c r="N1618" s="16"/>
      <c r="O1618" s="16"/>
      <c r="P1618" s="16"/>
      <c r="Q1618" s="16"/>
      <c r="R1618" s="16"/>
      <c r="S1618" s="16"/>
      <c r="T1618" s="16"/>
      <c r="U1618" s="16"/>
      <c r="V1618" s="16"/>
      <c r="W1618" s="16"/>
      <c r="X1618" s="16"/>
      <c r="Y1618" s="16"/>
      <c r="Z1618" s="16"/>
      <c r="AA1618" s="16"/>
      <c r="AB1618" s="16"/>
      <c r="AC1618" s="16"/>
      <c r="AD1618" s="16"/>
      <c r="AE1618" s="16"/>
      <c r="AF1618" s="16"/>
      <c r="AG1618" s="16"/>
      <c r="AH1618" s="16"/>
      <c r="AI1618" s="16"/>
      <c r="AJ1618" s="16"/>
      <c r="AK1618" s="16"/>
      <c r="AL1618" s="16"/>
      <c r="AM1618" s="16"/>
      <c r="AN1618" s="16"/>
      <c r="AO1618" s="16"/>
      <c r="AP1618" s="16"/>
      <c r="AQ1618" s="16"/>
      <c r="AR1618" s="16"/>
      <c r="AS1618" s="16"/>
      <c r="AT1618" s="16"/>
      <c r="AU1618" s="16"/>
      <c r="AV1618" s="16"/>
      <c r="AW1618" s="16"/>
      <c r="AX1618" s="16"/>
      <c r="AY1618" s="16"/>
      <c r="AZ1618" s="16"/>
      <c r="BA1618" s="16"/>
      <c r="BB1618" s="16"/>
      <c r="BC1618" s="16"/>
      <c r="BD1618" s="16"/>
      <c r="BE1618" s="16"/>
      <c r="BF1618" s="16"/>
      <c r="BG1618" s="16"/>
      <c r="BH1618" s="16"/>
      <c r="BI1618" s="16"/>
      <c r="BJ1618" s="16"/>
      <c r="BK1618" s="16"/>
      <c r="BL1618" s="16"/>
      <c r="BM1618" s="16"/>
      <c r="BN1618" s="16"/>
      <c r="BO1618" s="16"/>
      <c r="BP1618" s="16"/>
      <c r="BQ1618" s="16"/>
      <c r="BR1618" s="16"/>
      <c r="BS1618" s="16"/>
      <c r="BT1618" s="16"/>
      <c r="BU1618" s="16"/>
      <c r="BV1618" s="16"/>
      <c r="BW1618" s="16"/>
      <c r="BX1618" s="16"/>
      <c r="BY1618" s="16"/>
      <c r="BZ1618" s="16"/>
      <c r="CA1618" s="16"/>
      <c r="CB1618" s="16"/>
      <c r="CC1618" s="16"/>
      <c r="CD1618" s="16"/>
      <c r="CE1618" s="16"/>
      <c r="CF1618" s="16"/>
      <c r="CG1618" s="16"/>
      <c r="CH1618" s="16"/>
      <c r="CI1618" s="16"/>
      <c r="CJ1618" s="16"/>
      <c r="CK1618" s="16"/>
      <c r="CL1618" s="16"/>
      <c r="CM1618" s="16"/>
      <c r="CN1618" s="16"/>
      <c r="CO1618" s="16"/>
      <c r="CP1618" s="16"/>
      <c r="CQ1618" s="16"/>
      <c r="CR1618" s="16"/>
      <c r="CS1618" s="16"/>
      <c r="CT1618" s="16"/>
      <c r="CU1618" s="16"/>
      <c r="CV1618" s="16"/>
      <c r="CW1618" s="16"/>
      <c r="CX1618" s="16"/>
      <c r="CY1618" s="16"/>
      <c r="CZ1618" s="16"/>
      <c r="DA1618" s="16"/>
      <c r="DB1618" s="16"/>
      <c r="DC1618" s="16"/>
      <c r="DD1618" s="16"/>
      <c r="DE1618" s="16"/>
      <c r="DF1618" s="16"/>
    </row>
    <row r="1619" spans="8:110" x14ac:dyDescent="0.3">
      <c r="H1619" s="4">
        <f t="shared" si="205"/>
        <v>0</v>
      </c>
      <c r="K1619" s="3"/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6"/>
      <c r="W1619" s="16"/>
      <c r="X1619" s="16"/>
      <c r="Y1619" s="16"/>
      <c r="Z1619" s="16"/>
      <c r="AA1619" s="16"/>
      <c r="AB1619" s="16"/>
      <c r="AC1619" s="16"/>
      <c r="AD1619" s="16"/>
      <c r="AE1619" s="16"/>
      <c r="AF1619" s="16"/>
      <c r="AG1619" s="16"/>
      <c r="AH1619" s="16"/>
      <c r="AI1619" s="16"/>
      <c r="AJ1619" s="16"/>
      <c r="AK1619" s="16"/>
      <c r="AL1619" s="16"/>
      <c r="AM1619" s="16"/>
      <c r="AN1619" s="16"/>
      <c r="AO1619" s="16"/>
      <c r="AP1619" s="16"/>
      <c r="AQ1619" s="16"/>
      <c r="AR1619" s="16"/>
      <c r="AS1619" s="16"/>
      <c r="AT1619" s="16"/>
      <c r="AU1619" s="16"/>
      <c r="AV1619" s="16"/>
      <c r="AW1619" s="16"/>
      <c r="AX1619" s="16"/>
      <c r="AY1619" s="16"/>
      <c r="AZ1619" s="16"/>
      <c r="BA1619" s="16"/>
      <c r="BB1619" s="16"/>
      <c r="BC1619" s="16"/>
      <c r="BD1619" s="16"/>
      <c r="BE1619" s="16"/>
      <c r="BF1619" s="16"/>
      <c r="BG1619" s="16"/>
      <c r="BH1619" s="16"/>
      <c r="BI1619" s="16"/>
      <c r="BJ1619" s="16"/>
      <c r="BK1619" s="16"/>
      <c r="BL1619" s="16"/>
      <c r="BM1619" s="16"/>
      <c r="BN1619" s="16"/>
      <c r="BO1619" s="16"/>
      <c r="BP1619" s="16"/>
      <c r="BQ1619" s="16"/>
      <c r="BR1619" s="16"/>
      <c r="BS1619" s="16"/>
      <c r="BT1619" s="16"/>
      <c r="BU1619" s="16"/>
      <c r="BV1619" s="16"/>
      <c r="BW1619" s="16"/>
      <c r="BX1619" s="16"/>
      <c r="BY1619" s="16"/>
      <c r="BZ1619" s="16"/>
      <c r="CA1619" s="16"/>
      <c r="CB1619" s="16"/>
      <c r="CC1619" s="16"/>
      <c r="CD1619" s="16"/>
      <c r="CE1619" s="16"/>
      <c r="CF1619" s="16"/>
      <c r="CG1619" s="16"/>
      <c r="CH1619" s="16"/>
      <c r="CI1619" s="16"/>
      <c r="CJ1619" s="16"/>
      <c r="CK1619" s="16"/>
      <c r="CL1619" s="16"/>
      <c r="CM1619" s="16"/>
      <c r="CN1619" s="16"/>
      <c r="CO1619" s="16"/>
      <c r="CP1619" s="16"/>
      <c r="CQ1619" s="16"/>
      <c r="CR1619" s="16"/>
      <c r="CS1619" s="16"/>
      <c r="CT1619" s="16"/>
      <c r="CU1619" s="16"/>
      <c r="CV1619" s="16"/>
      <c r="CW1619" s="16"/>
      <c r="CX1619" s="16"/>
      <c r="CY1619" s="16"/>
      <c r="CZ1619" s="16"/>
      <c r="DA1619" s="16"/>
      <c r="DB1619" s="16"/>
      <c r="DC1619" s="16"/>
      <c r="DD1619" s="16"/>
      <c r="DE1619" s="16"/>
      <c r="DF1619" s="16"/>
    </row>
    <row r="1620" spans="8:110" x14ac:dyDescent="0.3">
      <c r="H1620" s="4">
        <f t="shared" si="205"/>
        <v>0</v>
      </c>
      <c r="K1620" s="3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16"/>
      <c r="AA1620" s="16"/>
      <c r="AB1620" s="16"/>
      <c r="AC1620" s="16"/>
      <c r="AD1620" s="16"/>
      <c r="AE1620" s="16"/>
      <c r="AF1620" s="16"/>
      <c r="AG1620" s="16"/>
      <c r="AH1620" s="16"/>
      <c r="AI1620" s="16"/>
      <c r="AJ1620" s="16"/>
      <c r="AK1620" s="16"/>
      <c r="AL1620" s="16"/>
      <c r="AM1620" s="16"/>
      <c r="AN1620" s="16"/>
      <c r="AO1620" s="16"/>
      <c r="AP1620" s="16"/>
      <c r="AQ1620" s="16"/>
      <c r="AR1620" s="16"/>
      <c r="AS1620" s="16"/>
      <c r="AT1620" s="16"/>
      <c r="AU1620" s="16"/>
      <c r="AV1620" s="16"/>
      <c r="AW1620" s="16"/>
      <c r="AX1620" s="16"/>
      <c r="AY1620" s="16"/>
      <c r="AZ1620" s="16"/>
      <c r="BA1620" s="16"/>
      <c r="BB1620" s="16"/>
      <c r="BC1620" s="16"/>
      <c r="BD1620" s="16"/>
      <c r="BE1620" s="16"/>
      <c r="BF1620" s="16"/>
      <c r="BG1620" s="16"/>
      <c r="BH1620" s="16"/>
      <c r="BI1620" s="16"/>
      <c r="BJ1620" s="16"/>
      <c r="BK1620" s="16"/>
      <c r="BL1620" s="16"/>
      <c r="BM1620" s="16"/>
      <c r="BN1620" s="16"/>
      <c r="BO1620" s="16"/>
      <c r="BP1620" s="16"/>
      <c r="BQ1620" s="16"/>
      <c r="BR1620" s="16"/>
      <c r="BS1620" s="16"/>
      <c r="BT1620" s="16"/>
      <c r="BU1620" s="16"/>
      <c r="BV1620" s="16"/>
      <c r="BW1620" s="16"/>
      <c r="BX1620" s="16"/>
      <c r="BY1620" s="16"/>
      <c r="BZ1620" s="16"/>
      <c r="CA1620" s="16"/>
      <c r="CB1620" s="16"/>
      <c r="CC1620" s="16"/>
      <c r="CD1620" s="16"/>
      <c r="CE1620" s="16"/>
      <c r="CF1620" s="16"/>
      <c r="CG1620" s="16"/>
      <c r="CH1620" s="16"/>
      <c r="CI1620" s="16"/>
      <c r="CJ1620" s="16"/>
      <c r="CK1620" s="16"/>
      <c r="CL1620" s="16"/>
      <c r="CM1620" s="16"/>
      <c r="CN1620" s="16"/>
      <c r="CO1620" s="16"/>
      <c r="CP1620" s="16"/>
      <c r="CQ1620" s="16"/>
      <c r="CR1620" s="16"/>
      <c r="CS1620" s="16"/>
      <c r="CT1620" s="16"/>
      <c r="CU1620" s="16"/>
      <c r="CV1620" s="16"/>
      <c r="CW1620" s="16"/>
      <c r="CX1620" s="16"/>
      <c r="CY1620" s="16"/>
      <c r="CZ1620" s="16"/>
      <c r="DA1620" s="16"/>
      <c r="DB1620" s="16"/>
      <c r="DC1620" s="16"/>
      <c r="DD1620" s="16"/>
      <c r="DE1620" s="16"/>
      <c r="DF1620" s="16"/>
    </row>
    <row r="1621" spans="8:110" x14ac:dyDescent="0.3">
      <c r="H1621" s="4">
        <f t="shared" si="205"/>
        <v>0</v>
      </c>
      <c r="K1621" s="3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  <c r="AA1621" s="16"/>
      <c r="AB1621" s="16"/>
      <c r="AC1621" s="16"/>
      <c r="AD1621" s="16"/>
      <c r="AE1621" s="16"/>
      <c r="AF1621" s="16"/>
      <c r="AG1621" s="16"/>
      <c r="AH1621" s="16"/>
      <c r="AI1621" s="16"/>
      <c r="AJ1621" s="16"/>
      <c r="AK1621" s="16"/>
      <c r="AL1621" s="16"/>
      <c r="AM1621" s="16"/>
      <c r="AN1621" s="16"/>
      <c r="AO1621" s="16"/>
      <c r="AP1621" s="16"/>
      <c r="AQ1621" s="16"/>
      <c r="AR1621" s="16"/>
      <c r="AS1621" s="16"/>
      <c r="AT1621" s="16"/>
      <c r="AU1621" s="16"/>
      <c r="AV1621" s="16"/>
      <c r="AW1621" s="16"/>
      <c r="AX1621" s="16"/>
      <c r="AY1621" s="16"/>
      <c r="AZ1621" s="16"/>
      <c r="BA1621" s="16"/>
      <c r="BB1621" s="16"/>
      <c r="BC1621" s="16"/>
      <c r="BD1621" s="16"/>
      <c r="BE1621" s="16"/>
      <c r="BF1621" s="16"/>
      <c r="BG1621" s="16"/>
      <c r="BH1621" s="16"/>
      <c r="BI1621" s="16"/>
      <c r="BJ1621" s="16"/>
      <c r="BK1621" s="16"/>
      <c r="BL1621" s="16"/>
      <c r="BM1621" s="16"/>
      <c r="BN1621" s="16"/>
      <c r="BO1621" s="16"/>
      <c r="BP1621" s="16"/>
      <c r="BQ1621" s="16"/>
      <c r="BR1621" s="16"/>
      <c r="BS1621" s="16"/>
      <c r="BT1621" s="16"/>
      <c r="BU1621" s="16"/>
      <c r="BV1621" s="16"/>
      <c r="BW1621" s="16"/>
      <c r="BX1621" s="16"/>
      <c r="BY1621" s="16"/>
      <c r="BZ1621" s="16"/>
      <c r="CA1621" s="16"/>
      <c r="CB1621" s="16"/>
      <c r="CC1621" s="16"/>
      <c r="CD1621" s="16"/>
      <c r="CE1621" s="16"/>
      <c r="CF1621" s="16"/>
      <c r="CG1621" s="16"/>
      <c r="CH1621" s="16"/>
      <c r="CI1621" s="16"/>
      <c r="CJ1621" s="16"/>
      <c r="CK1621" s="16"/>
      <c r="CL1621" s="16"/>
      <c r="CM1621" s="16"/>
      <c r="CN1621" s="16"/>
      <c r="CO1621" s="16"/>
      <c r="CP1621" s="16"/>
      <c r="CQ1621" s="16"/>
      <c r="CR1621" s="16"/>
      <c r="CS1621" s="16"/>
      <c r="CT1621" s="16"/>
      <c r="CU1621" s="16"/>
      <c r="CV1621" s="16"/>
      <c r="CW1621" s="16"/>
      <c r="CX1621" s="16"/>
      <c r="CY1621" s="16"/>
      <c r="CZ1621" s="16"/>
      <c r="DA1621" s="16"/>
      <c r="DB1621" s="16"/>
      <c r="DC1621" s="16"/>
      <c r="DD1621" s="16"/>
      <c r="DE1621" s="16"/>
      <c r="DF1621" s="16"/>
    </row>
    <row r="1622" spans="8:110" x14ac:dyDescent="0.3">
      <c r="H1622" s="4">
        <f t="shared" si="205"/>
        <v>0</v>
      </c>
      <c r="K1622" s="3"/>
      <c r="L1622" s="16"/>
      <c r="M1622" s="16"/>
      <c r="N1622" s="16"/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  <c r="Y1622" s="16"/>
      <c r="Z1622" s="16"/>
      <c r="AA1622" s="16"/>
      <c r="AB1622" s="16"/>
      <c r="AC1622" s="16"/>
      <c r="AD1622" s="16"/>
      <c r="AE1622" s="16"/>
      <c r="AF1622" s="16"/>
      <c r="AG1622" s="16"/>
      <c r="AH1622" s="16"/>
      <c r="AI1622" s="16"/>
      <c r="AJ1622" s="16"/>
      <c r="AK1622" s="16"/>
      <c r="AL1622" s="16"/>
      <c r="AM1622" s="16"/>
      <c r="AN1622" s="16"/>
      <c r="AO1622" s="16"/>
      <c r="AP1622" s="16"/>
      <c r="AQ1622" s="16"/>
      <c r="AR1622" s="16"/>
      <c r="AS1622" s="16"/>
      <c r="AT1622" s="16"/>
      <c r="AU1622" s="16"/>
      <c r="AV1622" s="16"/>
      <c r="AW1622" s="16"/>
      <c r="AX1622" s="16"/>
      <c r="AY1622" s="16"/>
      <c r="AZ1622" s="16"/>
      <c r="BA1622" s="16"/>
      <c r="BB1622" s="16"/>
      <c r="BC1622" s="16"/>
      <c r="BD1622" s="16"/>
      <c r="BE1622" s="16"/>
      <c r="BF1622" s="16"/>
      <c r="BG1622" s="16"/>
      <c r="BH1622" s="16"/>
      <c r="BI1622" s="16"/>
      <c r="BJ1622" s="16"/>
      <c r="BK1622" s="16"/>
      <c r="BL1622" s="16"/>
      <c r="BM1622" s="16"/>
      <c r="BN1622" s="16"/>
      <c r="BO1622" s="16"/>
      <c r="BP1622" s="16"/>
      <c r="BQ1622" s="16"/>
      <c r="BR1622" s="16"/>
      <c r="BS1622" s="16"/>
      <c r="BT1622" s="16"/>
      <c r="BU1622" s="16"/>
      <c r="BV1622" s="16"/>
      <c r="BW1622" s="16"/>
      <c r="BX1622" s="16"/>
      <c r="BY1622" s="16"/>
      <c r="BZ1622" s="16"/>
      <c r="CA1622" s="16"/>
      <c r="CB1622" s="16"/>
      <c r="CC1622" s="16"/>
      <c r="CD1622" s="16"/>
      <c r="CE1622" s="16"/>
      <c r="CF1622" s="16"/>
      <c r="CG1622" s="16"/>
      <c r="CH1622" s="16"/>
      <c r="CI1622" s="16"/>
      <c r="CJ1622" s="16"/>
      <c r="CK1622" s="16"/>
      <c r="CL1622" s="16"/>
      <c r="CM1622" s="16"/>
      <c r="CN1622" s="16"/>
      <c r="CO1622" s="16"/>
      <c r="CP1622" s="16"/>
      <c r="CQ1622" s="16"/>
      <c r="CR1622" s="16"/>
      <c r="CS1622" s="16"/>
      <c r="CT1622" s="16"/>
      <c r="CU1622" s="16"/>
      <c r="CV1622" s="16"/>
      <c r="CW1622" s="16"/>
      <c r="CX1622" s="16"/>
      <c r="CY1622" s="16"/>
      <c r="CZ1622" s="16"/>
      <c r="DA1622" s="16"/>
      <c r="DB1622" s="16"/>
      <c r="DC1622" s="16"/>
      <c r="DD1622" s="16"/>
      <c r="DE1622" s="16"/>
      <c r="DF1622" s="16"/>
    </row>
    <row r="1623" spans="8:110" x14ac:dyDescent="0.3">
      <c r="H1623" s="4">
        <f t="shared" si="205"/>
        <v>0</v>
      </c>
      <c r="K1623" s="3"/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6"/>
      <c r="W1623" s="16"/>
      <c r="X1623" s="16"/>
      <c r="Y1623" s="16"/>
      <c r="Z1623" s="16"/>
      <c r="AA1623" s="16"/>
      <c r="AB1623" s="16"/>
      <c r="AC1623" s="16"/>
      <c r="AD1623" s="16"/>
      <c r="AE1623" s="16"/>
      <c r="AF1623" s="16"/>
      <c r="AG1623" s="16"/>
      <c r="AH1623" s="16"/>
      <c r="AI1623" s="16"/>
      <c r="AJ1623" s="16"/>
      <c r="AK1623" s="16"/>
      <c r="AL1623" s="16"/>
      <c r="AM1623" s="16"/>
      <c r="AN1623" s="16"/>
      <c r="AO1623" s="16"/>
      <c r="AP1623" s="16"/>
      <c r="AQ1623" s="16"/>
      <c r="AR1623" s="16"/>
      <c r="AS1623" s="16"/>
      <c r="AT1623" s="16"/>
      <c r="AU1623" s="16"/>
      <c r="AV1623" s="16"/>
      <c r="AW1623" s="16"/>
      <c r="AX1623" s="16"/>
      <c r="AY1623" s="16"/>
      <c r="AZ1623" s="16"/>
      <c r="BA1623" s="16"/>
      <c r="BB1623" s="16"/>
      <c r="BC1623" s="16"/>
      <c r="BD1623" s="16"/>
      <c r="BE1623" s="16"/>
      <c r="BF1623" s="16"/>
      <c r="BG1623" s="16"/>
      <c r="BH1623" s="16"/>
      <c r="BI1623" s="16"/>
      <c r="BJ1623" s="16"/>
      <c r="BK1623" s="16"/>
      <c r="BL1623" s="16"/>
      <c r="BM1623" s="16"/>
      <c r="BN1623" s="16"/>
      <c r="BO1623" s="16"/>
      <c r="BP1623" s="16"/>
      <c r="BQ1623" s="16"/>
      <c r="BR1623" s="16"/>
      <c r="BS1623" s="16"/>
      <c r="BT1623" s="16"/>
      <c r="BU1623" s="16"/>
      <c r="BV1623" s="16"/>
      <c r="BW1623" s="16"/>
      <c r="BX1623" s="16"/>
      <c r="BY1623" s="16"/>
      <c r="BZ1623" s="16"/>
      <c r="CA1623" s="16"/>
      <c r="CB1623" s="16"/>
      <c r="CC1623" s="16"/>
      <c r="CD1623" s="16"/>
      <c r="CE1623" s="16"/>
      <c r="CF1623" s="16"/>
      <c r="CG1623" s="16"/>
      <c r="CH1623" s="16"/>
      <c r="CI1623" s="16"/>
      <c r="CJ1623" s="16"/>
      <c r="CK1623" s="16"/>
      <c r="CL1623" s="16"/>
      <c r="CM1623" s="16"/>
      <c r="CN1623" s="16"/>
      <c r="CO1623" s="16"/>
      <c r="CP1623" s="16"/>
      <c r="CQ1623" s="16"/>
      <c r="CR1623" s="16"/>
      <c r="CS1623" s="16"/>
      <c r="CT1623" s="16"/>
      <c r="CU1623" s="16"/>
      <c r="CV1623" s="16"/>
      <c r="CW1623" s="16"/>
      <c r="CX1623" s="16"/>
      <c r="CY1623" s="16"/>
      <c r="CZ1623" s="16"/>
      <c r="DA1623" s="16"/>
      <c r="DB1623" s="16"/>
      <c r="DC1623" s="16"/>
      <c r="DD1623" s="16"/>
      <c r="DE1623" s="16"/>
      <c r="DF1623" s="16"/>
    </row>
    <row r="1624" spans="8:110" x14ac:dyDescent="0.3">
      <c r="H1624" s="4">
        <f t="shared" si="205"/>
        <v>0</v>
      </c>
      <c r="K1624" s="3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  <c r="V1624" s="16"/>
      <c r="W1624" s="16"/>
      <c r="X1624" s="16"/>
      <c r="Y1624" s="16"/>
      <c r="Z1624" s="16"/>
      <c r="AA1624" s="16"/>
      <c r="AB1624" s="16"/>
      <c r="AC1624" s="16"/>
      <c r="AD1624" s="16"/>
      <c r="AE1624" s="16"/>
      <c r="AF1624" s="16"/>
      <c r="AG1624" s="16"/>
      <c r="AH1624" s="16"/>
      <c r="AI1624" s="16"/>
      <c r="AJ1624" s="16"/>
      <c r="AK1624" s="16"/>
      <c r="AL1624" s="16"/>
      <c r="AM1624" s="16"/>
      <c r="AN1624" s="16"/>
      <c r="AO1624" s="16"/>
      <c r="AP1624" s="16"/>
      <c r="AQ1624" s="16"/>
      <c r="AR1624" s="16"/>
      <c r="AS1624" s="16"/>
      <c r="AT1624" s="16"/>
      <c r="AU1624" s="16"/>
      <c r="AV1624" s="16"/>
      <c r="AW1624" s="16"/>
      <c r="AX1624" s="16"/>
      <c r="AY1624" s="16"/>
      <c r="AZ1624" s="16"/>
      <c r="BA1624" s="16"/>
      <c r="BB1624" s="16"/>
      <c r="BC1624" s="16"/>
      <c r="BD1624" s="16"/>
      <c r="BE1624" s="16"/>
      <c r="BF1624" s="16"/>
      <c r="BG1624" s="16"/>
      <c r="BH1624" s="16"/>
      <c r="BI1624" s="16"/>
      <c r="BJ1624" s="16"/>
      <c r="BK1624" s="16"/>
      <c r="BL1624" s="16"/>
      <c r="BM1624" s="16"/>
      <c r="BN1624" s="16"/>
      <c r="BO1624" s="16"/>
      <c r="BP1624" s="16"/>
      <c r="BQ1624" s="16"/>
      <c r="BR1624" s="16"/>
      <c r="BS1624" s="16"/>
      <c r="BT1624" s="16"/>
      <c r="BU1624" s="16"/>
      <c r="BV1624" s="16"/>
      <c r="BW1624" s="16"/>
      <c r="BX1624" s="16"/>
      <c r="BY1624" s="16"/>
      <c r="BZ1624" s="16"/>
      <c r="CA1624" s="16"/>
      <c r="CB1624" s="16"/>
      <c r="CC1624" s="16"/>
      <c r="CD1624" s="16"/>
      <c r="CE1624" s="16"/>
      <c r="CF1624" s="16"/>
      <c r="CG1624" s="16"/>
      <c r="CH1624" s="16"/>
      <c r="CI1624" s="16"/>
      <c r="CJ1624" s="16"/>
      <c r="CK1624" s="16"/>
      <c r="CL1624" s="16"/>
      <c r="CM1624" s="16"/>
      <c r="CN1624" s="16"/>
      <c r="CO1624" s="16"/>
      <c r="CP1624" s="16"/>
      <c r="CQ1624" s="16"/>
      <c r="CR1624" s="16"/>
      <c r="CS1624" s="16"/>
      <c r="CT1624" s="16"/>
      <c r="CU1624" s="16"/>
      <c r="CV1624" s="16"/>
      <c r="CW1624" s="16"/>
      <c r="CX1624" s="16"/>
      <c r="CY1624" s="16"/>
      <c r="CZ1624" s="16"/>
      <c r="DA1624" s="16"/>
      <c r="DB1624" s="16"/>
      <c r="DC1624" s="16"/>
      <c r="DD1624" s="16"/>
      <c r="DE1624" s="16"/>
      <c r="DF1624" s="16"/>
    </row>
    <row r="1625" spans="8:110" x14ac:dyDescent="0.3">
      <c r="H1625" s="4">
        <f t="shared" si="205"/>
        <v>0</v>
      </c>
      <c r="K1625" s="3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  <c r="W1625" s="16"/>
      <c r="X1625" s="16"/>
      <c r="Y1625" s="16"/>
      <c r="Z1625" s="16"/>
      <c r="AA1625" s="16"/>
      <c r="AB1625" s="16"/>
      <c r="AC1625" s="16"/>
      <c r="AD1625" s="16"/>
      <c r="AE1625" s="16"/>
      <c r="AF1625" s="16"/>
      <c r="AG1625" s="16"/>
      <c r="AH1625" s="16"/>
      <c r="AI1625" s="16"/>
      <c r="AJ1625" s="16"/>
      <c r="AK1625" s="16"/>
      <c r="AL1625" s="16"/>
      <c r="AM1625" s="16"/>
      <c r="AN1625" s="16"/>
      <c r="AO1625" s="16"/>
      <c r="AP1625" s="16"/>
      <c r="AQ1625" s="16"/>
      <c r="AR1625" s="16"/>
      <c r="AS1625" s="16"/>
      <c r="AT1625" s="16"/>
      <c r="AU1625" s="16"/>
      <c r="AV1625" s="16"/>
      <c r="AW1625" s="16"/>
      <c r="AX1625" s="16"/>
      <c r="AY1625" s="16"/>
      <c r="AZ1625" s="16"/>
      <c r="BA1625" s="16"/>
      <c r="BB1625" s="16"/>
      <c r="BC1625" s="16"/>
      <c r="BD1625" s="16"/>
      <c r="BE1625" s="16"/>
      <c r="BF1625" s="16"/>
      <c r="BG1625" s="16"/>
      <c r="BH1625" s="16"/>
      <c r="BI1625" s="16"/>
      <c r="BJ1625" s="16"/>
      <c r="BK1625" s="16"/>
      <c r="BL1625" s="16"/>
      <c r="BM1625" s="16"/>
      <c r="BN1625" s="16"/>
      <c r="BO1625" s="16"/>
      <c r="BP1625" s="16"/>
      <c r="BQ1625" s="16"/>
      <c r="BR1625" s="16"/>
      <c r="BS1625" s="16"/>
      <c r="BT1625" s="16"/>
      <c r="BU1625" s="16"/>
      <c r="BV1625" s="16"/>
      <c r="BW1625" s="16"/>
      <c r="BX1625" s="16"/>
      <c r="BY1625" s="16"/>
      <c r="BZ1625" s="16"/>
      <c r="CA1625" s="16"/>
      <c r="CB1625" s="16"/>
      <c r="CC1625" s="16"/>
      <c r="CD1625" s="16"/>
      <c r="CE1625" s="16"/>
      <c r="CF1625" s="16"/>
      <c r="CG1625" s="16"/>
      <c r="CH1625" s="16"/>
      <c r="CI1625" s="16"/>
      <c r="CJ1625" s="16"/>
      <c r="CK1625" s="16"/>
      <c r="CL1625" s="16"/>
      <c r="CM1625" s="16"/>
      <c r="CN1625" s="16"/>
      <c r="CO1625" s="16"/>
      <c r="CP1625" s="16"/>
      <c r="CQ1625" s="16"/>
      <c r="CR1625" s="16"/>
      <c r="CS1625" s="16"/>
      <c r="CT1625" s="16"/>
      <c r="CU1625" s="16"/>
      <c r="CV1625" s="16"/>
      <c r="CW1625" s="16"/>
      <c r="CX1625" s="16"/>
      <c r="CY1625" s="16"/>
      <c r="CZ1625" s="16"/>
      <c r="DA1625" s="16"/>
      <c r="DB1625" s="16"/>
      <c r="DC1625" s="16"/>
      <c r="DD1625" s="16"/>
      <c r="DE1625" s="16"/>
      <c r="DF1625" s="16"/>
    </row>
    <row r="1626" spans="8:110" x14ac:dyDescent="0.3">
      <c r="H1626" s="4">
        <f t="shared" si="205"/>
        <v>0</v>
      </c>
      <c r="K1626" s="3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  <c r="W1626" s="16"/>
      <c r="X1626" s="16"/>
      <c r="Y1626" s="16"/>
      <c r="Z1626" s="16"/>
      <c r="AA1626" s="16"/>
      <c r="AB1626" s="16"/>
      <c r="AC1626" s="16"/>
      <c r="AD1626" s="16"/>
      <c r="AE1626" s="16"/>
      <c r="AF1626" s="16"/>
      <c r="AG1626" s="16"/>
      <c r="AH1626" s="16"/>
      <c r="AI1626" s="16"/>
      <c r="AJ1626" s="16"/>
      <c r="AK1626" s="16"/>
      <c r="AL1626" s="16"/>
      <c r="AM1626" s="16"/>
      <c r="AN1626" s="16"/>
      <c r="AO1626" s="16"/>
      <c r="AP1626" s="16"/>
      <c r="AQ1626" s="16"/>
      <c r="AR1626" s="16"/>
      <c r="AS1626" s="16"/>
      <c r="AT1626" s="16"/>
      <c r="AU1626" s="16"/>
      <c r="AV1626" s="16"/>
      <c r="AW1626" s="16"/>
      <c r="AX1626" s="16"/>
      <c r="AY1626" s="16"/>
      <c r="AZ1626" s="16"/>
      <c r="BA1626" s="16"/>
      <c r="BB1626" s="16"/>
      <c r="BC1626" s="16"/>
      <c r="BD1626" s="16"/>
      <c r="BE1626" s="16"/>
      <c r="BF1626" s="16"/>
      <c r="BG1626" s="16"/>
      <c r="BH1626" s="16"/>
      <c r="BI1626" s="16"/>
      <c r="BJ1626" s="16"/>
      <c r="BK1626" s="16"/>
      <c r="BL1626" s="16"/>
      <c r="BM1626" s="16"/>
      <c r="BN1626" s="16"/>
      <c r="BO1626" s="16"/>
      <c r="BP1626" s="16"/>
      <c r="BQ1626" s="16"/>
      <c r="BR1626" s="16"/>
      <c r="BS1626" s="16"/>
      <c r="BT1626" s="16"/>
      <c r="BU1626" s="16"/>
      <c r="BV1626" s="16"/>
      <c r="BW1626" s="16"/>
      <c r="BX1626" s="16"/>
      <c r="BY1626" s="16"/>
      <c r="BZ1626" s="16"/>
      <c r="CA1626" s="16"/>
      <c r="CB1626" s="16"/>
      <c r="CC1626" s="16"/>
      <c r="CD1626" s="16"/>
      <c r="CE1626" s="16"/>
      <c r="CF1626" s="16"/>
      <c r="CG1626" s="16"/>
      <c r="CH1626" s="16"/>
      <c r="CI1626" s="16"/>
      <c r="CJ1626" s="16"/>
      <c r="CK1626" s="16"/>
      <c r="CL1626" s="16"/>
      <c r="CM1626" s="16"/>
      <c r="CN1626" s="16"/>
      <c r="CO1626" s="16"/>
      <c r="CP1626" s="16"/>
      <c r="CQ1626" s="16"/>
      <c r="CR1626" s="16"/>
      <c r="CS1626" s="16"/>
      <c r="CT1626" s="16"/>
      <c r="CU1626" s="16"/>
      <c r="CV1626" s="16"/>
      <c r="CW1626" s="16"/>
      <c r="CX1626" s="16"/>
      <c r="CY1626" s="16"/>
      <c r="CZ1626" s="16"/>
      <c r="DA1626" s="16"/>
      <c r="DB1626" s="16"/>
      <c r="DC1626" s="16"/>
      <c r="DD1626" s="16"/>
      <c r="DE1626" s="16"/>
      <c r="DF1626" s="16"/>
    </row>
    <row r="1627" spans="8:110" x14ac:dyDescent="0.3">
      <c r="H1627" s="4">
        <f t="shared" si="205"/>
        <v>0</v>
      </c>
      <c r="K1627" s="3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/>
      <c r="Y1627" s="16"/>
      <c r="Z1627" s="16"/>
      <c r="AA1627" s="16"/>
      <c r="AB1627" s="16"/>
      <c r="AC1627" s="16"/>
      <c r="AD1627" s="16"/>
      <c r="AE1627" s="16"/>
      <c r="AF1627" s="16"/>
      <c r="AG1627" s="16"/>
      <c r="AH1627" s="16"/>
      <c r="AI1627" s="16"/>
      <c r="AJ1627" s="16"/>
      <c r="AK1627" s="16"/>
      <c r="AL1627" s="16"/>
      <c r="AM1627" s="16"/>
      <c r="AN1627" s="16"/>
      <c r="AO1627" s="16"/>
      <c r="AP1627" s="16"/>
      <c r="AQ1627" s="16"/>
      <c r="AR1627" s="16"/>
      <c r="AS1627" s="16"/>
      <c r="AT1627" s="16"/>
      <c r="AU1627" s="16"/>
      <c r="AV1627" s="16"/>
      <c r="AW1627" s="16"/>
      <c r="AX1627" s="16"/>
      <c r="AY1627" s="16"/>
      <c r="AZ1627" s="16"/>
      <c r="BA1627" s="16"/>
      <c r="BB1627" s="16"/>
      <c r="BC1627" s="16"/>
      <c r="BD1627" s="16"/>
      <c r="BE1627" s="16"/>
      <c r="BF1627" s="16"/>
      <c r="BG1627" s="16"/>
      <c r="BH1627" s="16"/>
      <c r="BI1627" s="16"/>
      <c r="BJ1627" s="16"/>
      <c r="BK1627" s="16"/>
      <c r="BL1627" s="16"/>
      <c r="BM1627" s="16"/>
      <c r="BN1627" s="16"/>
      <c r="BO1627" s="16"/>
      <c r="BP1627" s="16"/>
      <c r="BQ1627" s="16"/>
      <c r="BR1627" s="16"/>
      <c r="BS1627" s="16"/>
      <c r="BT1627" s="16"/>
      <c r="BU1627" s="16"/>
      <c r="BV1627" s="16"/>
      <c r="BW1627" s="16"/>
      <c r="BX1627" s="16"/>
      <c r="BY1627" s="16"/>
      <c r="BZ1627" s="16"/>
      <c r="CA1627" s="16"/>
      <c r="CB1627" s="16"/>
      <c r="CC1627" s="16"/>
      <c r="CD1627" s="16"/>
      <c r="CE1627" s="16"/>
      <c r="CF1627" s="16"/>
      <c r="CG1627" s="16"/>
      <c r="CH1627" s="16"/>
      <c r="CI1627" s="16"/>
      <c r="CJ1627" s="16"/>
      <c r="CK1627" s="16"/>
      <c r="CL1627" s="16"/>
      <c r="CM1627" s="16"/>
      <c r="CN1627" s="16"/>
      <c r="CO1627" s="16"/>
      <c r="CP1627" s="16"/>
      <c r="CQ1627" s="16"/>
      <c r="CR1627" s="16"/>
      <c r="CS1627" s="16"/>
      <c r="CT1627" s="16"/>
      <c r="CU1627" s="16"/>
      <c r="CV1627" s="16"/>
      <c r="CW1627" s="16"/>
      <c r="CX1627" s="16"/>
      <c r="CY1627" s="16"/>
      <c r="CZ1627" s="16"/>
      <c r="DA1627" s="16"/>
      <c r="DB1627" s="16"/>
      <c r="DC1627" s="16"/>
      <c r="DD1627" s="16"/>
      <c r="DE1627" s="16"/>
      <c r="DF1627" s="16"/>
    </row>
    <row r="1628" spans="8:110" x14ac:dyDescent="0.3">
      <c r="H1628" s="4">
        <f t="shared" si="205"/>
        <v>0</v>
      </c>
      <c r="K1628" s="3"/>
      <c r="L1628" s="16"/>
      <c r="M1628" s="16"/>
      <c r="N1628" s="16"/>
      <c r="O1628" s="16"/>
      <c r="P1628" s="16"/>
      <c r="Q1628" s="16"/>
      <c r="R1628" s="16"/>
      <c r="S1628" s="16"/>
      <c r="T1628" s="16"/>
      <c r="U1628" s="16"/>
      <c r="V1628" s="16"/>
      <c r="W1628" s="16"/>
      <c r="X1628" s="16"/>
      <c r="Y1628" s="16"/>
      <c r="Z1628" s="16"/>
      <c r="AA1628" s="16"/>
      <c r="AB1628" s="16"/>
      <c r="AC1628" s="16"/>
      <c r="AD1628" s="16"/>
      <c r="AE1628" s="16"/>
      <c r="AF1628" s="16"/>
      <c r="AG1628" s="16"/>
      <c r="AH1628" s="16"/>
      <c r="AI1628" s="16"/>
      <c r="AJ1628" s="16"/>
      <c r="AK1628" s="16"/>
      <c r="AL1628" s="16"/>
      <c r="AM1628" s="16"/>
      <c r="AN1628" s="16"/>
      <c r="AO1628" s="16"/>
      <c r="AP1628" s="16"/>
      <c r="AQ1628" s="16"/>
      <c r="AR1628" s="16"/>
      <c r="AS1628" s="16"/>
      <c r="AT1628" s="16"/>
      <c r="AU1628" s="16"/>
      <c r="AV1628" s="16"/>
      <c r="AW1628" s="16"/>
      <c r="AX1628" s="16"/>
      <c r="AY1628" s="16"/>
      <c r="AZ1628" s="16"/>
      <c r="BA1628" s="16"/>
      <c r="BB1628" s="16"/>
      <c r="BC1628" s="16"/>
      <c r="BD1628" s="16"/>
      <c r="BE1628" s="16"/>
      <c r="BF1628" s="16"/>
      <c r="BG1628" s="16"/>
      <c r="BH1628" s="16"/>
      <c r="BI1628" s="16"/>
      <c r="BJ1628" s="16"/>
      <c r="BK1628" s="16"/>
      <c r="BL1628" s="16"/>
      <c r="BM1628" s="16"/>
      <c r="BN1628" s="16"/>
      <c r="BO1628" s="16"/>
      <c r="BP1628" s="16"/>
      <c r="BQ1628" s="16"/>
      <c r="BR1628" s="16"/>
      <c r="BS1628" s="16"/>
      <c r="BT1628" s="16"/>
      <c r="BU1628" s="16"/>
      <c r="BV1628" s="16"/>
      <c r="BW1628" s="16"/>
      <c r="BX1628" s="16"/>
      <c r="BY1628" s="16"/>
      <c r="BZ1628" s="16"/>
      <c r="CA1628" s="16"/>
      <c r="CB1628" s="16"/>
      <c r="CC1628" s="16"/>
      <c r="CD1628" s="16"/>
      <c r="CE1628" s="16"/>
      <c r="CF1628" s="16"/>
      <c r="CG1628" s="16"/>
      <c r="CH1628" s="16"/>
      <c r="CI1628" s="16"/>
      <c r="CJ1628" s="16"/>
      <c r="CK1628" s="16"/>
      <c r="CL1628" s="16"/>
      <c r="CM1628" s="16"/>
      <c r="CN1628" s="16"/>
      <c r="CO1628" s="16"/>
      <c r="CP1628" s="16"/>
      <c r="CQ1628" s="16"/>
      <c r="CR1628" s="16"/>
      <c r="CS1628" s="16"/>
      <c r="CT1628" s="16"/>
      <c r="CU1628" s="16"/>
      <c r="CV1628" s="16"/>
      <c r="CW1628" s="16"/>
      <c r="CX1628" s="16"/>
      <c r="CY1628" s="16"/>
      <c r="CZ1628" s="16"/>
      <c r="DA1628" s="16"/>
      <c r="DB1628" s="16"/>
      <c r="DC1628" s="16"/>
      <c r="DD1628" s="16"/>
      <c r="DE1628" s="16"/>
      <c r="DF1628" s="16"/>
    </row>
    <row r="1629" spans="8:110" x14ac:dyDescent="0.3">
      <c r="H1629" s="4">
        <f t="shared" si="205"/>
        <v>0</v>
      </c>
      <c r="K1629" s="3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  <c r="V1629" s="16"/>
      <c r="W1629" s="16"/>
      <c r="X1629" s="16"/>
      <c r="Y1629" s="16"/>
      <c r="Z1629" s="16"/>
      <c r="AA1629" s="16"/>
      <c r="AB1629" s="16"/>
      <c r="AC1629" s="16"/>
      <c r="AD1629" s="16"/>
      <c r="AE1629" s="16"/>
      <c r="AF1629" s="16"/>
      <c r="AG1629" s="16"/>
      <c r="AH1629" s="16"/>
      <c r="AI1629" s="16"/>
      <c r="AJ1629" s="16"/>
      <c r="AK1629" s="16"/>
      <c r="AL1629" s="16"/>
      <c r="AM1629" s="16"/>
      <c r="AN1629" s="16"/>
      <c r="AO1629" s="16"/>
      <c r="AP1629" s="16"/>
      <c r="AQ1629" s="16"/>
      <c r="AR1629" s="16"/>
      <c r="AS1629" s="16"/>
      <c r="AT1629" s="16"/>
      <c r="AU1629" s="16"/>
      <c r="AV1629" s="16"/>
      <c r="AW1629" s="16"/>
      <c r="AX1629" s="16"/>
      <c r="AY1629" s="16"/>
      <c r="AZ1629" s="16"/>
      <c r="BA1629" s="16"/>
      <c r="BB1629" s="16"/>
      <c r="BC1629" s="16"/>
      <c r="BD1629" s="16"/>
      <c r="BE1629" s="16"/>
      <c r="BF1629" s="16"/>
      <c r="BG1629" s="16"/>
      <c r="BH1629" s="16"/>
      <c r="BI1629" s="16"/>
      <c r="BJ1629" s="16"/>
      <c r="BK1629" s="16"/>
      <c r="BL1629" s="16"/>
      <c r="BM1629" s="16"/>
      <c r="BN1629" s="16"/>
      <c r="BO1629" s="16"/>
      <c r="BP1629" s="16"/>
      <c r="BQ1629" s="16"/>
      <c r="BR1629" s="16"/>
      <c r="BS1629" s="16"/>
      <c r="BT1629" s="16"/>
      <c r="BU1629" s="16"/>
      <c r="BV1629" s="16"/>
      <c r="BW1629" s="16"/>
      <c r="BX1629" s="16"/>
      <c r="BY1629" s="16"/>
      <c r="BZ1629" s="16"/>
      <c r="CA1629" s="16"/>
      <c r="CB1629" s="16"/>
      <c r="CC1629" s="16"/>
      <c r="CD1629" s="16"/>
      <c r="CE1629" s="16"/>
      <c r="CF1629" s="16"/>
      <c r="CG1629" s="16"/>
      <c r="CH1629" s="16"/>
      <c r="CI1629" s="16"/>
      <c r="CJ1629" s="16"/>
      <c r="CK1629" s="16"/>
      <c r="CL1629" s="16"/>
      <c r="CM1629" s="16"/>
      <c r="CN1629" s="16"/>
      <c r="CO1629" s="16"/>
      <c r="CP1629" s="16"/>
      <c r="CQ1629" s="16"/>
      <c r="CR1629" s="16"/>
      <c r="CS1629" s="16"/>
      <c r="CT1629" s="16"/>
      <c r="CU1629" s="16"/>
      <c r="CV1629" s="16"/>
      <c r="CW1629" s="16"/>
      <c r="CX1629" s="16"/>
      <c r="CY1629" s="16"/>
      <c r="CZ1629" s="16"/>
      <c r="DA1629" s="16"/>
      <c r="DB1629" s="16"/>
      <c r="DC1629" s="16"/>
      <c r="DD1629" s="16"/>
      <c r="DE1629" s="16"/>
      <c r="DF1629" s="16"/>
    </row>
    <row r="1630" spans="8:110" x14ac:dyDescent="0.3">
      <c r="H1630" s="4">
        <f t="shared" si="205"/>
        <v>0</v>
      </c>
      <c r="K1630" s="3"/>
      <c r="L1630" s="16"/>
      <c r="M1630" s="16"/>
      <c r="N1630" s="16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  <c r="Y1630" s="16"/>
      <c r="Z1630" s="16"/>
      <c r="AA1630" s="16"/>
      <c r="AB1630" s="16"/>
      <c r="AC1630" s="16"/>
      <c r="AD1630" s="16"/>
      <c r="AE1630" s="16"/>
      <c r="AF1630" s="16"/>
      <c r="AG1630" s="16"/>
      <c r="AH1630" s="16"/>
      <c r="AI1630" s="16"/>
      <c r="AJ1630" s="16"/>
      <c r="AK1630" s="16"/>
      <c r="AL1630" s="16"/>
      <c r="AM1630" s="16"/>
      <c r="AN1630" s="16"/>
      <c r="AO1630" s="16"/>
      <c r="AP1630" s="16"/>
      <c r="AQ1630" s="16"/>
      <c r="AR1630" s="16"/>
      <c r="AS1630" s="16"/>
      <c r="AT1630" s="16"/>
      <c r="AU1630" s="16"/>
      <c r="AV1630" s="16"/>
      <c r="AW1630" s="16"/>
      <c r="AX1630" s="16"/>
      <c r="AY1630" s="16"/>
      <c r="AZ1630" s="16"/>
      <c r="BA1630" s="16"/>
      <c r="BB1630" s="16"/>
      <c r="BC1630" s="16"/>
      <c r="BD1630" s="16"/>
      <c r="BE1630" s="16"/>
      <c r="BF1630" s="16"/>
      <c r="BG1630" s="16"/>
      <c r="BH1630" s="16"/>
      <c r="BI1630" s="16"/>
      <c r="BJ1630" s="16"/>
      <c r="BK1630" s="16"/>
      <c r="BL1630" s="16"/>
      <c r="BM1630" s="16"/>
      <c r="BN1630" s="16"/>
      <c r="BO1630" s="16"/>
      <c r="BP1630" s="16"/>
      <c r="BQ1630" s="16"/>
      <c r="BR1630" s="16"/>
      <c r="BS1630" s="16"/>
      <c r="BT1630" s="16"/>
      <c r="BU1630" s="16"/>
      <c r="BV1630" s="16"/>
      <c r="BW1630" s="16"/>
      <c r="BX1630" s="16"/>
      <c r="BY1630" s="16"/>
      <c r="BZ1630" s="16"/>
      <c r="CA1630" s="16"/>
      <c r="CB1630" s="16"/>
      <c r="CC1630" s="16"/>
      <c r="CD1630" s="16"/>
      <c r="CE1630" s="16"/>
      <c r="CF1630" s="16"/>
      <c r="CG1630" s="16"/>
      <c r="CH1630" s="16"/>
      <c r="CI1630" s="16"/>
      <c r="CJ1630" s="16"/>
      <c r="CK1630" s="16"/>
      <c r="CL1630" s="16"/>
      <c r="CM1630" s="16"/>
      <c r="CN1630" s="16"/>
      <c r="CO1630" s="16"/>
      <c r="CP1630" s="16"/>
      <c r="CQ1630" s="16"/>
      <c r="CR1630" s="16"/>
      <c r="CS1630" s="16"/>
      <c r="CT1630" s="16"/>
      <c r="CU1630" s="16"/>
      <c r="CV1630" s="16"/>
      <c r="CW1630" s="16"/>
      <c r="CX1630" s="16"/>
      <c r="CY1630" s="16"/>
      <c r="CZ1630" s="16"/>
      <c r="DA1630" s="16"/>
      <c r="DB1630" s="16"/>
      <c r="DC1630" s="16"/>
      <c r="DD1630" s="16"/>
      <c r="DE1630" s="16"/>
      <c r="DF1630" s="16"/>
    </row>
    <row r="1631" spans="8:110" x14ac:dyDescent="0.3">
      <c r="H1631" s="4">
        <f t="shared" si="205"/>
        <v>0</v>
      </c>
      <c r="K1631" s="3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16"/>
      <c r="AA1631" s="16"/>
      <c r="AB1631" s="16"/>
      <c r="AC1631" s="16"/>
      <c r="AD1631" s="16"/>
      <c r="AE1631" s="16"/>
      <c r="AF1631" s="16"/>
      <c r="AG1631" s="16"/>
      <c r="AH1631" s="16"/>
      <c r="AI1631" s="16"/>
      <c r="AJ1631" s="16"/>
      <c r="AK1631" s="16"/>
      <c r="AL1631" s="16"/>
      <c r="AM1631" s="16"/>
      <c r="AN1631" s="16"/>
      <c r="AO1631" s="16"/>
      <c r="AP1631" s="16"/>
      <c r="AQ1631" s="16"/>
      <c r="AR1631" s="16"/>
      <c r="AS1631" s="16"/>
      <c r="AT1631" s="16"/>
      <c r="AU1631" s="16"/>
      <c r="AV1631" s="16"/>
      <c r="AW1631" s="16"/>
      <c r="AX1631" s="16"/>
      <c r="AY1631" s="16"/>
      <c r="AZ1631" s="16"/>
      <c r="BA1631" s="16"/>
      <c r="BB1631" s="16"/>
      <c r="BC1631" s="16"/>
      <c r="BD1631" s="16"/>
      <c r="BE1631" s="16"/>
      <c r="BF1631" s="16"/>
      <c r="BG1631" s="16"/>
      <c r="BH1631" s="16"/>
      <c r="BI1631" s="16"/>
      <c r="BJ1631" s="16"/>
      <c r="BK1631" s="16"/>
      <c r="BL1631" s="16"/>
      <c r="BM1631" s="16"/>
      <c r="BN1631" s="16"/>
      <c r="BO1631" s="16"/>
      <c r="BP1631" s="16"/>
      <c r="BQ1631" s="16"/>
      <c r="BR1631" s="16"/>
      <c r="BS1631" s="16"/>
      <c r="BT1631" s="16"/>
      <c r="BU1631" s="16"/>
      <c r="BV1631" s="16"/>
      <c r="BW1631" s="16"/>
      <c r="BX1631" s="16"/>
      <c r="BY1631" s="16"/>
      <c r="BZ1631" s="16"/>
      <c r="CA1631" s="16"/>
      <c r="CB1631" s="16"/>
      <c r="CC1631" s="16"/>
      <c r="CD1631" s="16"/>
      <c r="CE1631" s="16"/>
      <c r="CF1631" s="16"/>
      <c r="CG1631" s="16"/>
      <c r="CH1631" s="16"/>
      <c r="CI1631" s="16"/>
      <c r="CJ1631" s="16"/>
      <c r="CK1631" s="16"/>
      <c r="CL1631" s="16"/>
      <c r="CM1631" s="16"/>
      <c r="CN1631" s="16"/>
      <c r="CO1631" s="16"/>
      <c r="CP1631" s="16"/>
      <c r="CQ1631" s="16"/>
      <c r="CR1631" s="16"/>
      <c r="CS1631" s="16"/>
      <c r="CT1631" s="16"/>
      <c r="CU1631" s="16"/>
      <c r="CV1631" s="16"/>
      <c r="CW1631" s="16"/>
      <c r="CX1631" s="16"/>
      <c r="CY1631" s="16"/>
      <c r="CZ1631" s="16"/>
      <c r="DA1631" s="16"/>
      <c r="DB1631" s="16"/>
      <c r="DC1631" s="16"/>
      <c r="DD1631" s="16"/>
      <c r="DE1631" s="16"/>
      <c r="DF1631" s="16"/>
    </row>
    <row r="1632" spans="8:110" x14ac:dyDescent="0.3">
      <c r="H1632" s="4">
        <f t="shared" si="205"/>
        <v>0</v>
      </c>
      <c r="K1632" s="3"/>
      <c r="L1632" s="16"/>
      <c r="M1632" s="16"/>
      <c r="N1632" s="16"/>
      <c r="O1632" s="16"/>
      <c r="P1632" s="16"/>
      <c r="Q1632" s="16"/>
      <c r="R1632" s="16"/>
      <c r="S1632" s="16"/>
      <c r="T1632" s="16"/>
      <c r="U1632" s="16"/>
      <c r="V1632" s="16"/>
      <c r="W1632" s="16"/>
      <c r="X1632" s="16"/>
      <c r="Y1632" s="16"/>
      <c r="Z1632" s="16"/>
      <c r="AA1632" s="16"/>
      <c r="AB1632" s="16"/>
      <c r="AC1632" s="16"/>
      <c r="AD1632" s="16"/>
      <c r="AE1632" s="16"/>
      <c r="AF1632" s="16"/>
      <c r="AG1632" s="16"/>
      <c r="AH1632" s="16"/>
      <c r="AI1632" s="16"/>
      <c r="AJ1632" s="16"/>
      <c r="AK1632" s="16"/>
      <c r="AL1632" s="16"/>
      <c r="AM1632" s="16"/>
      <c r="AN1632" s="16"/>
      <c r="AO1632" s="16"/>
      <c r="AP1632" s="16"/>
      <c r="AQ1632" s="16"/>
      <c r="AR1632" s="16"/>
      <c r="AS1632" s="16"/>
      <c r="AT1632" s="16"/>
      <c r="AU1632" s="16"/>
      <c r="AV1632" s="16"/>
      <c r="AW1632" s="16"/>
      <c r="AX1632" s="16"/>
      <c r="AY1632" s="16"/>
      <c r="AZ1632" s="16"/>
      <c r="BA1632" s="16"/>
      <c r="BB1632" s="16"/>
      <c r="BC1632" s="16"/>
      <c r="BD1632" s="16"/>
      <c r="BE1632" s="16"/>
      <c r="BF1632" s="16"/>
      <c r="BG1632" s="16"/>
      <c r="BH1632" s="16"/>
      <c r="BI1632" s="16"/>
      <c r="BJ1632" s="16"/>
      <c r="BK1632" s="16"/>
      <c r="BL1632" s="16"/>
      <c r="BM1632" s="16"/>
      <c r="BN1632" s="16"/>
      <c r="BO1632" s="16"/>
      <c r="BP1632" s="16"/>
      <c r="BQ1632" s="16"/>
      <c r="BR1632" s="16"/>
      <c r="BS1632" s="16"/>
      <c r="BT1632" s="16"/>
      <c r="BU1632" s="16"/>
      <c r="BV1632" s="16"/>
      <c r="BW1632" s="16"/>
      <c r="BX1632" s="16"/>
      <c r="BY1632" s="16"/>
      <c r="BZ1632" s="16"/>
      <c r="CA1632" s="16"/>
      <c r="CB1632" s="16"/>
      <c r="CC1632" s="16"/>
      <c r="CD1632" s="16"/>
      <c r="CE1632" s="16"/>
      <c r="CF1632" s="16"/>
      <c r="CG1632" s="16"/>
      <c r="CH1632" s="16"/>
      <c r="CI1632" s="16"/>
      <c r="CJ1632" s="16"/>
      <c r="CK1632" s="16"/>
      <c r="CL1632" s="16"/>
      <c r="CM1632" s="16"/>
      <c r="CN1632" s="16"/>
      <c r="CO1632" s="16"/>
      <c r="CP1632" s="16"/>
      <c r="CQ1632" s="16"/>
      <c r="CR1632" s="16"/>
      <c r="CS1632" s="16"/>
      <c r="CT1632" s="16"/>
      <c r="CU1632" s="16"/>
      <c r="CV1632" s="16"/>
      <c r="CW1632" s="16"/>
      <c r="CX1632" s="16"/>
      <c r="CY1632" s="16"/>
      <c r="CZ1632" s="16"/>
      <c r="DA1632" s="16"/>
      <c r="DB1632" s="16"/>
      <c r="DC1632" s="16"/>
      <c r="DD1632" s="16"/>
      <c r="DE1632" s="16"/>
      <c r="DF1632" s="16"/>
    </row>
    <row r="1633" spans="8:110" x14ac:dyDescent="0.3">
      <c r="H1633" s="4">
        <f t="shared" si="205"/>
        <v>0</v>
      </c>
      <c r="K1633" s="3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6"/>
      <c r="W1633" s="16"/>
      <c r="X1633" s="16"/>
      <c r="Y1633" s="16"/>
      <c r="Z1633" s="16"/>
      <c r="AA1633" s="16"/>
      <c r="AB1633" s="16"/>
      <c r="AC1633" s="16"/>
      <c r="AD1633" s="16"/>
      <c r="AE1633" s="16"/>
      <c r="AF1633" s="16"/>
      <c r="AG1633" s="16"/>
      <c r="AH1633" s="16"/>
      <c r="AI1633" s="16"/>
      <c r="AJ1633" s="16"/>
      <c r="AK1633" s="16"/>
      <c r="AL1633" s="16"/>
      <c r="AM1633" s="16"/>
      <c r="AN1633" s="16"/>
      <c r="AO1633" s="16"/>
      <c r="AP1633" s="16"/>
      <c r="AQ1633" s="16"/>
      <c r="AR1633" s="16"/>
      <c r="AS1633" s="16"/>
      <c r="AT1633" s="16"/>
      <c r="AU1633" s="16"/>
      <c r="AV1633" s="16"/>
      <c r="AW1633" s="16"/>
      <c r="AX1633" s="16"/>
      <c r="AY1633" s="16"/>
      <c r="AZ1633" s="16"/>
      <c r="BA1633" s="16"/>
      <c r="BB1633" s="16"/>
      <c r="BC1633" s="16"/>
      <c r="BD1633" s="16"/>
      <c r="BE1633" s="16"/>
      <c r="BF1633" s="16"/>
      <c r="BG1633" s="16"/>
      <c r="BH1633" s="16"/>
      <c r="BI1633" s="16"/>
      <c r="BJ1633" s="16"/>
      <c r="BK1633" s="16"/>
      <c r="BL1633" s="16"/>
      <c r="BM1633" s="16"/>
      <c r="BN1633" s="16"/>
      <c r="BO1633" s="16"/>
      <c r="BP1633" s="16"/>
      <c r="BQ1633" s="16"/>
      <c r="BR1633" s="16"/>
      <c r="BS1633" s="16"/>
      <c r="BT1633" s="16"/>
      <c r="BU1633" s="16"/>
      <c r="BV1633" s="16"/>
      <c r="BW1633" s="16"/>
      <c r="BX1633" s="16"/>
      <c r="BY1633" s="16"/>
      <c r="BZ1633" s="16"/>
      <c r="CA1633" s="16"/>
      <c r="CB1633" s="16"/>
      <c r="CC1633" s="16"/>
      <c r="CD1633" s="16"/>
      <c r="CE1633" s="16"/>
      <c r="CF1633" s="16"/>
      <c r="CG1633" s="16"/>
      <c r="CH1633" s="16"/>
      <c r="CI1633" s="16"/>
      <c r="CJ1633" s="16"/>
      <c r="CK1633" s="16"/>
      <c r="CL1633" s="16"/>
      <c r="CM1633" s="16"/>
      <c r="CN1633" s="16"/>
      <c r="CO1633" s="16"/>
      <c r="CP1633" s="16"/>
      <c r="CQ1633" s="16"/>
      <c r="CR1633" s="16"/>
      <c r="CS1633" s="16"/>
      <c r="CT1633" s="16"/>
      <c r="CU1633" s="16"/>
      <c r="CV1633" s="16"/>
      <c r="CW1633" s="16"/>
      <c r="CX1633" s="16"/>
      <c r="CY1633" s="16"/>
      <c r="CZ1633" s="16"/>
      <c r="DA1633" s="16"/>
      <c r="DB1633" s="16"/>
      <c r="DC1633" s="16"/>
      <c r="DD1633" s="16"/>
      <c r="DE1633" s="16"/>
      <c r="DF1633" s="16"/>
    </row>
    <row r="1634" spans="8:110" x14ac:dyDescent="0.3">
      <c r="H1634" s="4">
        <f t="shared" si="205"/>
        <v>0</v>
      </c>
      <c r="K1634" s="3"/>
      <c r="L1634" s="16"/>
      <c r="M1634" s="16"/>
      <c r="N1634" s="16"/>
      <c r="O1634" s="16"/>
      <c r="P1634" s="16"/>
      <c r="Q1634" s="16"/>
      <c r="R1634" s="16"/>
      <c r="S1634" s="16"/>
      <c r="T1634" s="16"/>
      <c r="U1634" s="16"/>
      <c r="V1634" s="16"/>
      <c r="W1634" s="16"/>
      <c r="X1634" s="16"/>
      <c r="Y1634" s="16"/>
      <c r="Z1634" s="16"/>
      <c r="AA1634" s="16"/>
      <c r="AB1634" s="16"/>
      <c r="AC1634" s="16"/>
      <c r="AD1634" s="16"/>
      <c r="AE1634" s="16"/>
      <c r="AF1634" s="16"/>
      <c r="AG1634" s="16"/>
      <c r="AH1634" s="16"/>
      <c r="AI1634" s="16"/>
      <c r="AJ1634" s="16"/>
      <c r="AK1634" s="16"/>
      <c r="AL1634" s="16"/>
      <c r="AM1634" s="16"/>
      <c r="AN1634" s="16"/>
      <c r="AO1634" s="16"/>
      <c r="AP1634" s="16"/>
      <c r="AQ1634" s="16"/>
      <c r="AR1634" s="16"/>
      <c r="AS1634" s="16"/>
      <c r="AT1634" s="16"/>
      <c r="AU1634" s="16"/>
      <c r="AV1634" s="16"/>
      <c r="AW1634" s="16"/>
      <c r="AX1634" s="16"/>
      <c r="AY1634" s="16"/>
      <c r="AZ1634" s="16"/>
      <c r="BA1634" s="16"/>
      <c r="BB1634" s="16"/>
      <c r="BC1634" s="16"/>
      <c r="BD1634" s="16"/>
      <c r="BE1634" s="16"/>
      <c r="BF1634" s="16"/>
      <c r="BG1634" s="16"/>
      <c r="BH1634" s="16"/>
      <c r="BI1634" s="16"/>
      <c r="BJ1634" s="16"/>
      <c r="BK1634" s="16"/>
      <c r="BL1634" s="16"/>
      <c r="BM1634" s="16"/>
      <c r="BN1634" s="16"/>
      <c r="BO1634" s="16"/>
      <c r="BP1634" s="16"/>
      <c r="BQ1634" s="16"/>
      <c r="BR1634" s="16"/>
      <c r="BS1634" s="16"/>
      <c r="BT1634" s="16"/>
      <c r="BU1634" s="16"/>
      <c r="BV1634" s="16"/>
      <c r="BW1634" s="16"/>
      <c r="BX1634" s="16"/>
      <c r="BY1634" s="16"/>
      <c r="BZ1634" s="16"/>
      <c r="CA1634" s="16"/>
      <c r="CB1634" s="16"/>
      <c r="CC1634" s="16"/>
      <c r="CD1634" s="16"/>
      <c r="CE1634" s="16"/>
      <c r="CF1634" s="16"/>
      <c r="CG1634" s="16"/>
      <c r="CH1634" s="16"/>
      <c r="CI1634" s="16"/>
      <c r="CJ1634" s="16"/>
      <c r="CK1634" s="16"/>
      <c r="CL1634" s="16"/>
      <c r="CM1634" s="16"/>
      <c r="CN1634" s="16"/>
      <c r="CO1634" s="16"/>
      <c r="CP1634" s="16"/>
      <c r="CQ1634" s="16"/>
      <c r="CR1634" s="16"/>
      <c r="CS1634" s="16"/>
      <c r="CT1634" s="16"/>
      <c r="CU1634" s="16"/>
      <c r="CV1634" s="16"/>
      <c r="CW1634" s="16"/>
      <c r="CX1634" s="16"/>
      <c r="CY1634" s="16"/>
      <c r="CZ1634" s="16"/>
      <c r="DA1634" s="16"/>
      <c r="DB1634" s="16"/>
      <c r="DC1634" s="16"/>
      <c r="DD1634" s="16"/>
      <c r="DE1634" s="16"/>
      <c r="DF1634" s="16"/>
    </row>
    <row r="1635" spans="8:110" x14ac:dyDescent="0.3">
      <c r="H1635" s="4">
        <f t="shared" si="205"/>
        <v>0</v>
      </c>
      <c r="K1635" s="3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6"/>
      <c r="W1635" s="16"/>
      <c r="X1635" s="16"/>
      <c r="Y1635" s="16"/>
      <c r="Z1635" s="16"/>
      <c r="AA1635" s="16"/>
      <c r="AB1635" s="16"/>
      <c r="AC1635" s="16"/>
      <c r="AD1635" s="16"/>
      <c r="AE1635" s="16"/>
      <c r="AF1635" s="16"/>
      <c r="AG1635" s="16"/>
      <c r="AH1635" s="16"/>
      <c r="AI1635" s="16"/>
      <c r="AJ1635" s="16"/>
      <c r="AK1635" s="16"/>
      <c r="AL1635" s="16"/>
      <c r="AM1635" s="16"/>
      <c r="AN1635" s="16"/>
      <c r="AO1635" s="16"/>
      <c r="AP1635" s="16"/>
      <c r="AQ1635" s="16"/>
      <c r="AR1635" s="16"/>
      <c r="AS1635" s="16"/>
      <c r="AT1635" s="16"/>
      <c r="AU1635" s="16"/>
      <c r="AV1635" s="16"/>
      <c r="AW1635" s="16"/>
      <c r="AX1635" s="16"/>
      <c r="AY1635" s="16"/>
      <c r="AZ1635" s="16"/>
      <c r="BA1635" s="16"/>
      <c r="BB1635" s="16"/>
      <c r="BC1635" s="16"/>
      <c r="BD1635" s="16"/>
      <c r="BE1635" s="16"/>
      <c r="BF1635" s="16"/>
      <c r="BG1635" s="16"/>
      <c r="BH1635" s="16"/>
      <c r="BI1635" s="16"/>
      <c r="BJ1635" s="16"/>
      <c r="BK1635" s="16"/>
      <c r="BL1635" s="16"/>
      <c r="BM1635" s="16"/>
      <c r="BN1635" s="16"/>
      <c r="BO1635" s="16"/>
      <c r="BP1635" s="16"/>
      <c r="BQ1635" s="16"/>
      <c r="BR1635" s="16"/>
      <c r="BS1635" s="16"/>
      <c r="BT1635" s="16"/>
      <c r="BU1635" s="16"/>
      <c r="BV1635" s="16"/>
      <c r="BW1635" s="16"/>
      <c r="BX1635" s="16"/>
      <c r="BY1635" s="16"/>
      <c r="BZ1635" s="16"/>
      <c r="CA1635" s="16"/>
      <c r="CB1635" s="16"/>
      <c r="CC1635" s="16"/>
      <c r="CD1635" s="16"/>
      <c r="CE1635" s="16"/>
      <c r="CF1635" s="16"/>
      <c r="CG1635" s="16"/>
      <c r="CH1635" s="16"/>
      <c r="CI1635" s="16"/>
      <c r="CJ1635" s="16"/>
      <c r="CK1635" s="16"/>
      <c r="CL1635" s="16"/>
      <c r="CM1635" s="16"/>
      <c r="CN1635" s="16"/>
      <c r="CO1635" s="16"/>
      <c r="CP1635" s="16"/>
      <c r="CQ1635" s="16"/>
      <c r="CR1635" s="16"/>
      <c r="CS1635" s="16"/>
      <c r="CT1635" s="16"/>
      <c r="CU1635" s="16"/>
      <c r="CV1635" s="16"/>
      <c r="CW1635" s="16"/>
      <c r="CX1635" s="16"/>
      <c r="CY1635" s="16"/>
      <c r="CZ1635" s="16"/>
      <c r="DA1635" s="16"/>
      <c r="DB1635" s="16"/>
      <c r="DC1635" s="16"/>
      <c r="DD1635" s="16"/>
      <c r="DE1635" s="16"/>
      <c r="DF1635" s="16"/>
    </row>
    <row r="1636" spans="8:110" x14ac:dyDescent="0.3">
      <c r="H1636" s="4">
        <f t="shared" si="205"/>
        <v>0</v>
      </c>
      <c r="K1636" s="3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16"/>
      <c r="AA1636" s="16"/>
      <c r="AB1636" s="16"/>
      <c r="AC1636" s="16"/>
      <c r="AD1636" s="16"/>
      <c r="AE1636" s="16"/>
      <c r="AF1636" s="16"/>
      <c r="AG1636" s="16"/>
      <c r="AH1636" s="16"/>
      <c r="AI1636" s="16"/>
      <c r="AJ1636" s="16"/>
      <c r="AK1636" s="16"/>
      <c r="AL1636" s="16"/>
      <c r="AM1636" s="16"/>
      <c r="AN1636" s="16"/>
      <c r="AO1636" s="16"/>
      <c r="AP1636" s="16"/>
      <c r="AQ1636" s="16"/>
      <c r="AR1636" s="16"/>
      <c r="AS1636" s="16"/>
      <c r="AT1636" s="16"/>
      <c r="AU1636" s="16"/>
      <c r="AV1636" s="16"/>
      <c r="AW1636" s="16"/>
      <c r="AX1636" s="16"/>
      <c r="AY1636" s="16"/>
      <c r="AZ1636" s="16"/>
      <c r="BA1636" s="16"/>
      <c r="BB1636" s="16"/>
      <c r="BC1636" s="16"/>
      <c r="BD1636" s="16"/>
      <c r="BE1636" s="16"/>
      <c r="BF1636" s="16"/>
      <c r="BG1636" s="16"/>
      <c r="BH1636" s="16"/>
      <c r="BI1636" s="16"/>
      <c r="BJ1636" s="16"/>
      <c r="BK1636" s="16"/>
      <c r="BL1636" s="16"/>
      <c r="BM1636" s="16"/>
      <c r="BN1636" s="16"/>
      <c r="BO1636" s="16"/>
      <c r="BP1636" s="16"/>
      <c r="BQ1636" s="16"/>
      <c r="BR1636" s="16"/>
      <c r="BS1636" s="16"/>
      <c r="BT1636" s="16"/>
      <c r="BU1636" s="16"/>
      <c r="BV1636" s="16"/>
      <c r="BW1636" s="16"/>
      <c r="BX1636" s="16"/>
      <c r="BY1636" s="16"/>
      <c r="BZ1636" s="16"/>
      <c r="CA1636" s="16"/>
      <c r="CB1636" s="16"/>
      <c r="CC1636" s="16"/>
      <c r="CD1636" s="16"/>
      <c r="CE1636" s="16"/>
      <c r="CF1636" s="16"/>
      <c r="CG1636" s="16"/>
      <c r="CH1636" s="16"/>
      <c r="CI1636" s="16"/>
      <c r="CJ1636" s="16"/>
      <c r="CK1636" s="16"/>
      <c r="CL1636" s="16"/>
      <c r="CM1636" s="16"/>
      <c r="CN1636" s="16"/>
      <c r="CO1636" s="16"/>
      <c r="CP1636" s="16"/>
      <c r="CQ1636" s="16"/>
      <c r="CR1636" s="16"/>
      <c r="CS1636" s="16"/>
      <c r="CT1636" s="16"/>
      <c r="CU1636" s="16"/>
      <c r="CV1636" s="16"/>
      <c r="CW1636" s="16"/>
      <c r="CX1636" s="16"/>
      <c r="CY1636" s="16"/>
      <c r="CZ1636" s="16"/>
      <c r="DA1636" s="16"/>
      <c r="DB1636" s="16"/>
      <c r="DC1636" s="16"/>
      <c r="DD1636" s="16"/>
      <c r="DE1636" s="16"/>
      <c r="DF1636" s="16"/>
    </row>
    <row r="1637" spans="8:110" x14ac:dyDescent="0.3">
      <c r="H1637" s="4">
        <f t="shared" si="205"/>
        <v>0</v>
      </c>
      <c r="K1637" s="3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  <c r="Z1637" s="16"/>
      <c r="AA1637" s="16"/>
      <c r="AB1637" s="16"/>
      <c r="AC1637" s="16"/>
      <c r="AD1637" s="16"/>
      <c r="AE1637" s="16"/>
      <c r="AF1637" s="16"/>
      <c r="AG1637" s="16"/>
      <c r="AH1637" s="16"/>
      <c r="AI1637" s="16"/>
      <c r="AJ1637" s="16"/>
      <c r="AK1637" s="16"/>
      <c r="AL1637" s="16"/>
      <c r="AM1637" s="16"/>
      <c r="AN1637" s="16"/>
      <c r="AO1637" s="16"/>
      <c r="AP1637" s="16"/>
      <c r="AQ1637" s="16"/>
      <c r="AR1637" s="16"/>
      <c r="AS1637" s="16"/>
      <c r="AT1637" s="16"/>
      <c r="AU1637" s="16"/>
      <c r="AV1637" s="16"/>
      <c r="AW1637" s="16"/>
      <c r="AX1637" s="16"/>
      <c r="AY1637" s="16"/>
      <c r="AZ1637" s="16"/>
      <c r="BA1637" s="16"/>
      <c r="BB1637" s="16"/>
      <c r="BC1637" s="16"/>
      <c r="BD1637" s="16"/>
      <c r="BE1637" s="16"/>
      <c r="BF1637" s="16"/>
      <c r="BG1637" s="16"/>
      <c r="BH1637" s="16"/>
      <c r="BI1637" s="16"/>
      <c r="BJ1637" s="16"/>
      <c r="BK1637" s="16"/>
      <c r="BL1637" s="16"/>
      <c r="BM1637" s="16"/>
      <c r="BN1637" s="16"/>
      <c r="BO1637" s="16"/>
      <c r="BP1637" s="16"/>
      <c r="BQ1637" s="16"/>
      <c r="BR1637" s="16"/>
      <c r="BS1637" s="16"/>
      <c r="BT1637" s="16"/>
      <c r="BU1637" s="16"/>
      <c r="BV1637" s="16"/>
      <c r="BW1637" s="16"/>
      <c r="BX1637" s="16"/>
      <c r="BY1637" s="16"/>
      <c r="BZ1637" s="16"/>
      <c r="CA1637" s="16"/>
      <c r="CB1637" s="16"/>
      <c r="CC1637" s="16"/>
      <c r="CD1637" s="16"/>
      <c r="CE1637" s="16"/>
      <c r="CF1637" s="16"/>
      <c r="CG1637" s="16"/>
      <c r="CH1637" s="16"/>
      <c r="CI1637" s="16"/>
      <c r="CJ1637" s="16"/>
      <c r="CK1637" s="16"/>
      <c r="CL1637" s="16"/>
      <c r="CM1637" s="16"/>
      <c r="CN1637" s="16"/>
      <c r="CO1637" s="16"/>
      <c r="CP1637" s="16"/>
      <c r="CQ1637" s="16"/>
      <c r="CR1637" s="16"/>
      <c r="CS1637" s="16"/>
      <c r="CT1637" s="16"/>
      <c r="CU1637" s="16"/>
      <c r="CV1637" s="16"/>
      <c r="CW1637" s="16"/>
      <c r="CX1637" s="16"/>
      <c r="CY1637" s="16"/>
      <c r="CZ1637" s="16"/>
      <c r="DA1637" s="16"/>
      <c r="DB1637" s="16"/>
      <c r="DC1637" s="16"/>
      <c r="DD1637" s="16"/>
      <c r="DE1637" s="16"/>
      <c r="DF1637" s="16"/>
    </row>
    <row r="1638" spans="8:110" x14ac:dyDescent="0.3">
      <c r="H1638" s="4">
        <f t="shared" si="205"/>
        <v>0</v>
      </c>
      <c r="K1638" s="3"/>
      <c r="L1638" s="16"/>
      <c r="M1638" s="16"/>
      <c r="N1638" s="16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  <c r="Y1638" s="16"/>
      <c r="Z1638" s="16"/>
      <c r="AA1638" s="16"/>
      <c r="AB1638" s="16"/>
      <c r="AC1638" s="16"/>
      <c r="AD1638" s="16"/>
      <c r="AE1638" s="16"/>
      <c r="AF1638" s="16"/>
      <c r="AG1638" s="16"/>
      <c r="AH1638" s="16"/>
      <c r="AI1638" s="16"/>
      <c r="AJ1638" s="16"/>
      <c r="AK1638" s="16"/>
      <c r="AL1638" s="16"/>
      <c r="AM1638" s="16"/>
      <c r="AN1638" s="16"/>
      <c r="AO1638" s="16"/>
      <c r="AP1638" s="16"/>
      <c r="AQ1638" s="16"/>
      <c r="AR1638" s="16"/>
      <c r="AS1638" s="16"/>
      <c r="AT1638" s="16"/>
      <c r="AU1638" s="16"/>
      <c r="AV1638" s="16"/>
      <c r="AW1638" s="16"/>
      <c r="AX1638" s="16"/>
      <c r="AY1638" s="16"/>
      <c r="AZ1638" s="16"/>
      <c r="BA1638" s="16"/>
      <c r="BB1638" s="16"/>
      <c r="BC1638" s="16"/>
      <c r="BD1638" s="16"/>
      <c r="BE1638" s="16"/>
      <c r="BF1638" s="16"/>
      <c r="BG1638" s="16"/>
      <c r="BH1638" s="16"/>
      <c r="BI1638" s="16"/>
      <c r="BJ1638" s="16"/>
      <c r="BK1638" s="16"/>
      <c r="BL1638" s="16"/>
      <c r="BM1638" s="16"/>
      <c r="BN1638" s="16"/>
      <c r="BO1638" s="16"/>
      <c r="BP1638" s="16"/>
      <c r="BQ1638" s="16"/>
      <c r="BR1638" s="16"/>
      <c r="BS1638" s="16"/>
      <c r="BT1638" s="16"/>
      <c r="BU1638" s="16"/>
      <c r="BV1638" s="16"/>
      <c r="BW1638" s="16"/>
      <c r="BX1638" s="16"/>
      <c r="BY1638" s="16"/>
      <c r="BZ1638" s="16"/>
      <c r="CA1638" s="16"/>
      <c r="CB1638" s="16"/>
      <c r="CC1638" s="16"/>
      <c r="CD1638" s="16"/>
      <c r="CE1638" s="16"/>
      <c r="CF1638" s="16"/>
      <c r="CG1638" s="16"/>
      <c r="CH1638" s="16"/>
      <c r="CI1638" s="16"/>
      <c r="CJ1638" s="16"/>
      <c r="CK1638" s="16"/>
      <c r="CL1638" s="16"/>
      <c r="CM1638" s="16"/>
      <c r="CN1638" s="16"/>
      <c r="CO1638" s="16"/>
      <c r="CP1638" s="16"/>
      <c r="CQ1638" s="16"/>
      <c r="CR1638" s="16"/>
      <c r="CS1638" s="16"/>
      <c r="CT1638" s="16"/>
      <c r="CU1638" s="16"/>
      <c r="CV1638" s="16"/>
      <c r="CW1638" s="16"/>
      <c r="CX1638" s="16"/>
      <c r="CY1638" s="16"/>
      <c r="CZ1638" s="16"/>
      <c r="DA1638" s="16"/>
      <c r="DB1638" s="16"/>
      <c r="DC1638" s="16"/>
      <c r="DD1638" s="16"/>
      <c r="DE1638" s="16"/>
      <c r="DF1638" s="16"/>
    </row>
    <row r="1639" spans="8:110" x14ac:dyDescent="0.3">
      <c r="H1639" s="4">
        <f t="shared" si="205"/>
        <v>0</v>
      </c>
      <c r="K1639" s="3"/>
      <c r="L1639" s="16"/>
      <c r="M1639" s="16"/>
      <c r="N1639" s="16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  <c r="Y1639" s="16"/>
      <c r="Z1639" s="16"/>
      <c r="AA1639" s="16"/>
      <c r="AB1639" s="16"/>
      <c r="AC1639" s="16"/>
      <c r="AD1639" s="16"/>
      <c r="AE1639" s="16"/>
      <c r="AF1639" s="16"/>
      <c r="AG1639" s="16"/>
      <c r="AH1639" s="16"/>
      <c r="AI1639" s="16"/>
      <c r="AJ1639" s="16"/>
      <c r="AK1639" s="16"/>
      <c r="AL1639" s="16"/>
      <c r="AM1639" s="16"/>
      <c r="AN1639" s="16"/>
      <c r="AO1639" s="16"/>
      <c r="AP1639" s="16"/>
      <c r="AQ1639" s="16"/>
      <c r="AR1639" s="16"/>
      <c r="AS1639" s="16"/>
      <c r="AT1639" s="16"/>
      <c r="AU1639" s="16"/>
      <c r="AV1639" s="16"/>
      <c r="AW1639" s="16"/>
      <c r="AX1639" s="16"/>
      <c r="AY1639" s="16"/>
      <c r="AZ1639" s="16"/>
      <c r="BA1639" s="16"/>
      <c r="BB1639" s="16"/>
      <c r="BC1639" s="16"/>
      <c r="BD1639" s="16"/>
      <c r="BE1639" s="16"/>
      <c r="BF1639" s="16"/>
      <c r="BG1639" s="16"/>
      <c r="BH1639" s="16"/>
      <c r="BI1639" s="16"/>
      <c r="BJ1639" s="16"/>
      <c r="BK1639" s="16"/>
      <c r="BL1639" s="16"/>
      <c r="BM1639" s="16"/>
      <c r="BN1639" s="16"/>
      <c r="BO1639" s="16"/>
      <c r="BP1639" s="16"/>
      <c r="BQ1639" s="16"/>
      <c r="BR1639" s="16"/>
      <c r="BS1639" s="16"/>
      <c r="BT1639" s="16"/>
      <c r="BU1639" s="16"/>
      <c r="BV1639" s="16"/>
      <c r="BW1639" s="16"/>
      <c r="BX1639" s="16"/>
      <c r="BY1639" s="16"/>
      <c r="BZ1639" s="16"/>
      <c r="CA1639" s="16"/>
      <c r="CB1639" s="16"/>
      <c r="CC1639" s="16"/>
      <c r="CD1639" s="16"/>
      <c r="CE1639" s="16"/>
      <c r="CF1639" s="16"/>
      <c r="CG1639" s="16"/>
      <c r="CH1639" s="16"/>
      <c r="CI1639" s="16"/>
      <c r="CJ1639" s="16"/>
      <c r="CK1639" s="16"/>
      <c r="CL1639" s="16"/>
      <c r="CM1639" s="16"/>
      <c r="CN1639" s="16"/>
      <c r="CO1639" s="16"/>
      <c r="CP1639" s="16"/>
      <c r="CQ1639" s="16"/>
      <c r="CR1639" s="16"/>
      <c r="CS1639" s="16"/>
      <c r="CT1639" s="16"/>
      <c r="CU1639" s="16"/>
      <c r="CV1639" s="16"/>
      <c r="CW1639" s="16"/>
      <c r="CX1639" s="16"/>
      <c r="CY1639" s="16"/>
      <c r="CZ1639" s="16"/>
      <c r="DA1639" s="16"/>
      <c r="DB1639" s="16"/>
      <c r="DC1639" s="16"/>
      <c r="DD1639" s="16"/>
      <c r="DE1639" s="16"/>
      <c r="DF1639" s="16"/>
    </row>
    <row r="1640" spans="8:110" x14ac:dyDescent="0.3">
      <c r="H1640" s="4">
        <f t="shared" si="205"/>
        <v>0</v>
      </c>
      <c r="K1640" s="3"/>
      <c r="L1640" s="16"/>
      <c r="M1640" s="16"/>
      <c r="N1640" s="16"/>
      <c r="O1640" s="16"/>
      <c r="P1640" s="16"/>
      <c r="Q1640" s="16"/>
      <c r="R1640" s="16"/>
      <c r="S1640" s="16"/>
      <c r="T1640" s="16"/>
      <c r="U1640" s="16"/>
      <c r="V1640" s="16"/>
      <c r="W1640" s="16"/>
      <c r="X1640" s="16"/>
      <c r="Y1640" s="16"/>
      <c r="Z1640" s="16"/>
      <c r="AA1640" s="16"/>
      <c r="AB1640" s="16"/>
      <c r="AC1640" s="16"/>
      <c r="AD1640" s="16"/>
      <c r="AE1640" s="16"/>
      <c r="AF1640" s="16"/>
      <c r="AG1640" s="16"/>
      <c r="AH1640" s="16"/>
      <c r="AI1640" s="16"/>
      <c r="AJ1640" s="16"/>
      <c r="AK1640" s="16"/>
      <c r="AL1640" s="16"/>
      <c r="AM1640" s="16"/>
      <c r="AN1640" s="16"/>
      <c r="AO1640" s="16"/>
      <c r="AP1640" s="16"/>
      <c r="AQ1640" s="16"/>
      <c r="AR1640" s="16"/>
      <c r="AS1640" s="16"/>
      <c r="AT1640" s="16"/>
      <c r="AU1640" s="16"/>
      <c r="AV1640" s="16"/>
      <c r="AW1640" s="16"/>
      <c r="AX1640" s="16"/>
      <c r="AY1640" s="16"/>
      <c r="AZ1640" s="16"/>
      <c r="BA1640" s="16"/>
      <c r="BB1640" s="16"/>
      <c r="BC1640" s="16"/>
      <c r="BD1640" s="16"/>
      <c r="BE1640" s="16"/>
      <c r="BF1640" s="16"/>
      <c r="BG1640" s="16"/>
      <c r="BH1640" s="16"/>
      <c r="BI1640" s="16"/>
      <c r="BJ1640" s="16"/>
      <c r="BK1640" s="16"/>
      <c r="BL1640" s="16"/>
      <c r="BM1640" s="16"/>
      <c r="BN1640" s="16"/>
      <c r="BO1640" s="16"/>
      <c r="BP1640" s="16"/>
      <c r="BQ1640" s="16"/>
      <c r="BR1640" s="16"/>
      <c r="BS1640" s="16"/>
      <c r="BT1640" s="16"/>
      <c r="BU1640" s="16"/>
      <c r="BV1640" s="16"/>
      <c r="BW1640" s="16"/>
      <c r="BX1640" s="16"/>
      <c r="BY1640" s="16"/>
      <c r="BZ1640" s="16"/>
      <c r="CA1640" s="16"/>
      <c r="CB1640" s="16"/>
      <c r="CC1640" s="16"/>
      <c r="CD1640" s="16"/>
      <c r="CE1640" s="16"/>
      <c r="CF1640" s="16"/>
      <c r="CG1640" s="16"/>
      <c r="CH1640" s="16"/>
      <c r="CI1640" s="16"/>
      <c r="CJ1640" s="16"/>
      <c r="CK1640" s="16"/>
      <c r="CL1640" s="16"/>
      <c r="CM1640" s="16"/>
      <c r="CN1640" s="16"/>
      <c r="CO1640" s="16"/>
      <c r="CP1640" s="16"/>
      <c r="CQ1640" s="16"/>
      <c r="CR1640" s="16"/>
      <c r="CS1640" s="16"/>
      <c r="CT1640" s="16"/>
      <c r="CU1640" s="16"/>
      <c r="CV1640" s="16"/>
      <c r="CW1640" s="16"/>
      <c r="CX1640" s="16"/>
      <c r="CY1640" s="16"/>
      <c r="CZ1640" s="16"/>
      <c r="DA1640" s="16"/>
      <c r="DB1640" s="16"/>
      <c r="DC1640" s="16"/>
      <c r="DD1640" s="16"/>
      <c r="DE1640" s="16"/>
      <c r="DF1640" s="16"/>
    </row>
    <row r="1641" spans="8:110" x14ac:dyDescent="0.3">
      <c r="H1641" s="4">
        <f t="shared" si="205"/>
        <v>0</v>
      </c>
      <c r="K1641" s="3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6"/>
      <c r="AA1641" s="16"/>
      <c r="AB1641" s="16"/>
      <c r="AC1641" s="16"/>
      <c r="AD1641" s="16"/>
      <c r="AE1641" s="16"/>
      <c r="AF1641" s="16"/>
      <c r="AG1641" s="16"/>
      <c r="AH1641" s="16"/>
      <c r="AI1641" s="16"/>
      <c r="AJ1641" s="16"/>
      <c r="AK1641" s="16"/>
      <c r="AL1641" s="16"/>
      <c r="AM1641" s="16"/>
      <c r="AN1641" s="16"/>
      <c r="AO1641" s="16"/>
      <c r="AP1641" s="16"/>
      <c r="AQ1641" s="16"/>
      <c r="AR1641" s="16"/>
      <c r="AS1641" s="16"/>
      <c r="AT1641" s="16"/>
      <c r="AU1641" s="16"/>
      <c r="AV1641" s="16"/>
      <c r="AW1641" s="16"/>
      <c r="AX1641" s="16"/>
      <c r="AY1641" s="16"/>
      <c r="AZ1641" s="16"/>
      <c r="BA1641" s="16"/>
      <c r="BB1641" s="16"/>
      <c r="BC1641" s="16"/>
      <c r="BD1641" s="16"/>
      <c r="BE1641" s="16"/>
      <c r="BF1641" s="16"/>
      <c r="BG1641" s="16"/>
      <c r="BH1641" s="16"/>
      <c r="BI1641" s="16"/>
      <c r="BJ1641" s="16"/>
      <c r="BK1641" s="16"/>
      <c r="BL1641" s="16"/>
      <c r="BM1641" s="16"/>
      <c r="BN1641" s="16"/>
      <c r="BO1641" s="16"/>
      <c r="BP1641" s="16"/>
      <c r="BQ1641" s="16"/>
      <c r="BR1641" s="16"/>
      <c r="BS1641" s="16"/>
      <c r="BT1641" s="16"/>
      <c r="BU1641" s="16"/>
      <c r="BV1641" s="16"/>
      <c r="BW1641" s="16"/>
      <c r="BX1641" s="16"/>
      <c r="BY1641" s="16"/>
      <c r="BZ1641" s="16"/>
      <c r="CA1641" s="16"/>
      <c r="CB1641" s="16"/>
      <c r="CC1641" s="16"/>
      <c r="CD1641" s="16"/>
      <c r="CE1641" s="16"/>
      <c r="CF1641" s="16"/>
      <c r="CG1641" s="16"/>
      <c r="CH1641" s="16"/>
      <c r="CI1641" s="16"/>
      <c r="CJ1641" s="16"/>
      <c r="CK1641" s="16"/>
      <c r="CL1641" s="16"/>
      <c r="CM1641" s="16"/>
      <c r="CN1641" s="16"/>
      <c r="CO1641" s="16"/>
      <c r="CP1641" s="16"/>
      <c r="CQ1641" s="16"/>
      <c r="CR1641" s="16"/>
      <c r="CS1641" s="16"/>
      <c r="CT1641" s="16"/>
      <c r="CU1641" s="16"/>
      <c r="CV1641" s="16"/>
      <c r="CW1641" s="16"/>
      <c r="CX1641" s="16"/>
      <c r="CY1641" s="16"/>
      <c r="CZ1641" s="16"/>
      <c r="DA1641" s="16"/>
      <c r="DB1641" s="16"/>
      <c r="DC1641" s="16"/>
      <c r="DD1641" s="16"/>
      <c r="DE1641" s="16"/>
      <c r="DF1641" s="16"/>
    </row>
    <row r="1642" spans="8:110" x14ac:dyDescent="0.3">
      <c r="H1642" s="4">
        <f t="shared" si="205"/>
        <v>0</v>
      </c>
      <c r="K1642" s="3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6"/>
      <c r="AA1642" s="16"/>
      <c r="AB1642" s="16"/>
      <c r="AC1642" s="16"/>
      <c r="AD1642" s="16"/>
      <c r="AE1642" s="16"/>
      <c r="AF1642" s="16"/>
      <c r="AG1642" s="16"/>
      <c r="AH1642" s="16"/>
      <c r="AI1642" s="16"/>
      <c r="AJ1642" s="16"/>
      <c r="AK1642" s="16"/>
      <c r="AL1642" s="16"/>
      <c r="AM1642" s="16"/>
      <c r="AN1642" s="16"/>
      <c r="AO1642" s="16"/>
      <c r="AP1642" s="16"/>
      <c r="AQ1642" s="16"/>
      <c r="AR1642" s="16"/>
      <c r="AS1642" s="16"/>
      <c r="AT1642" s="16"/>
      <c r="AU1642" s="16"/>
      <c r="AV1642" s="16"/>
      <c r="AW1642" s="16"/>
      <c r="AX1642" s="16"/>
      <c r="AY1642" s="16"/>
      <c r="AZ1642" s="16"/>
      <c r="BA1642" s="16"/>
      <c r="BB1642" s="16"/>
      <c r="BC1642" s="16"/>
      <c r="BD1642" s="16"/>
      <c r="BE1642" s="16"/>
      <c r="BF1642" s="16"/>
      <c r="BG1642" s="16"/>
      <c r="BH1642" s="16"/>
      <c r="BI1642" s="16"/>
      <c r="BJ1642" s="16"/>
      <c r="BK1642" s="16"/>
      <c r="BL1642" s="16"/>
      <c r="BM1642" s="16"/>
      <c r="BN1642" s="16"/>
      <c r="BO1642" s="16"/>
      <c r="BP1642" s="16"/>
      <c r="BQ1642" s="16"/>
      <c r="BR1642" s="16"/>
      <c r="BS1642" s="16"/>
      <c r="BT1642" s="16"/>
      <c r="BU1642" s="16"/>
      <c r="BV1642" s="16"/>
      <c r="BW1642" s="16"/>
      <c r="BX1642" s="16"/>
      <c r="BY1642" s="16"/>
      <c r="BZ1642" s="16"/>
      <c r="CA1642" s="16"/>
      <c r="CB1642" s="16"/>
      <c r="CC1642" s="16"/>
      <c r="CD1642" s="16"/>
      <c r="CE1642" s="16"/>
      <c r="CF1642" s="16"/>
      <c r="CG1642" s="16"/>
      <c r="CH1642" s="16"/>
      <c r="CI1642" s="16"/>
      <c r="CJ1642" s="16"/>
      <c r="CK1642" s="16"/>
      <c r="CL1642" s="16"/>
      <c r="CM1642" s="16"/>
      <c r="CN1642" s="16"/>
      <c r="CO1642" s="16"/>
      <c r="CP1642" s="16"/>
      <c r="CQ1642" s="16"/>
      <c r="CR1642" s="16"/>
      <c r="CS1642" s="16"/>
      <c r="CT1642" s="16"/>
      <c r="CU1642" s="16"/>
      <c r="CV1642" s="16"/>
      <c r="CW1642" s="16"/>
      <c r="CX1642" s="16"/>
      <c r="CY1642" s="16"/>
      <c r="CZ1642" s="16"/>
      <c r="DA1642" s="16"/>
      <c r="DB1642" s="16"/>
      <c r="DC1642" s="16"/>
      <c r="DD1642" s="16"/>
      <c r="DE1642" s="16"/>
      <c r="DF1642" s="16"/>
    </row>
    <row r="1643" spans="8:110" x14ac:dyDescent="0.3">
      <c r="H1643" s="4">
        <f t="shared" si="205"/>
        <v>0</v>
      </c>
      <c r="K1643" s="3"/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  <c r="V1643" s="16"/>
      <c r="W1643" s="16"/>
      <c r="X1643" s="16"/>
      <c r="Y1643" s="16"/>
      <c r="Z1643" s="16"/>
      <c r="AA1643" s="16"/>
      <c r="AB1643" s="16"/>
      <c r="AC1643" s="16"/>
      <c r="AD1643" s="16"/>
      <c r="AE1643" s="16"/>
      <c r="AF1643" s="16"/>
      <c r="AG1643" s="16"/>
      <c r="AH1643" s="16"/>
      <c r="AI1643" s="16"/>
      <c r="AJ1643" s="16"/>
      <c r="AK1643" s="16"/>
      <c r="AL1643" s="16"/>
      <c r="AM1643" s="16"/>
      <c r="AN1643" s="16"/>
      <c r="AO1643" s="16"/>
      <c r="AP1643" s="16"/>
      <c r="AQ1643" s="16"/>
      <c r="AR1643" s="16"/>
      <c r="AS1643" s="16"/>
      <c r="AT1643" s="16"/>
      <c r="AU1643" s="16"/>
      <c r="AV1643" s="16"/>
      <c r="AW1643" s="16"/>
      <c r="AX1643" s="16"/>
      <c r="AY1643" s="16"/>
      <c r="AZ1643" s="16"/>
      <c r="BA1643" s="16"/>
      <c r="BB1643" s="16"/>
      <c r="BC1643" s="16"/>
      <c r="BD1643" s="16"/>
      <c r="BE1643" s="16"/>
      <c r="BF1643" s="16"/>
      <c r="BG1643" s="16"/>
      <c r="BH1643" s="16"/>
      <c r="BI1643" s="16"/>
      <c r="BJ1643" s="16"/>
      <c r="BK1643" s="16"/>
      <c r="BL1643" s="16"/>
      <c r="BM1643" s="16"/>
      <c r="BN1643" s="16"/>
      <c r="BO1643" s="16"/>
      <c r="BP1643" s="16"/>
      <c r="BQ1643" s="16"/>
      <c r="BR1643" s="16"/>
      <c r="BS1643" s="16"/>
      <c r="BT1643" s="16"/>
      <c r="BU1643" s="16"/>
      <c r="BV1643" s="16"/>
      <c r="BW1643" s="16"/>
      <c r="BX1643" s="16"/>
      <c r="BY1643" s="16"/>
      <c r="BZ1643" s="16"/>
      <c r="CA1643" s="16"/>
      <c r="CB1643" s="16"/>
      <c r="CC1643" s="16"/>
      <c r="CD1643" s="16"/>
      <c r="CE1643" s="16"/>
      <c r="CF1643" s="16"/>
      <c r="CG1643" s="16"/>
      <c r="CH1643" s="16"/>
      <c r="CI1643" s="16"/>
      <c r="CJ1643" s="16"/>
      <c r="CK1643" s="16"/>
      <c r="CL1643" s="16"/>
      <c r="CM1643" s="16"/>
      <c r="CN1643" s="16"/>
      <c r="CO1643" s="16"/>
      <c r="CP1643" s="16"/>
      <c r="CQ1643" s="16"/>
      <c r="CR1643" s="16"/>
      <c r="CS1643" s="16"/>
      <c r="CT1643" s="16"/>
      <c r="CU1643" s="16"/>
      <c r="CV1643" s="16"/>
      <c r="CW1643" s="16"/>
      <c r="CX1643" s="16"/>
      <c r="CY1643" s="16"/>
      <c r="CZ1643" s="16"/>
      <c r="DA1643" s="16"/>
      <c r="DB1643" s="16"/>
      <c r="DC1643" s="16"/>
      <c r="DD1643" s="16"/>
      <c r="DE1643" s="16"/>
      <c r="DF1643" s="16"/>
    </row>
    <row r="1644" spans="8:110" x14ac:dyDescent="0.3">
      <c r="H1644" s="4">
        <f t="shared" si="205"/>
        <v>0</v>
      </c>
      <c r="K1644" s="3"/>
      <c r="L1644" s="16"/>
      <c r="M1644" s="16"/>
      <c r="N1644" s="16"/>
      <c r="O1644" s="16"/>
      <c r="P1644" s="16"/>
      <c r="Q1644" s="16"/>
      <c r="R1644" s="16"/>
      <c r="S1644" s="16"/>
      <c r="T1644" s="16"/>
      <c r="U1644" s="16"/>
      <c r="V1644" s="16"/>
      <c r="W1644" s="16"/>
      <c r="X1644" s="16"/>
      <c r="Y1644" s="16"/>
      <c r="Z1644" s="16"/>
      <c r="AA1644" s="16"/>
      <c r="AB1644" s="16"/>
      <c r="AC1644" s="16"/>
      <c r="AD1644" s="16"/>
      <c r="AE1644" s="16"/>
      <c r="AF1644" s="16"/>
      <c r="AG1644" s="16"/>
      <c r="AH1644" s="16"/>
      <c r="AI1644" s="16"/>
      <c r="AJ1644" s="16"/>
      <c r="AK1644" s="16"/>
      <c r="AL1644" s="16"/>
      <c r="AM1644" s="16"/>
      <c r="AN1644" s="16"/>
      <c r="AO1644" s="16"/>
      <c r="AP1644" s="16"/>
      <c r="AQ1644" s="16"/>
      <c r="AR1644" s="16"/>
      <c r="AS1644" s="16"/>
      <c r="AT1644" s="16"/>
      <c r="AU1644" s="16"/>
      <c r="AV1644" s="16"/>
      <c r="AW1644" s="16"/>
      <c r="AX1644" s="16"/>
      <c r="AY1644" s="16"/>
      <c r="AZ1644" s="16"/>
      <c r="BA1644" s="16"/>
      <c r="BB1644" s="16"/>
      <c r="BC1644" s="16"/>
      <c r="BD1644" s="16"/>
      <c r="BE1644" s="16"/>
      <c r="BF1644" s="16"/>
      <c r="BG1644" s="16"/>
      <c r="BH1644" s="16"/>
      <c r="BI1644" s="16"/>
      <c r="BJ1644" s="16"/>
      <c r="BK1644" s="16"/>
      <c r="BL1644" s="16"/>
      <c r="BM1644" s="16"/>
      <c r="BN1644" s="16"/>
      <c r="BO1644" s="16"/>
      <c r="BP1644" s="16"/>
      <c r="BQ1644" s="16"/>
      <c r="BR1644" s="16"/>
      <c r="BS1644" s="16"/>
      <c r="BT1644" s="16"/>
      <c r="BU1644" s="16"/>
      <c r="BV1644" s="16"/>
      <c r="BW1644" s="16"/>
      <c r="BX1644" s="16"/>
      <c r="BY1644" s="16"/>
      <c r="BZ1644" s="16"/>
      <c r="CA1644" s="16"/>
      <c r="CB1644" s="16"/>
      <c r="CC1644" s="16"/>
      <c r="CD1644" s="16"/>
      <c r="CE1644" s="16"/>
      <c r="CF1644" s="16"/>
      <c r="CG1644" s="16"/>
      <c r="CH1644" s="16"/>
      <c r="CI1644" s="16"/>
      <c r="CJ1644" s="16"/>
      <c r="CK1644" s="16"/>
      <c r="CL1644" s="16"/>
      <c r="CM1644" s="16"/>
      <c r="CN1644" s="16"/>
      <c r="CO1644" s="16"/>
      <c r="CP1644" s="16"/>
      <c r="CQ1644" s="16"/>
      <c r="CR1644" s="16"/>
      <c r="CS1644" s="16"/>
      <c r="CT1644" s="16"/>
      <c r="CU1644" s="16"/>
      <c r="CV1644" s="16"/>
      <c r="CW1644" s="16"/>
      <c r="CX1644" s="16"/>
      <c r="CY1644" s="16"/>
      <c r="CZ1644" s="16"/>
      <c r="DA1644" s="16"/>
      <c r="DB1644" s="16"/>
      <c r="DC1644" s="16"/>
      <c r="DD1644" s="16"/>
      <c r="DE1644" s="16"/>
      <c r="DF1644" s="16"/>
    </row>
    <row r="1645" spans="8:110" x14ac:dyDescent="0.3">
      <c r="H1645" s="4">
        <f t="shared" si="205"/>
        <v>0</v>
      </c>
      <c r="K1645" s="3"/>
      <c r="L1645" s="16"/>
      <c r="M1645" s="16"/>
      <c r="N1645" s="16"/>
      <c r="O1645" s="16"/>
      <c r="P1645" s="16"/>
      <c r="Q1645" s="16"/>
      <c r="R1645" s="16"/>
      <c r="S1645" s="16"/>
      <c r="T1645" s="16"/>
      <c r="U1645" s="16"/>
      <c r="V1645" s="16"/>
      <c r="W1645" s="16"/>
      <c r="X1645" s="16"/>
      <c r="Y1645" s="16"/>
      <c r="Z1645" s="16"/>
      <c r="AA1645" s="16"/>
      <c r="AB1645" s="16"/>
      <c r="AC1645" s="16"/>
      <c r="AD1645" s="16"/>
      <c r="AE1645" s="16"/>
      <c r="AF1645" s="16"/>
      <c r="AG1645" s="16"/>
      <c r="AH1645" s="16"/>
      <c r="AI1645" s="16"/>
      <c r="AJ1645" s="16"/>
      <c r="AK1645" s="16"/>
      <c r="AL1645" s="16"/>
      <c r="AM1645" s="16"/>
      <c r="AN1645" s="16"/>
      <c r="AO1645" s="16"/>
      <c r="AP1645" s="16"/>
      <c r="AQ1645" s="16"/>
      <c r="AR1645" s="16"/>
      <c r="AS1645" s="16"/>
      <c r="AT1645" s="16"/>
      <c r="AU1645" s="16"/>
      <c r="AV1645" s="16"/>
      <c r="AW1645" s="16"/>
      <c r="AX1645" s="16"/>
      <c r="AY1645" s="16"/>
      <c r="AZ1645" s="16"/>
      <c r="BA1645" s="16"/>
      <c r="BB1645" s="16"/>
      <c r="BC1645" s="16"/>
      <c r="BD1645" s="16"/>
      <c r="BE1645" s="16"/>
      <c r="BF1645" s="16"/>
      <c r="BG1645" s="16"/>
      <c r="BH1645" s="16"/>
      <c r="BI1645" s="16"/>
      <c r="BJ1645" s="16"/>
      <c r="BK1645" s="16"/>
      <c r="BL1645" s="16"/>
      <c r="BM1645" s="16"/>
      <c r="BN1645" s="16"/>
      <c r="BO1645" s="16"/>
      <c r="BP1645" s="16"/>
      <c r="BQ1645" s="16"/>
      <c r="BR1645" s="16"/>
      <c r="BS1645" s="16"/>
      <c r="BT1645" s="16"/>
      <c r="BU1645" s="16"/>
      <c r="BV1645" s="16"/>
      <c r="BW1645" s="16"/>
      <c r="BX1645" s="16"/>
      <c r="BY1645" s="16"/>
      <c r="BZ1645" s="16"/>
      <c r="CA1645" s="16"/>
      <c r="CB1645" s="16"/>
      <c r="CC1645" s="16"/>
      <c r="CD1645" s="16"/>
      <c r="CE1645" s="16"/>
      <c r="CF1645" s="16"/>
      <c r="CG1645" s="16"/>
      <c r="CH1645" s="16"/>
      <c r="CI1645" s="16"/>
      <c r="CJ1645" s="16"/>
      <c r="CK1645" s="16"/>
      <c r="CL1645" s="16"/>
      <c r="CM1645" s="16"/>
      <c r="CN1645" s="16"/>
      <c r="CO1645" s="16"/>
      <c r="CP1645" s="16"/>
      <c r="CQ1645" s="16"/>
      <c r="CR1645" s="16"/>
      <c r="CS1645" s="16"/>
      <c r="CT1645" s="16"/>
      <c r="CU1645" s="16"/>
      <c r="CV1645" s="16"/>
      <c r="CW1645" s="16"/>
      <c r="CX1645" s="16"/>
      <c r="CY1645" s="16"/>
      <c r="CZ1645" s="16"/>
      <c r="DA1645" s="16"/>
      <c r="DB1645" s="16"/>
      <c r="DC1645" s="16"/>
      <c r="DD1645" s="16"/>
      <c r="DE1645" s="16"/>
      <c r="DF1645" s="16"/>
    </row>
    <row r="1646" spans="8:110" x14ac:dyDescent="0.3">
      <c r="H1646" s="4">
        <f t="shared" si="205"/>
        <v>0</v>
      </c>
      <c r="K1646" s="3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16"/>
      <c r="AA1646" s="16"/>
      <c r="AB1646" s="16"/>
      <c r="AC1646" s="16"/>
      <c r="AD1646" s="16"/>
      <c r="AE1646" s="16"/>
      <c r="AF1646" s="16"/>
      <c r="AG1646" s="16"/>
      <c r="AH1646" s="16"/>
      <c r="AI1646" s="16"/>
      <c r="AJ1646" s="16"/>
      <c r="AK1646" s="16"/>
      <c r="AL1646" s="16"/>
      <c r="AM1646" s="16"/>
      <c r="AN1646" s="16"/>
      <c r="AO1646" s="16"/>
      <c r="AP1646" s="16"/>
      <c r="AQ1646" s="16"/>
      <c r="AR1646" s="16"/>
      <c r="AS1646" s="16"/>
      <c r="AT1646" s="16"/>
      <c r="AU1646" s="16"/>
      <c r="AV1646" s="16"/>
      <c r="AW1646" s="16"/>
      <c r="AX1646" s="16"/>
      <c r="AY1646" s="16"/>
      <c r="AZ1646" s="16"/>
      <c r="BA1646" s="16"/>
      <c r="BB1646" s="16"/>
      <c r="BC1646" s="16"/>
      <c r="BD1646" s="16"/>
      <c r="BE1646" s="16"/>
      <c r="BF1646" s="16"/>
      <c r="BG1646" s="16"/>
      <c r="BH1646" s="16"/>
      <c r="BI1646" s="16"/>
      <c r="BJ1646" s="16"/>
      <c r="BK1646" s="16"/>
      <c r="BL1646" s="16"/>
      <c r="BM1646" s="16"/>
      <c r="BN1646" s="16"/>
      <c r="BO1646" s="16"/>
      <c r="BP1646" s="16"/>
      <c r="BQ1646" s="16"/>
      <c r="BR1646" s="16"/>
      <c r="BS1646" s="16"/>
      <c r="BT1646" s="16"/>
      <c r="BU1646" s="16"/>
      <c r="BV1646" s="16"/>
      <c r="BW1646" s="16"/>
      <c r="BX1646" s="16"/>
      <c r="BY1646" s="16"/>
      <c r="BZ1646" s="16"/>
      <c r="CA1646" s="16"/>
      <c r="CB1646" s="16"/>
      <c r="CC1646" s="16"/>
      <c r="CD1646" s="16"/>
      <c r="CE1646" s="16"/>
      <c r="CF1646" s="16"/>
      <c r="CG1646" s="16"/>
      <c r="CH1646" s="16"/>
      <c r="CI1646" s="16"/>
      <c r="CJ1646" s="16"/>
      <c r="CK1646" s="16"/>
      <c r="CL1646" s="16"/>
      <c r="CM1646" s="16"/>
      <c r="CN1646" s="16"/>
      <c r="CO1646" s="16"/>
      <c r="CP1646" s="16"/>
      <c r="CQ1646" s="16"/>
      <c r="CR1646" s="16"/>
      <c r="CS1646" s="16"/>
      <c r="CT1646" s="16"/>
      <c r="CU1646" s="16"/>
      <c r="CV1646" s="16"/>
      <c r="CW1646" s="16"/>
      <c r="CX1646" s="16"/>
      <c r="CY1646" s="16"/>
      <c r="CZ1646" s="16"/>
      <c r="DA1646" s="16"/>
      <c r="DB1646" s="16"/>
      <c r="DC1646" s="16"/>
      <c r="DD1646" s="16"/>
      <c r="DE1646" s="16"/>
      <c r="DF1646" s="16"/>
    </row>
    <row r="1647" spans="8:110" x14ac:dyDescent="0.3">
      <c r="H1647" s="4">
        <f t="shared" si="205"/>
        <v>0</v>
      </c>
      <c r="K1647" s="3"/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  <c r="Z1647" s="16"/>
      <c r="AA1647" s="16"/>
      <c r="AB1647" s="16"/>
      <c r="AC1647" s="16"/>
      <c r="AD1647" s="16"/>
      <c r="AE1647" s="16"/>
      <c r="AF1647" s="16"/>
      <c r="AG1647" s="16"/>
      <c r="AH1647" s="16"/>
      <c r="AI1647" s="16"/>
      <c r="AJ1647" s="16"/>
      <c r="AK1647" s="16"/>
      <c r="AL1647" s="16"/>
      <c r="AM1647" s="16"/>
      <c r="AN1647" s="16"/>
      <c r="AO1647" s="16"/>
      <c r="AP1647" s="16"/>
      <c r="AQ1647" s="16"/>
      <c r="AR1647" s="16"/>
      <c r="AS1647" s="16"/>
      <c r="AT1647" s="16"/>
      <c r="AU1647" s="16"/>
      <c r="AV1647" s="16"/>
      <c r="AW1647" s="16"/>
      <c r="AX1647" s="16"/>
      <c r="AY1647" s="16"/>
      <c r="AZ1647" s="16"/>
      <c r="BA1647" s="16"/>
      <c r="BB1647" s="16"/>
      <c r="BC1647" s="16"/>
      <c r="BD1647" s="16"/>
      <c r="BE1647" s="16"/>
      <c r="BF1647" s="16"/>
      <c r="BG1647" s="16"/>
      <c r="BH1647" s="16"/>
      <c r="BI1647" s="16"/>
      <c r="BJ1647" s="16"/>
      <c r="BK1647" s="16"/>
      <c r="BL1647" s="16"/>
      <c r="BM1647" s="16"/>
      <c r="BN1647" s="16"/>
      <c r="BO1647" s="16"/>
      <c r="BP1647" s="16"/>
      <c r="BQ1647" s="16"/>
      <c r="BR1647" s="16"/>
      <c r="BS1647" s="16"/>
      <c r="BT1647" s="16"/>
      <c r="BU1647" s="16"/>
      <c r="BV1647" s="16"/>
      <c r="BW1647" s="16"/>
      <c r="BX1647" s="16"/>
      <c r="BY1647" s="16"/>
      <c r="BZ1647" s="16"/>
      <c r="CA1647" s="16"/>
      <c r="CB1647" s="16"/>
      <c r="CC1647" s="16"/>
      <c r="CD1647" s="16"/>
      <c r="CE1647" s="16"/>
      <c r="CF1647" s="16"/>
      <c r="CG1647" s="16"/>
      <c r="CH1647" s="16"/>
      <c r="CI1647" s="16"/>
      <c r="CJ1647" s="16"/>
      <c r="CK1647" s="16"/>
      <c r="CL1647" s="16"/>
      <c r="CM1647" s="16"/>
      <c r="CN1647" s="16"/>
      <c r="CO1647" s="16"/>
      <c r="CP1647" s="16"/>
      <c r="CQ1647" s="16"/>
      <c r="CR1647" s="16"/>
      <c r="CS1647" s="16"/>
      <c r="CT1647" s="16"/>
      <c r="CU1647" s="16"/>
      <c r="CV1647" s="16"/>
      <c r="CW1647" s="16"/>
      <c r="CX1647" s="16"/>
      <c r="CY1647" s="16"/>
      <c r="CZ1647" s="16"/>
      <c r="DA1647" s="16"/>
      <c r="DB1647" s="16"/>
      <c r="DC1647" s="16"/>
      <c r="DD1647" s="16"/>
      <c r="DE1647" s="16"/>
      <c r="DF1647" s="16"/>
    </row>
    <row r="1648" spans="8:110" x14ac:dyDescent="0.3">
      <c r="H1648" s="4">
        <f t="shared" si="205"/>
        <v>0</v>
      </c>
      <c r="K1648" s="3"/>
      <c r="L1648" s="16"/>
      <c r="M1648" s="16"/>
      <c r="N1648" s="16"/>
      <c r="O1648" s="16"/>
      <c r="P1648" s="16"/>
      <c r="Q1648" s="16"/>
      <c r="R1648" s="16"/>
      <c r="S1648" s="16"/>
      <c r="T1648" s="16"/>
      <c r="U1648" s="16"/>
      <c r="V1648" s="16"/>
      <c r="W1648" s="16"/>
      <c r="X1648" s="16"/>
      <c r="Y1648" s="16"/>
      <c r="Z1648" s="16"/>
      <c r="AA1648" s="16"/>
      <c r="AB1648" s="16"/>
      <c r="AC1648" s="16"/>
      <c r="AD1648" s="16"/>
      <c r="AE1648" s="16"/>
      <c r="AF1648" s="16"/>
      <c r="AG1648" s="16"/>
      <c r="AH1648" s="16"/>
      <c r="AI1648" s="16"/>
      <c r="AJ1648" s="16"/>
      <c r="AK1648" s="16"/>
      <c r="AL1648" s="16"/>
      <c r="AM1648" s="16"/>
      <c r="AN1648" s="16"/>
      <c r="AO1648" s="16"/>
      <c r="AP1648" s="16"/>
      <c r="AQ1648" s="16"/>
      <c r="AR1648" s="16"/>
      <c r="AS1648" s="16"/>
      <c r="AT1648" s="16"/>
      <c r="AU1648" s="16"/>
      <c r="AV1648" s="16"/>
      <c r="AW1648" s="16"/>
      <c r="AX1648" s="16"/>
      <c r="AY1648" s="16"/>
      <c r="AZ1648" s="16"/>
      <c r="BA1648" s="16"/>
      <c r="BB1648" s="16"/>
      <c r="BC1648" s="16"/>
      <c r="BD1648" s="16"/>
      <c r="BE1648" s="16"/>
      <c r="BF1648" s="16"/>
      <c r="BG1648" s="16"/>
      <c r="BH1648" s="16"/>
      <c r="BI1648" s="16"/>
      <c r="BJ1648" s="16"/>
      <c r="BK1648" s="16"/>
      <c r="BL1648" s="16"/>
      <c r="BM1648" s="16"/>
      <c r="BN1648" s="16"/>
      <c r="BO1648" s="16"/>
      <c r="BP1648" s="16"/>
      <c r="BQ1648" s="16"/>
      <c r="BR1648" s="16"/>
      <c r="BS1648" s="16"/>
      <c r="BT1648" s="16"/>
      <c r="BU1648" s="16"/>
      <c r="BV1648" s="16"/>
      <c r="BW1648" s="16"/>
      <c r="BX1648" s="16"/>
      <c r="BY1648" s="16"/>
      <c r="BZ1648" s="16"/>
      <c r="CA1648" s="16"/>
      <c r="CB1648" s="16"/>
      <c r="CC1648" s="16"/>
      <c r="CD1648" s="16"/>
      <c r="CE1648" s="16"/>
      <c r="CF1648" s="16"/>
      <c r="CG1648" s="16"/>
      <c r="CH1648" s="16"/>
      <c r="CI1648" s="16"/>
      <c r="CJ1648" s="16"/>
      <c r="CK1648" s="16"/>
      <c r="CL1648" s="16"/>
      <c r="CM1648" s="16"/>
      <c r="CN1648" s="16"/>
      <c r="CO1648" s="16"/>
      <c r="CP1648" s="16"/>
      <c r="CQ1648" s="16"/>
      <c r="CR1648" s="16"/>
      <c r="CS1648" s="16"/>
      <c r="CT1648" s="16"/>
      <c r="CU1648" s="16"/>
      <c r="CV1648" s="16"/>
      <c r="CW1648" s="16"/>
      <c r="CX1648" s="16"/>
      <c r="CY1648" s="16"/>
      <c r="CZ1648" s="16"/>
      <c r="DA1648" s="16"/>
      <c r="DB1648" s="16"/>
      <c r="DC1648" s="16"/>
      <c r="DD1648" s="16"/>
      <c r="DE1648" s="16"/>
      <c r="DF1648" s="16"/>
    </row>
    <row r="1649" spans="8:110" x14ac:dyDescent="0.3">
      <c r="H1649" s="4">
        <f t="shared" si="205"/>
        <v>0</v>
      </c>
      <c r="K1649" s="3"/>
      <c r="L1649" s="16"/>
      <c r="M1649" s="16"/>
      <c r="N1649" s="16"/>
      <c r="O1649" s="16"/>
      <c r="P1649" s="16"/>
      <c r="Q1649" s="16"/>
      <c r="R1649" s="16"/>
      <c r="S1649" s="16"/>
      <c r="T1649" s="16"/>
      <c r="U1649" s="16"/>
      <c r="V1649" s="16"/>
      <c r="W1649" s="16"/>
      <c r="X1649" s="16"/>
      <c r="Y1649" s="16"/>
      <c r="Z1649" s="16"/>
      <c r="AA1649" s="16"/>
      <c r="AB1649" s="16"/>
      <c r="AC1649" s="16"/>
      <c r="AD1649" s="16"/>
      <c r="AE1649" s="16"/>
      <c r="AF1649" s="16"/>
      <c r="AG1649" s="16"/>
      <c r="AH1649" s="16"/>
      <c r="AI1649" s="16"/>
      <c r="AJ1649" s="16"/>
      <c r="AK1649" s="16"/>
      <c r="AL1649" s="16"/>
      <c r="AM1649" s="16"/>
      <c r="AN1649" s="16"/>
      <c r="AO1649" s="16"/>
      <c r="AP1649" s="16"/>
      <c r="AQ1649" s="16"/>
      <c r="AR1649" s="16"/>
      <c r="AS1649" s="16"/>
      <c r="AT1649" s="16"/>
      <c r="AU1649" s="16"/>
      <c r="AV1649" s="16"/>
      <c r="AW1649" s="16"/>
      <c r="AX1649" s="16"/>
      <c r="AY1649" s="16"/>
      <c r="AZ1649" s="16"/>
      <c r="BA1649" s="16"/>
      <c r="BB1649" s="16"/>
      <c r="BC1649" s="16"/>
      <c r="BD1649" s="16"/>
      <c r="BE1649" s="16"/>
      <c r="BF1649" s="16"/>
      <c r="BG1649" s="16"/>
      <c r="BH1649" s="16"/>
      <c r="BI1649" s="16"/>
      <c r="BJ1649" s="16"/>
      <c r="BK1649" s="16"/>
      <c r="BL1649" s="16"/>
      <c r="BM1649" s="16"/>
      <c r="BN1649" s="16"/>
      <c r="BO1649" s="16"/>
      <c r="BP1649" s="16"/>
      <c r="BQ1649" s="16"/>
      <c r="BR1649" s="16"/>
      <c r="BS1649" s="16"/>
      <c r="BT1649" s="16"/>
      <c r="BU1649" s="16"/>
      <c r="BV1649" s="16"/>
      <c r="BW1649" s="16"/>
      <c r="BX1649" s="16"/>
      <c r="BY1649" s="16"/>
      <c r="BZ1649" s="16"/>
      <c r="CA1649" s="16"/>
      <c r="CB1649" s="16"/>
      <c r="CC1649" s="16"/>
      <c r="CD1649" s="16"/>
      <c r="CE1649" s="16"/>
      <c r="CF1649" s="16"/>
      <c r="CG1649" s="16"/>
      <c r="CH1649" s="16"/>
      <c r="CI1649" s="16"/>
      <c r="CJ1649" s="16"/>
      <c r="CK1649" s="16"/>
      <c r="CL1649" s="16"/>
      <c r="CM1649" s="16"/>
      <c r="CN1649" s="16"/>
      <c r="CO1649" s="16"/>
      <c r="CP1649" s="16"/>
      <c r="CQ1649" s="16"/>
      <c r="CR1649" s="16"/>
      <c r="CS1649" s="16"/>
      <c r="CT1649" s="16"/>
      <c r="CU1649" s="16"/>
      <c r="CV1649" s="16"/>
      <c r="CW1649" s="16"/>
      <c r="CX1649" s="16"/>
      <c r="CY1649" s="16"/>
      <c r="CZ1649" s="16"/>
      <c r="DA1649" s="16"/>
      <c r="DB1649" s="16"/>
      <c r="DC1649" s="16"/>
      <c r="DD1649" s="16"/>
      <c r="DE1649" s="16"/>
      <c r="DF1649" s="16"/>
    </row>
    <row r="1650" spans="8:110" x14ac:dyDescent="0.3">
      <c r="H1650" s="4">
        <f t="shared" si="205"/>
        <v>0</v>
      </c>
      <c r="K1650" s="3"/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  <c r="Y1650" s="16"/>
      <c r="Z1650" s="16"/>
      <c r="AA1650" s="16"/>
      <c r="AB1650" s="16"/>
      <c r="AC1650" s="16"/>
      <c r="AD1650" s="16"/>
      <c r="AE1650" s="16"/>
      <c r="AF1650" s="16"/>
      <c r="AG1650" s="16"/>
      <c r="AH1650" s="16"/>
      <c r="AI1650" s="16"/>
      <c r="AJ1650" s="16"/>
      <c r="AK1650" s="16"/>
      <c r="AL1650" s="16"/>
      <c r="AM1650" s="16"/>
      <c r="AN1650" s="16"/>
      <c r="AO1650" s="16"/>
      <c r="AP1650" s="16"/>
      <c r="AQ1650" s="16"/>
      <c r="AR1650" s="16"/>
      <c r="AS1650" s="16"/>
      <c r="AT1650" s="16"/>
      <c r="AU1650" s="16"/>
      <c r="AV1650" s="16"/>
      <c r="AW1650" s="16"/>
      <c r="AX1650" s="16"/>
      <c r="AY1650" s="16"/>
      <c r="AZ1650" s="16"/>
      <c r="BA1650" s="16"/>
      <c r="BB1650" s="16"/>
      <c r="BC1650" s="16"/>
      <c r="BD1650" s="16"/>
      <c r="BE1650" s="16"/>
      <c r="BF1650" s="16"/>
      <c r="BG1650" s="16"/>
      <c r="BH1650" s="16"/>
      <c r="BI1650" s="16"/>
      <c r="BJ1650" s="16"/>
      <c r="BK1650" s="16"/>
      <c r="BL1650" s="16"/>
      <c r="BM1650" s="16"/>
      <c r="BN1650" s="16"/>
      <c r="BO1650" s="16"/>
      <c r="BP1650" s="16"/>
      <c r="BQ1650" s="16"/>
      <c r="BR1650" s="16"/>
      <c r="BS1650" s="16"/>
      <c r="BT1650" s="16"/>
      <c r="BU1650" s="16"/>
      <c r="BV1650" s="16"/>
      <c r="BW1650" s="16"/>
      <c r="BX1650" s="16"/>
      <c r="BY1650" s="16"/>
      <c r="BZ1650" s="16"/>
      <c r="CA1650" s="16"/>
      <c r="CB1650" s="16"/>
      <c r="CC1650" s="16"/>
      <c r="CD1650" s="16"/>
      <c r="CE1650" s="16"/>
      <c r="CF1650" s="16"/>
      <c r="CG1650" s="16"/>
      <c r="CH1650" s="16"/>
      <c r="CI1650" s="16"/>
      <c r="CJ1650" s="16"/>
      <c r="CK1650" s="16"/>
      <c r="CL1650" s="16"/>
      <c r="CM1650" s="16"/>
      <c r="CN1650" s="16"/>
      <c r="CO1650" s="16"/>
      <c r="CP1650" s="16"/>
      <c r="CQ1650" s="16"/>
      <c r="CR1650" s="16"/>
      <c r="CS1650" s="16"/>
      <c r="CT1650" s="16"/>
      <c r="CU1650" s="16"/>
      <c r="CV1650" s="16"/>
      <c r="CW1650" s="16"/>
      <c r="CX1650" s="16"/>
      <c r="CY1650" s="16"/>
      <c r="CZ1650" s="16"/>
      <c r="DA1650" s="16"/>
      <c r="DB1650" s="16"/>
      <c r="DC1650" s="16"/>
      <c r="DD1650" s="16"/>
      <c r="DE1650" s="16"/>
      <c r="DF1650" s="16"/>
    </row>
    <row r="1651" spans="8:110" x14ac:dyDescent="0.3">
      <c r="H1651" s="4">
        <f t="shared" si="205"/>
        <v>0</v>
      </c>
      <c r="K1651" s="3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X1651" s="16"/>
      <c r="Y1651" s="16"/>
      <c r="Z1651" s="16"/>
      <c r="AA1651" s="16"/>
      <c r="AB1651" s="16"/>
      <c r="AC1651" s="16"/>
      <c r="AD1651" s="16"/>
      <c r="AE1651" s="16"/>
      <c r="AF1651" s="16"/>
      <c r="AG1651" s="16"/>
      <c r="AH1651" s="16"/>
      <c r="AI1651" s="16"/>
      <c r="AJ1651" s="16"/>
      <c r="AK1651" s="16"/>
      <c r="AL1651" s="16"/>
      <c r="AM1651" s="16"/>
      <c r="AN1651" s="16"/>
      <c r="AO1651" s="16"/>
      <c r="AP1651" s="16"/>
      <c r="AQ1651" s="16"/>
      <c r="AR1651" s="16"/>
      <c r="AS1651" s="16"/>
      <c r="AT1651" s="16"/>
      <c r="AU1651" s="16"/>
      <c r="AV1651" s="16"/>
      <c r="AW1651" s="16"/>
      <c r="AX1651" s="16"/>
      <c r="AY1651" s="16"/>
      <c r="AZ1651" s="16"/>
      <c r="BA1651" s="16"/>
      <c r="BB1651" s="16"/>
      <c r="BC1651" s="16"/>
      <c r="BD1651" s="16"/>
      <c r="BE1651" s="16"/>
      <c r="BF1651" s="16"/>
      <c r="BG1651" s="16"/>
      <c r="BH1651" s="16"/>
      <c r="BI1651" s="16"/>
      <c r="BJ1651" s="16"/>
      <c r="BK1651" s="16"/>
      <c r="BL1651" s="16"/>
      <c r="BM1651" s="16"/>
      <c r="BN1651" s="16"/>
      <c r="BO1651" s="16"/>
      <c r="BP1651" s="16"/>
      <c r="BQ1651" s="16"/>
      <c r="BR1651" s="16"/>
      <c r="BS1651" s="16"/>
      <c r="BT1651" s="16"/>
      <c r="BU1651" s="16"/>
      <c r="BV1651" s="16"/>
      <c r="BW1651" s="16"/>
      <c r="BX1651" s="16"/>
      <c r="BY1651" s="16"/>
      <c r="BZ1651" s="16"/>
      <c r="CA1651" s="16"/>
      <c r="CB1651" s="16"/>
      <c r="CC1651" s="16"/>
      <c r="CD1651" s="16"/>
      <c r="CE1651" s="16"/>
      <c r="CF1651" s="16"/>
      <c r="CG1651" s="16"/>
      <c r="CH1651" s="16"/>
      <c r="CI1651" s="16"/>
      <c r="CJ1651" s="16"/>
      <c r="CK1651" s="16"/>
      <c r="CL1651" s="16"/>
      <c r="CM1651" s="16"/>
      <c r="CN1651" s="16"/>
      <c r="CO1651" s="16"/>
      <c r="CP1651" s="16"/>
      <c r="CQ1651" s="16"/>
      <c r="CR1651" s="16"/>
      <c r="CS1651" s="16"/>
      <c r="CT1651" s="16"/>
      <c r="CU1651" s="16"/>
      <c r="CV1651" s="16"/>
      <c r="CW1651" s="16"/>
      <c r="CX1651" s="16"/>
      <c r="CY1651" s="16"/>
      <c r="CZ1651" s="16"/>
      <c r="DA1651" s="16"/>
      <c r="DB1651" s="16"/>
      <c r="DC1651" s="16"/>
      <c r="DD1651" s="16"/>
      <c r="DE1651" s="16"/>
      <c r="DF1651" s="16"/>
    </row>
    <row r="1652" spans="8:110" x14ac:dyDescent="0.3">
      <c r="H1652" s="4">
        <f t="shared" si="205"/>
        <v>0</v>
      </c>
      <c r="K1652" s="3"/>
      <c r="L1652" s="16"/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  <c r="Y1652" s="16"/>
      <c r="Z1652" s="16"/>
      <c r="AA1652" s="16"/>
      <c r="AB1652" s="16"/>
      <c r="AC1652" s="16"/>
      <c r="AD1652" s="16"/>
      <c r="AE1652" s="16"/>
      <c r="AF1652" s="16"/>
      <c r="AG1652" s="16"/>
      <c r="AH1652" s="16"/>
      <c r="AI1652" s="16"/>
      <c r="AJ1652" s="16"/>
      <c r="AK1652" s="16"/>
      <c r="AL1652" s="16"/>
      <c r="AM1652" s="16"/>
      <c r="AN1652" s="16"/>
      <c r="AO1652" s="16"/>
      <c r="AP1652" s="16"/>
      <c r="AQ1652" s="16"/>
      <c r="AR1652" s="16"/>
      <c r="AS1652" s="16"/>
      <c r="AT1652" s="16"/>
      <c r="AU1652" s="16"/>
      <c r="AV1652" s="16"/>
      <c r="AW1652" s="16"/>
      <c r="AX1652" s="16"/>
      <c r="AY1652" s="16"/>
      <c r="AZ1652" s="16"/>
      <c r="BA1652" s="16"/>
      <c r="BB1652" s="16"/>
      <c r="BC1652" s="16"/>
      <c r="BD1652" s="16"/>
      <c r="BE1652" s="16"/>
      <c r="BF1652" s="16"/>
      <c r="BG1652" s="16"/>
      <c r="BH1652" s="16"/>
      <c r="BI1652" s="16"/>
      <c r="BJ1652" s="16"/>
      <c r="BK1652" s="16"/>
      <c r="BL1652" s="16"/>
      <c r="BM1652" s="16"/>
      <c r="BN1652" s="16"/>
      <c r="BO1652" s="16"/>
      <c r="BP1652" s="16"/>
      <c r="BQ1652" s="16"/>
      <c r="BR1652" s="16"/>
      <c r="BS1652" s="16"/>
      <c r="BT1652" s="16"/>
      <c r="BU1652" s="16"/>
      <c r="BV1652" s="16"/>
      <c r="BW1652" s="16"/>
      <c r="BX1652" s="16"/>
      <c r="BY1652" s="16"/>
      <c r="BZ1652" s="16"/>
      <c r="CA1652" s="16"/>
      <c r="CB1652" s="16"/>
      <c r="CC1652" s="16"/>
      <c r="CD1652" s="16"/>
      <c r="CE1652" s="16"/>
      <c r="CF1652" s="16"/>
      <c r="CG1652" s="16"/>
      <c r="CH1652" s="16"/>
      <c r="CI1652" s="16"/>
      <c r="CJ1652" s="16"/>
      <c r="CK1652" s="16"/>
      <c r="CL1652" s="16"/>
      <c r="CM1652" s="16"/>
      <c r="CN1652" s="16"/>
      <c r="CO1652" s="16"/>
      <c r="CP1652" s="16"/>
      <c r="CQ1652" s="16"/>
      <c r="CR1652" s="16"/>
      <c r="CS1652" s="16"/>
      <c r="CT1652" s="16"/>
      <c r="CU1652" s="16"/>
      <c r="CV1652" s="16"/>
      <c r="CW1652" s="16"/>
      <c r="CX1652" s="16"/>
      <c r="CY1652" s="16"/>
      <c r="CZ1652" s="16"/>
      <c r="DA1652" s="16"/>
      <c r="DB1652" s="16"/>
      <c r="DC1652" s="16"/>
      <c r="DD1652" s="16"/>
      <c r="DE1652" s="16"/>
      <c r="DF1652" s="16"/>
    </row>
    <row r="1653" spans="8:110" x14ac:dyDescent="0.3">
      <c r="H1653" s="4">
        <f t="shared" si="205"/>
        <v>0</v>
      </c>
      <c r="K1653" s="3"/>
      <c r="L1653" s="16"/>
      <c r="M1653" s="16"/>
      <c r="N1653" s="16"/>
      <c r="O1653" s="16"/>
      <c r="P1653" s="16"/>
      <c r="Q1653" s="16"/>
      <c r="R1653" s="16"/>
      <c r="S1653" s="16"/>
      <c r="T1653" s="16"/>
      <c r="U1653" s="16"/>
      <c r="V1653" s="16"/>
      <c r="W1653" s="16"/>
      <c r="X1653" s="16"/>
      <c r="Y1653" s="16"/>
      <c r="Z1653" s="16"/>
      <c r="AA1653" s="16"/>
      <c r="AB1653" s="16"/>
      <c r="AC1653" s="16"/>
      <c r="AD1653" s="16"/>
      <c r="AE1653" s="16"/>
      <c r="AF1653" s="16"/>
      <c r="AG1653" s="16"/>
      <c r="AH1653" s="16"/>
      <c r="AI1653" s="16"/>
      <c r="AJ1653" s="16"/>
      <c r="AK1653" s="16"/>
      <c r="AL1653" s="16"/>
      <c r="AM1653" s="16"/>
      <c r="AN1653" s="16"/>
      <c r="AO1653" s="16"/>
      <c r="AP1653" s="16"/>
      <c r="AQ1653" s="16"/>
      <c r="AR1653" s="16"/>
      <c r="AS1653" s="16"/>
      <c r="AT1653" s="16"/>
      <c r="AU1653" s="16"/>
      <c r="AV1653" s="16"/>
      <c r="AW1653" s="16"/>
      <c r="AX1653" s="16"/>
      <c r="AY1653" s="16"/>
      <c r="AZ1653" s="16"/>
      <c r="BA1653" s="16"/>
      <c r="BB1653" s="16"/>
      <c r="BC1653" s="16"/>
      <c r="BD1653" s="16"/>
      <c r="BE1653" s="16"/>
      <c r="BF1653" s="16"/>
      <c r="BG1653" s="16"/>
      <c r="BH1653" s="16"/>
      <c r="BI1653" s="16"/>
      <c r="BJ1653" s="16"/>
      <c r="BK1653" s="16"/>
      <c r="BL1653" s="16"/>
      <c r="BM1653" s="16"/>
      <c r="BN1653" s="16"/>
      <c r="BO1653" s="16"/>
      <c r="BP1653" s="16"/>
      <c r="BQ1653" s="16"/>
      <c r="BR1653" s="16"/>
      <c r="BS1653" s="16"/>
      <c r="BT1653" s="16"/>
      <c r="BU1653" s="16"/>
      <c r="BV1653" s="16"/>
      <c r="BW1653" s="16"/>
      <c r="BX1653" s="16"/>
      <c r="BY1653" s="16"/>
      <c r="BZ1653" s="16"/>
      <c r="CA1653" s="16"/>
      <c r="CB1653" s="16"/>
      <c r="CC1653" s="16"/>
      <c r="CD1653" s="16"/>
      <c r="CE1653" s="16"/>
      <c r="CF1653" s="16"/>
      <c r="CG1653" s="16"/>
      <c r="CH1653" s="16"/>
      <c r="CI1653" s="16"/>
      <c r="CJ1653" s="16"/>
      <c r="CK1653" s="16"/>
      <c r="CL1653" s="16"/>
      <c r="CM1653" s="16"/>
      <c r="CN1653" s="16"/>
      <c r="CO1653" s="16"/>
      <c r="CP1653" s="16"/>
      <c r="CQ1653" s="16"/>
      <c r="CR1653" s="16"/>
      <c r="CS1653" s="16"/>
      <c r="CT1653" s="16"/>
      <c r="CU1653" s="16"/>
      <c r="CV1653" s="16"/>
      <c r="CW1653" s="16"/>
      <c r="CX1653" s="16"/>
      <c r="CY1653" s="16"/>
      <c r="CZ1653" s="16"/>
      <c r="DA1653" s="16"/>
      <c r="DB1653" s="16"/>
      <c r="DC1653" s="16"/>
      <c r="DD1653" s="16"/>
      <c r="DE1653" s="16"/>
      <c r="DF1653" s="16"/>
    </row>
    <row r="1654" spans="8:110" x14ac:dyDescent="0.3">
      <c r="H1654" s="4">
        <f t="shared" si="205"/>
        <v>0</v>
      </c>
      <c r="K1654" s="3"/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  <c r="Y1654" s="16"/>
      <c r="Z1654" s="16"/>
      <c r="AA1654" s="16"/>
      <c r="AB1654" s="16"/>
      <c r="AC1654" s="16"/>
      <c r="AD1654" s="16"/>
      <c r="AE1654" s="16"/>
      <c r="AF1654" s="16"/>
      <c r="AG1654" s="16"/>
      <c r="AH1654" s="16"/>
      <c r="AI1654" s="16"/>
      <c r="AJ1654" s="16"/>
      <c r="AK1654" s="16"/>
      <c r="AL1654" s="16"/>
      <c r="AM1654" s="16"/>
      <c r="AN1654" s="16"/>
      <c r="AO1654" s="16"/>
      <c r="AP1654" s="16"/>
      <c r="AQ1654" s="16"/>
      <c r="AR1654" s="16"/>
      <c r="AS1654" s="16"/>
      <c r="AT1654" s="16"/>
      <c r="AU1654" s="16"/>
      <c r="AV1654" s="16"/>
      <c r="AW1654" s="16"/>
      <c r="AX1654" s="16"/>
      <c r="AY1654" s="16"/>
      <c r="AZ1654" s="16"/>
      <c r="BA1654" s="16"/>
      <c r="BB1654" s="16"/>
      <c r="BC1654" s="16"/>
      <c r="BD1654" s="16"/>
      <c r="BE1654" s="16"/>
      <c r="BF1654" s="16"/>
      <c r="BG1654" s="16"/>
      <c r="BH1654" s="16"/>
      <c r="BI1654" s="16"/>
      <c r="BJ1654" s="16"/>
      <c r="BK1654" s="16"/>
      <c r="BL1654" s="16"/>
      <c r="BM1654" s="16"/>
      <c r="BN1654" s="16"/>
      <c r="BO1654" s="16"/>
      <c r="BP1654" s="16"/>
      <c r="BQ1654" s="16"/>
      <c r="BR1654" s="16"/>
      <c r="BS1654" s="16"/>
      <c r="BT1654" s="16"/>
      <c r="BU1654" s="16"/>
      <c r="BV1654" s="16"/>
      <c r="BW1654" s="16"/>
      <c r="BX1654" s="16"/>
      <c r="BY1654" s="16"/>
      <c r="BZ1654" s="16"/>
      <c r="CA1654" s="16"/>
      <c r="CB1654" s="16"/>
      <c r="CC1654" s="16"/>
      <c r="CD1654" s="16"/>
      <c r="CE1654" s="16"/>
      <c r="CF1654" s="16"/>
      <c r="CG1654" s="16"/>
      <c r="CH1654" s="16"/>
      <c r="CI1654" s="16"/>
      <c r="CJ1654" s="16"/>
      <c r="CK1654" s="16"/>
      <c r="CL1654" s="16"/>
      <c r="CM1654" s="16"/>
      <c r="CN1654" s="16"/>
      <c r="CO1654" s="16"/>
      <c r="CP1654" s="16"/>
      <c r="CQ1654" s="16"/>
      <c r="CR1654" s="16"/>
      <c r="CS1654" s="16"/>
      <c r="CT1654" s="16"/>
      <c r="CU1654" s="16"/>
      <c r="CV1654" s="16"/>
      <c r="CW1654" s="16"/>
      <c r="CX1654" s="16"/>
      <c r="CY1654" s="16"/>
      <c r="CZ1654" s="16"/>
      <c r="DA1654" s="16"/>
      <c r="DB1654" s="16"/>
      <c r="DC1654" s="16"/>
      <c r="DD1654" s="16"/>
      <c r="DE1654" s="16"/>
      <c r="DF1654" s="16"/>
    </row>
    <row r="1655" spans="8:110" x14ac:dyDescent="0.3">
      <c r="H1655" s="4">
        <f t="shared" si="205"/>
        <v>0</v>
      </c>
      <c r="K1655" s="3"/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  <c r="Y1655" s="16"/>
      <c r="Z1655" s="16"/>
      <c r="AA1655" s="16"/>
      <c r="AB1655" s="16"/>
      <c r="AC1655" s="16"/>
      <c r="AD1655" s="16"/>
      <c r="AE1655" s="16"/>
      <c r="AF1655" s="16"/>
      <c r="AG1655" s="16"/>
      <c r="AH1655" s="16"/>
      <c r="AI1655" s="16"/>
      <c r="AJ1655" s="16"/>
      <c r="AK1655" s="16"/>
      <c r="AL1655" s="16"/>
      <c r="AM1655" s="16"/>
      <c r="AN1655" s="16"/>
      <c r="AO1655" s="16"/>
      <c r="AP1655" s="16"/>
      <c r="AQ1655" s="16"/>
      <c r="AR1655" s="16"/>
      <c r="AS1655" s="16"/>
      <c r="AT1655" s="16"/>
      <c r="AU1655" s="16"/>
      <c r="AV1655" s="16"/>
      <c r="AW1655" s="16"/>
      <c r="AX1655" s="16"/>
      <c r="AY1655" s="16"/>
      <c r="AZ1655" s="16"/>
      <c r="BA1655" s="16"/>
      <c r="BB1655" s="16"/>
      <c r="BC1655" s="16"/>
      <c r="BD1655" s="16"/>
      <c r="BE1655" s="16"/>
      <c r="BF1655" s="16"/>
      <c r="BG1655" s="16"/>
      <c r="BH1655" s="16"/>
      <c r="BI1655" s="16"/>
      <c r="BJ1655" s="16"/>
      <c r="BK1655" s="16"/>
      <c r="BL1655" s="16"/>
      <c r="BM1655" s="16"/>
      <c r="BN1655" s="16"/>
      <c r="BO1655" s="16"/>
      <c r="BP1655" s="16"/>
      <c r="BQ1655" s="16"/>
      <c r="BR1655" s="16"/>
      <c r="BS1655" s="16"/>
      <c r="BT1655" s="16"/>
      <c r="BU1655" s="16"/>
      <c r="BV1655" s="16"/>
      <c r="BW1655" s="16"/>
      <c r="BX1655" s="16"/>
      <c r="BY1655" s="16"/>
      <c r="BZ1655" s="16"/>
      <c r="CA1655" s="16"/>
      <c r="CB1655" s="16"/>
      <c r="CC1655" s="16"/>
      <c r="CD1655" s="16"/>
      <c r="CE1655" s="16"/>
      <c r="CF1655" s="16"/>
      <c r="CG1655" s="16"/>
      <c r="CH1655" s="16"/>
      <c r="CI1655" s="16"/>
      <c r="CJ1655" s="16"/>
      <c r="CK1655" s="16"/>
      <c r="CL1655" s="16"/>
      <c r="CM1655" s="16"/>
      <c r="CN1655" s="16"/>
      <c r="CO1655" s="16"/>
      <c r="CP1655" s="16"/>
      <c r="CQ1655" s="16"/>
      <c r="CR1655" s="16"/>
      <c r="CS1655" s="16"/>
      <c r="CT1655" s="16"/>
      <c r="CU1655" s="16"/>
      <c r="CV1655" s="16"/>
      <c r="CW1655" s="16"/>
      <c r="CX1655" s="16"/>
      <c r="CY1655" s="16"/>
      <c r="CZ1655" s="16"/>
      <c r="DA1655" s="16"/>
      <c r="DB1655" s="16"/>
      <c r="DC1655" s="16"/>
      <c r="DD1655" s="16"/>
      <c r="DE1655" s="16"/>
      <c r="DF1655" s="16"/>
    </row>
    <row r="1656" spans="8:110" x14ac:dyDescent="0.3">
      <c r="H1656" s="4">
        <f t="shared" si="205"/>
        <v>0</v>
      </c>
      <c r="K1656" s="3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  <c r="X1656" s="16"/>
      <c r="Y1656" s="16"/>
      <c r="Z1656" s="16"/>
      <c r="AA1656" s="16"/>
      <c r="AB1656" s="16"/>
      <c r="AC1656" s="16"/>
      <c r="AD1656" s="16"/>
      <c r="AE1656" s="16"/>
      <c r="AF1656" s="16"/>
      <c r="AG1656" s="16"/>
      <c r="AH1656" s="16"/>
      <c r="AI1656" s="16"/>
      <c r="AJ1656" s="16"/>
      <c r="AK1656" s="16"/>
      <c r="AL1656" s="16"/>
      <c r="AM1656" s="16"/>
      <c r="AN1656" s="16"/>
      <c r="AO1656" s="16"/>
      <c r="AP1656" s="16"/>
      <c r="AQ1656" s="16"/>
      <c r="AR1656" s="16"/>
      <c r="AS1656" s="16"/>
      <c r="AT1656" s="16"/>
      <c r="AU1656" s="16"/>
      <c r="AV1656" s="16"/>
      <c r="AW1656" s="16"/>
      <c r="AX1656" s="16"/>
      <c r="AY1656" s="16"/>
      <c r="AZ1656" s="16"/>
      <c r="BA1656" s="16"/>
      <c r="BB1656" s="16"/>
      <c r="BC1656" s="16"/>
      <c r="BD1656" s="16"/>
      <c r="BE1656" s="16"/>
      <c r="BF1656" s="16"/>
      <c r="BG1656" s="16"/>
      <c r="BH1656" s="16"/>
      <c r="BI1656" s="16"/>
      <c r="BJ1656" s="16"/>
      <c r="BK1656" s="16"/>
      <c r="BL1656" s="16"/>
      <c r="BM1656" s="16"/>
      <c r="BN1656" s="16"/>
      <c r="BO1656" s="16"/>
      <c r="BP1656" s="16"/>
      <c r="BQ1656" s="16"/>
      <c r="BR1656" s="16"/>
      <c r="BS1656" s="16"/>
      <c r="BT1656" s="16"/>
      <c r="BU1656" s="16"/>
      <c r="BV1656" s="16"/>
      <c r="BW1656" s="16"/>
      <c r="BX1656" s="16"/>
      <c r="BY1656" s="16"/>
      <c r="BZ1656" s="16"/>
      <c r="CA1656" s="16"/>
      <c r="CB1656" s="16"/>
      <c r="CC1656" s="16"/>
      <c r="CD1656" s="16"/>
      <c r="CE1656" s="16"/>
      <c r="CF1656" s="16"/>
      <c r="CG1656" s="16"/>
      <c r="CH1656" s="16"/>
      <c r="CI1656" s="16"/>
      <c r="CJ1656" s="16"/>
      <c r="CK1656" s="16"/>
      <c r="CL1656" s="16"/>
      <c r="CM1656" s="16"/>
      <c r="CN1656" s="16"/>
      <c r="CO1656" s="16"/>
      <c r="CP1656" s="16"/>
      <c r="CQ1656" s="16"/>
      <c r="CR1656" s="16"/>
      <c r="CS1656" s="16"/>
      <c r="CT1656" s="16"/>
      <c r="CU1656" s="16"/>
      <c r="CV1656" s="16"/>
      <c r="CW1656" s="16"/>
      <c r="CX1656" s="16"/>
      <c r="CY1656" s="16"/>
      <c r="CZ1656" s="16"/>
      <c r="DA1656" s="16"/>
      <c r="DB1656" s="16"/>
      <c r="DC1656" s="16"/>
      <c r="DD1656" s="16"/>
      <c r="DE1656" s="16"/>
      <c r="DF1656" s="16"/>
    </row>
    <row r="1657" spans="8:110" x14ac:dyDescent="0.3">
      <c r="H1657" s="4">
        <f t="shared" si="205"/>
        <v>0</v>
      </c>
      <c r="K1657" s="3"/>
      <c r="L1657" s="16"/>
      <c r="M1657" s="16"/>
      <c r="N1657" s="16"/>
      <c r="O1657" s="16"/>
      <c r="P1657" s="16"/>
      <c r="Q1657" s="16"/>
      <c r="R1657" s="16"/>
      <c r="S1657" s="16"/>
      <c r="T1657" s="16"/>
      <c r="U1657" s="16"/>
      <c r="V1657" s="16"/>
      <c r="W1657" s="16"/>
      <c r="X1657" s="16"/>
      <c r="Y1657" s="16"/>
      <c r="Z1657" s="16"/>
      <c r="AA1657" s="16"/>
      <c r="AB1657" s="16"/>
      <c r="AC1657" s="16"/>
      <c r="AD1657" s="16"/>
      <c r="AE1657" s="16"/>
      <c r="AF1657" s="16"/>
      <c r="AG1657" s="16"/>
      <c r="AH1657" s="16"/>
      <c r="AI1657" s="16"/>
      <c r="AJ1657" s="16"/>
      <c r="AK1657" s="16"/>
      <c r="AL1657" s="16"/>
      <c r="AM1657" s="16"/>
      <c r="AN1657" s="16"/>
      <c r="AO1657" s="16"/>
      <c r="AP1657" s="16"/>
      <c r="AQ1657" s="16"/>
      <c r="AR1657" s="16"/>
      <c r="AS1657" s="16"/>
      <c r="AT1657" s="16"/>
      <c r="AU1657" s="16"/>
      <c r="AV1657" s="16"/>
      <c r="AW1657" s="16"/>
      <c r="AX1657" s="16"/>
      <c r="AY1657" s="16"/>
      <c r="AZ1657" s="16"/>
      <c r="BA1657" s="16"/>
      <c r="BB1657" s="16"/>
      <c r="BC1657" s="16"/>
      <c r="BD1657" s="16"/>
      <c r="BE1657" s="16"/>
      <c r="BF1657" s="16"/>
      <c r="BG1657" s="16"/>
      <c r="BH1657" s="16"/>
      <c r="BI1657" s="16"/>
      <c r="BJ1657" s="16"/>
      <c r="BK1657" s="16"/>
      <c r="BL1657" s="16"/>
      <c r="BM1657" s="16"/>
      <c r="BN1657" s="16"/>
      <c r="BO1657" s="16"/>
      <c r="BP1657" s="16"/>
      <c r="BQ1657" s="16"/>
      <c r="BR1657" s="16"/>
      <c r="BS1657" s="16"/>
      <c r="BT1657" s="16"/>
      <c r="BU1657" s="16"/>
      <c r="BV1657" s="16"/>
      <c r="BW1657" s="16"/>
      <c r="BX1657" s="16"/>
      <c r="BY1657" s="16"/>
      <c r="BZ1657" s="16"/>
      <c r="CA1657" s="16"/>
      <c r="CB1657" s="16"/>
      <c r="CC1657" s="16"/>
      <c r="CD1657" s="16"/>
      <c r="CE1657" s="16"/>
      <c r="CF1657" s="16"/>
      <c r="CG1657" s="16"/>
      <c r="CH1657" s="16"/>
      <c r="CI1657" s="16"/>
      <c r="CJ1657" s="16"/>
      <c r="CK1657" s="16"/>
      <c r="CL1657" s="16"/>
      <c r="CM1657" s="16"/>
      <c r="CN1657" s="16"/>
      <c r="CO1657" s="16"/>
      <c r="CP1657" s="16"/>
      <c r="CQ1657" s="16"/>
      <c r="CR1657" s="16"/>
      <c r="CS1657" s="16"/>
      <c r="CT1657" s="16"/>
      <c r="CU1657" s="16"/>
      <c r="CV1657" s="16"/>
      <c r="CW1657" s="16"/>
      <c r="CX1657" s="16"/>
      <c r="CY1657" s="16"/>
      <c r="CZ1657" s="16"/>
      <c r="DA1657" s="16"/>
      <c r="DB1657" s="16"/>
      <c r="DC1657" s="16"/>
      <c r="DD1657" s="16"/>
      <c r="DE1657" s="16"/>
      <c r="DF1657" s="16"/>
    </row>
    <row r="1658" spans="8:110" x14ac:dyDescent="0.3">
      <c r="H1658" s="4">
        <f t="shared" si="205"/>
        <v>0</v>
      </c>
      <c r="K1658" s="3"/>
      <c r="L1658" s="16"/>
      <c r="M1658" s="16"/>
      <c r="N1658" s="16"/>
      <c r="O1658" s="16"/>
      <c r="P1658" s="16"/>
      <c r="Q1658" s="16"/>
      <c r="R1658" s="16"/>
      <c r="S1658" s="16"/>
      <c r="T1658" s="16"/>
      <c r="U1658" s="16"/>
      <c r="V1658" s="16"/>
      <c r="W1658" s="16"/>
      <c r="X1658" s="16"/>
      <c r="Y1658" s="16"/>
      <c r="Z1658" s="16"/>
      <c r="AA1658" s="16"/>
      <c r="AB1658" s="16"/>
      <c r="AC1658" s="16"/>
      <c r="AD1658" s="16"/>
      <c r="AE1658" s="16"/>
      <c r="AF1658" s="16"/>
      <c r="AG1658" s="16"/>
      <c r="AH1658" s="16"/>
      <c r="AI1658" s="16"/>
      <c r="AJ1658" s="16"/>
      <c r="AK1658" s="16"/>
      <c r="AL1658" s="16"/>
      <c r="AM1658" s="16"/>
      <c r="AN1658" s="16"/>
      <c r="AO1658" s="16"/>
      <c r="AP1658" s="16"/>
      <c r="AQ1658" s="16"/>
      <c r="AR1658" s="16"/>
      <c r="AS1658" s="16"/>
      <c r="AT1658" s="16"/>
      <c r="AU1658" s="16"/>
      <c r="AV1658" s="16"/>
      <c r="AW1658" s="16"/>
      <c r="AX1658" s="16"/>
      <c r="AY1658" s="16"/>
      <c r="AZ1658" s="16"/>
      <c r="BA1658" s="16"/>
      <c r="BB1658" s="16"/>
      <c r="BC1658" s="16"/>
      <c r="BD1658" s="16"/>
      <c r="BE1658" s="16"/>
      <c r="BF1658" s="16"/>
      <c r="BG1658" s="16"/>
      <c r="BH1658" s="16"/>
      <c r="BI1658" s="16"/>
      <c r="BJ1658" s="16"/>
      <c r="BK1658" s="16"/>
      <c r="BL1658" s="16"/>
      <c r="BM1658" s="16"/>
      <c r="BN1658" s="16"/>
      <c r="BO1658" s="16"/>
      <c r="BP1658" s="16"/>
      <c r="BQ1658" s="16"/>
      <c r="BR1658" s="16"/>
      <c r="BS1658" s="16"/>
      <c r="BT1658" s="16"/>
      <c r="BU1658" s="16"/>
      <c r="BV1658" s="16"/>
      <c r="BW1658" s="16"/>
      <c r="BX1658" s="16"/>
      <c r="BY1658" s="16"/>
      <c r="BZ1658" s="16"/>
      <c r="CA1658" s="16"/>
      <c r="CB1658" s="16"/>
      <c r="CC1658" s="16"/>
      <c r="CD1658" s="16"/>
      <c r="CE1658" s="16"/>
      <c r="CF1658" s="16"/>
      <c r="CG1658" s="16"/>
      <c r="CH1658" s="16"/>
      <c r="CI1658" s="16"/>
      <c r="CJ1658" s="16"/>
      <c r="CK1658" s="16"/>
      <c r="CL1658" s="16"/>
      <c r="CM1658" s="16"/>
      <c r="CN1658" s="16"/>
      <c r="CO1658" s="16"/>
      <c r="CP1658" s="16"/>
      <c r="CQ1658" s="16"/>
      <c r="CR1658" s="16"/>
      <c r="CS1658" s="16"/>
      <c r="CT1658" s="16"/>
      <c r="CU1658" s="16"/>
      <c r="CV1658" s="16"/>
      <c r="CW1658" s="16"/>
      <c r="CX1658" s="16"/>
      <c r="CY1658" s="16"/>
      <c r="CZ1658" s="16"/>
      <c r="DA1658" s="16"/>
      <c r="DB1658" s="16"/>
      <c r="DC1658" s="16"/>
      <c r="DD1658" s="16"/>
      <c r="DE1658" s="16"/>
      <c r="DF1658" s="16"/>
    </row>
    <row r="1659" spans="8:110" x14ac:dyDescent="0.3">
      <c r="H1659" s="4">
        <f t="shared" si="205"/>
        <v>0</v>
      </c>
      <c r="K1659" s="3"/>
      <c r="L1659" s="16"/>
      <c r="M1659" s="16"/>
      <c r="N1659" s="16"/>
      <c r="O1659" s="16"/>
      <c r="P1659" s="16"/>
      <c r="Q1659" s="16"/>
      <c r="R1659" s="16"/>
      <c r="S1659" s="16"/>
      <c r="T1659" s="16"/>
      <c r="U1659" s="16"/>
      <c r="V1659" s="16"/>
      <c r="W1659" s="16"/>
      <c r="X1659" s="16"/>
      <c r="Y1659" s="16"/>
      <c r="Z1659" s="16"/>
      <c r="AA1659" s="16"/>
      <c r="AB1659" s="16"/>
      <c r="AC1659" s="16"/>
      <c r="AD1659" s="16"/>
      <c r="AE1659" s="16"/>
      <c r="AF1659" s="16"/>
      <c r="AG1659" s="16"/>
      <c r="AH1659" s="16"/>
      <c r="AI1659" s="16"/>
      <c r="AJ1659" s="16"/>
      <c r="AK1659" s="16"/>
      <c r="AL1659" s="16"/>
      <c r="AM1659" s="16"/>
      <c r="AN1659" s="16"/>
      <c r="AO1659" s="16"/>
      <c r="AP1659" s="16"/>
      <c r="AQ1659" s="16"/>
      <c r="AR1659" s="16"/>
      <c r="AS1659" s="16"/>
      <c r="AT1659" s="16"/>
      <c r="AU1659" s="16"/>
      <c r="AV1659" s="16"/>
      <c r="AW1659" s="16"/>
      <c r="AX1659" s="16"/>
      <c r="AY1659" s="16"/>
      <c r="AZ1659" s="16"/>
      <c r="BA1659" s="16"/>
      <c r="BB1659" s="16"/>
      <c r="BC1659" s="16"/>
      <c r="BD1659" s="16"/>
      <c r="BE1659" s="16"/>
      <c r="BF1659" s="16"/>
      <c r="BG1659" s="16"/>
      <c r="BH1659" s="16"/>
      <c r="BI1659" s="16"/>
      <c r="BJ1659" s="16"/>
      <c r="BK1659" s="16"/>
      <c r="BL1659" s="16"/>
      <c r="BM1659" s="16"/>
      <c r="BN1659" s="16"/>
      <c r="BO1659" s="16"/>
      <c r="BP1659" s="16"/>
      <c r="BQ1659" s="16"/>
      <c r="BR1659" s="16"/>
      <c r="BS1659" s="16"/>
      <c r="BT1659" s="16"/>
      <c r="BU1659" s="16"/>
      <c r="BV1659" s="16"/>
      <c r="BW1659" s="16"/>
      <c r="BX1659" s="16"/>
      <c r="BY1659" s="16"/>
      <c r="BZ1659" s="16"/>
      <c r="CA1659" s="16"/>
      <c r="CB1659" s="16"/>
      <c r="CC1659" s="16"/>
      <c r="CD1659" s="16"/>
      <c r="CE1659" s="16"/>
      <c r="CF1659" s="16"/>
      <c r="CG1659" s="16"/>
      <c r="CH1659" s="16"/>
      <c r="CI1659" s="16"/>
      <c r="CJ1659" s="16"/>
      <c r="CK1659" s="16"/>
      <c r="CL1659" s="16"/>
      <c r="CM1659" s="16"/>
      <c r="CN1659" s="16"/>
      <c r="CO1659" s="16"/>
      <c r="CP1659" s="16"/>
      <c r="CQ1659" s="16"/>
      <c r="CR1659" s="16"/>
      <c r="CS1659" s="16"/>
      <c r="CT1659" s="16"/>
      <c r="CU1659" s="16"/>
      <c r="CV1659" s="16"/>
      <c r="CW1659" s="16"/>
      <c r="CX1659" s="16"/>
      <c r="CY1659" s="16"/>
      <c r="CZ1659" s="16"/>
      <c r="DA1659" s="16"/>
      <c r="DB1659" s="16"/>
      <c r="DC1659" s="16"/>
      <c r="DD1659" s="16"/>
      <c r="DE1659" s="16"/>
      <c r="DF1659" s="16"/>
    </row>
    <row r="1660" spans="8:110" x14ac:dyDescent="0.3">
      <c r="H1660" s="4">
        <f t="shared" si="205"/>
        <v>0</v>
      </c>
      <c r="K1660" s="3"/>
      <c r="L1660" s="16"/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  <c r="Y1660" s="16"/>
      <c r="Z1660" s="16"/>
      <c r="AA1660" s="16"/>
      <c r="AB1660" s="16"/>
      <c r="AC1660" s="16"/>
      <c r="AD1660" s="16"/>
      <c r="AE1660" s="16"/>
      <c r="AF1660" s="16"/>
      <c r="AG1660" s="16"/>
      <c r="AH1660" s="16"/>
      <c r="AI1660" s="16"/>
      <c r="AJ1660" s="16"/>
      <c r="AK1660" s="16"/>
      <c r="AL1660" s="16"/>
      <c r="AM1660" s="16"/>
      <c r="AN1660" s="16"/>
      <c r="AO1660" s="16"/>
      <c r="AP1660" s="16"/>
      <c r="AQ1660" s="16"/>
      <c r="AR1660" s="16"/>
      <c r="AS1660" s="16"/>
      <c r="AT1660" s="16"/>
      <c r="AU1660" s="16"/>
      <c r="AV1660" s="16"/>
      <c r="AW1660" s="16"/>
      <c r="AX1660" s="16"/>
      <c r="AY1660" s="16"/>
      <c r="AZ1660" s="16"/>
      <c r="BA1660" s="16"/>
      <c r="BB1660" s="16"/>
      <c r="BC1660" s="16"/>
      <c r="BD1660" s="16"/>
      <c r="BE1660" s="16"/>
      <c r="BF1660" s="16"/>
      <c r="BG1660" s="16"/>
      <c r="BH1660" s="16"/>
      <c r="BI1660" s="16"/>
      <c r="BJ1660" s="16"/>
      <c r="BK1660" s="16"/>
      <c r="BL1660" s="16"/>
      <c r="BM1660" s="16"/>
      <c r="BN1660" s="16"/>
      <c r="BO1660" s="16"/>
      <c r="BP1660" s="16"/>
      <c r="BQ1660" s="16"/>
      <c r="BR1660" s="16"/>
      <c r="BS1660" s="16"/>
      <c r="BT1660" s="16"/>
      <c r="BU1660" s="16"/>
      <c r="BV1660" s="16"/>
      <c r="BW1660" s="16"/>
      <c r="BX1660" s="16"/>
      <c r="BY1660" s="16"/>
      <c r="BZ1660" s="16"/>
      <c r="CA1660" s="16"/>
      <c r="CB1660" s="16"/>
      <c r="CC1660" s="16"/>
      <c r="CD1660" s="16"/>
      <c r="CE1660" s="16"/>
      <c r="CF1660" s="16"/>
      <c r="CG1660" s="16"/>
      <c r="CH1660" s="16"/>
      <c r="CI1660" s="16"/>
      <c r="CJ1660" s="16"/>
      <c r="CK1660" s="16"/>
      <c r="CL1660" s="16"/>
      <c r="CM1660" s="16"/>
      <c r="CN1660" s="16"/>
      <c r="CO1660" s="16"/>
      <c r="CP1660" s="16"/>
      <c r="CQ1660" s="16"/>
      <c r="CR1660" s="16"/>
      <c r="CS1660" s="16"/>
      <c r="CT1660" s="16"/>
      <c r="CU1660" s="16"/>
      <c r="CV1660" s="16"/>
      <c r="CW1660" s="16"/>
      <c r="CX1660" s="16"/>
      <c r="CY1660" s="16"/>
      <c r="CZ1660" s="16"/>
      <c r="DA1660" s="16"/>
      <c r="DB1660" s="16"/>
      <c r="DC1660" s="16"/>
      <c r="DD1660" s="16"/>
      <c r="DE1660" s="16"/>
      <c r="DF1660" s="16"/>
    </row>
    <row r="1661" spans="8:110" x14ac:dyDescent="0.3">
      <c r="H1661" s="4">
        <f t="shared" si="205"/>
        <v>0</v>
      </c>
      <c r="K1661" s="3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16"/>
      <c r="AA1661" s="16"/>
      <c r="AB1661" s="16"/>
      <c r="AC1661" s="16"/>
      <c r="AD1661" s="16"/>
      <c r="AE1661" s="16"/>
      <c r="AF1661" s="16"/>
      <c r="AG1661" s="16"/>
      <c r="AH1661" s="16"/>
      <c r="AI1661" s="16"/>
      <c r="AJ1661" s="16"/>
      <c r="AK1661" s="16"/>
      <c r="AL1661" s="16"/>
      <c r="AM1661" s="16"/>
      <c r="AN1661" s="16"/>
      <c r="AO1661" s="16"/>
      <c r="AP1661" s="16"/>
      <c r="AQ1661" s="16"/>
      <c r="AR1661" s="16"/>
      <c r="AS1661" s="16"/>
      <c r="AT1661" s="16"/>
      <c r="AU1661" s="16"/>
      <c r="AV1661" s="16"/>
      <c r="AW1661" s="16"/>
      <c r="AX1661" s="16"/>
      <c r="AY1661" s="16"/>
      <c r="AZ1661" s="16"/>
      <c r="BA1661" s="16"/>
      <c r="BB1661" s="16"/>
      <c r="BC1661" s="16"/>
      <c r="BD1661" s="16"/>
      <c r="BE1661" s="16"/>
      <c r="BF1661" s="16"/>
      <c r="BG1661" s="16"/>
      <c r="BH1661" s="16"/>
      <c r="BI1661" s="16"/>
      <c r="BJ1661" s="16"/>
      <c r="BK1661" s="16"/>
      <c r="BL1661" s="16"/>
      <c r="BM1661" s="16"/>
      <c r="BN1661" s="16"/>
      <c r="BO1661" s="16"/>
      <c r="BP1661" s="16"/>
      <c r="BQ1661" s="16"/>
      <c r="BR1661" s="16"/>
      <c r="BS1661" s="16"/>
      <c r="BT1661" s="16"/>
      <c r="BU1661" s="16"/>
      <c r="BV1661" s="16"/>
      <c r="BW1661" s="16"/>
      <c r="BX1661" s="16"/>
      <c r="BY1661" s="16"/>
      <c r="BZ1661" s="16"/>
      <c r="CA1661" s="16"/>
      <c r="CB1661" s="16"/>
      <c r="CC1661" s="16"/>
      <c r="CD1661" s="16"/>
      <c r="CE1661" s="16"/>
      <c r="CF1661" s="16"/>
      <c r="CG1661" s="16"/>
      <c r="CH1661" s="16"/>
      <c r="CI1661" s="16"/>
      <c r="CJ1661" s="16"/>
      <c r="CK1661" s="16"/>
      <c r="CL1661" s="16"/>
      <c r="CM1661" s="16"/>
      <c r="CN1661" s="16"/>
      <c r="CO1661" s="16"/>
      <c r="CP1661" s="16"/>
      <c r="CQ1661" s="16"/>
      <c r="CR1661" s="16"/>
      <c r="CS1661" s="16"/>
      <c r="CT1661" s="16"/>
      <c r="CU1661" s="16"/>
      <c r="CV1661" s="16"/>
      <c r="CW1661" s="16"/>
      <c r="CX1661" s="16"/>
      <c r="CY1661" s="16"/>
      <c r="CZ1661" s="16"/>
      <c r="DA1661" s="16"/>
      <c r="DB1661" s="16"/>
      <c r="DC1661" s="16"/>
      <c r="DD1661" s="16"/>
      <c r="DE1661" s="16"/>
      <c r="DF1661" s="16"/>
    </row>
    <row r="1662" spans="8:110" x14ac:dyDescent="0.3">
      <c r="H1662" s="4">
        <f t="shared" ref="H1662:H1725" si="206">D1662-C1662</f>
        <v>0</v>
      </c>
      <c r="K1662" s="3"/>
      <c r="L1662" s="16"/>
      <c r="M1662" s="16"/>
      <c r="N1662" s="16"/>
      <c r="O1662" s="16"/>
      <c r="P1662" s="16"/>
      <c r="Q1662" s="16"/>
      <c r="R1662" s="16"/>
      <c r="S1662" s="16"/>
      <c r="T1662" s="16"/>
      <c r="U1662" s="16"/>
      <c r="V1662" s="16"/>
      <c r="W1662" s="16"/>
      <c r="X1662" s="16"/>
      <c r="Y1662" s="16"/>
      <c r="Z1662" s="16"/>
      <c r="AA1662" s="16"/>
      <c r="AB1662" s="16"/>
      <c r="AC1662" s="16"/>
      <c r="AD1662" s="16"/>
      <c r="AE1662" s="16"/>
      <c r="AF1662" s="16"/>
      <c r="AG1662" s="16"/>
      <c r="AH1662" s="16"/>
      <c r="AI1662" s="16"/>
      <c r="AJ1662" s="16"/>
      <c r="AK1662" s="16"/>
      <c r="AL1662" s="16"/>
      <c r="AM1662" s="16"/>
      <c r="AN1662" s="16"/>
      <c r="AO1662" s="16"/>
      <c r="AP1662" s="16"/>
      <c r="AQ1662" s="16"/>
      <c r="AR1662" s="16"/>
      <c r="AS1662" s="16"/>
      <c r="AT1662" s="16"/>
      <c r="AU1662" s="16"/>
      <c r="AV1662" s="16"/>
      <c r="AW1662" s="16"/>
      <c r="AX1662" s="16"/>
      <c r="AY1662" s="16"/>
      <c r="AZ1662" s="16"/>
      <c r="BA1662" s="16"/>
      <c r="BB1662" s="16"/>
      <c r="BC1662" s="16"/>
      <c r="BD1662" s="16"/>
      <c r="BE1662" s="16"/>
      <c r="BF1662" s="16"/>
      <c r="BG1662" s="16"/>
      <c r="BH1662" s="16"/>
      <c r="BI1662" s="16"/>
      <c r="BJ1662" s="16"/>
      <c r="BK1662" s="16"/>
      <c r="BL1662" s="16"/>
      <c r="BM1662" s="16"/>
      <c r="BN1662" s="16"/>
      <c r="BO1662" s="16"/>
      <c r="BP1662" s="16"/>
      <c r="BQ1662" s="16"/>
      <c r="BR1662" s="16"/>
      <c r="BS1662" s="16"/>
      <c r="BT1662" s="16"/>
      <c r="BU1662" s="16"/>
      <c r="BV1662" s="16"/>
      <c r="BW1662" s="16"/>
      <c r="BX1662" s="16"/>
      <c r="BY1662" s="16"/>
      <c r="BZ1662" s="16"/>
      <c r="CA1662" s="16"/>
      <c r="CB1662" s="16"/>
      <c r="CC1662" s="16"/>
      <c r="CD1662" s="16"/>
      <c r="CE1662" s="16"/>
      <c r="CF1662" s="16"/>
      <c r="CG1662" s="16"/>
      <c r="CH1662" s="16"/>
      <c r="CI1662" s="16"/>
      <c r="CJ1662" s="16"/>
      <c r="CK1662" s="16"/>
      <c r="CL1662" s="16"/>
      <c r="CM1662" s="16"/>
      <c r="CN1662" s="16"/>
      <c r="CO1662" s="16"/>
      <c r="CP1662" s="16"/>
      <c r="CQ1662" s="16"/>
      <c r="CR1662" s="16"/>
      <c r="CS1662" s="16"/>
      <c r="CT1662" s="16"/>
      <c r="CU1662" s="16"/>
      <c r="CV1662" s="16"/>
      <c r="CW1662" s="16"/>
      <c r="CX1662" s="16"/>
      <c r="CY1662" s="16"/>
      <c r="CZ1662" s="16"/>
      <c r="DA1662" s="16"/>
      <c r="DB1662" s="16"/>
      <c r="DC1662" s="16"/>
      <c r="DD1662" s="16"/>
      <c r="DE1662" s="16"/>
      <c r="DF1662" s="16"/>
    </row>
    <row r="1663" spans="8:110" x14ac:dyDescent="0.3">
      <c r="H1663" s="4">
        <f t="shared" si="206"/>
        <v>0</v>
      </c>
      <c r="K1663" s="3"/>
      <c r="L1663" s="16"/>
      <c r="M1663" s="16"/>
      <c r="N1663" s="16"/>
      <c r="O1663" s="16"/>
      <c r="P1663" s="16"/>
      <c r="Q1663" s="16"/>
      <c r="R1663" s="16"/>
      <c r="S1663" s="16"/>
      <c r="T1663" s="16"/>
      <c r="U1663" s="16"/>
      <c r="V1663" s="16"/>
      <c r="W1663" s="16"/>
      <c r="X1663" s="16"/>
      <c r="Y1663" s="16"/>
      <c r="Z1663" s="16"/>
      <c r="AA1663" s="16"/>
      <c r="AB1663" s="16"/>
      <c r="AC1663" s="16"/>
      <c r="AD1663" s="16"/>
      <c r="AE1663" s="16"/>
      <c r="AF1663" s="16"/>
      <c r="AG1663" s="16"/>
      <c r="AH1663" s="16"/>
      <c r="AI1663" s="16"/>
      <c r="AJ1663" s="16"/>
      <c r="AK1663" s="16"/>
      <c r="AL1663" s="16"/>
      <c r="AM1663" s="16"/>
      <c r="AN1663" s="16"/>
      <c r="AO1663" s="16"/>
      <c r="AP1663" s="16"/>
      <c r="AQ1663" s="16"/>
      <c r="AR1663" s="16"/>
      <c r="AS1663" s="16"/>
      <c r="AT1663" s="16"/>
      <c r="AU1663" s="16"/>
      <c r="AV1663" s="16"/>
      <c r="AW1663" s="16"/>
      <c r="AX1663" s="16"/>
      <c r="AY1663" s="16"/>
      <c r="AZ1663" s="16"/>
      <c r="BA1663" s="16"/>
      <c r="BB1663" s="16"/>
      <c r="BC1663" s="16"/>
      <c r="BD1663" s="16"/>
      <c r="BE1663" s="16"/>
      <c r="BF1663" s="16"/>
      <c r="BG1663" s="16"/>
      <c r="BH1663" s="16"/>
      <c r="BI1663" s="16"/>
      <c r="BJ1663" s="16"/>
      <c r="BK1663" s="16"/>
      <c r="BL1663" s="16"/>
      <c r="BM1663" s="16"/>
      <c r="BN1663" s="16"/>
      <c r="BO1663" s="16"/>
      <c r="BP1663" s="16"/>
      <c r="BQ1663" s="16"/>
      <c r="BR1663" s="16"/>
      <c r="BS1663" s="16"/>
      <c r="BT1663" s="16"/>
      <c r="BU1663" s="16"/>
      <c r="BV1663" s="16"/>
      <c r="BW1663" s="16"/>
      <c r="BX1663" s="16"/>
      <c r="BY1663" s="16"/>
      <c r="BZ1663" s="16"/>
      <c r="CA1663" s="16"/>
      <c r="CB1663" s="16"/>
      <c r="CC1663" s="16"/>
      <c r="CD1663" s="16"/>
      <c r="CE1663" s="16"/>
      <c r="CF1663" s="16"/>
      <c r="CG1663" s="16"/>
      <c r="CH1663" s="16"/>
      <c r="CI1663" s="16"/>
      <c r="CJ1663" s="16"/>
      <c r="CK1663" s="16"/>
      <c r="CL1663" s="16"/>
      <c r="CM1663" s="16"/>
      <c r="CN1663" s="16"/>
      <c r="CO1663" s="16"/>
      <c r="CP1663" s="16"/>
      <c r="CQ1663" s="16"/>
      <c r="CR1663" s="16"/>
      <c r="CS1663" s="16"/>
      <c r="CT1663" s="16"/>
      <c r="CU1663" s="16"/>
      <c r="CV1663" s="16"/>
      <c r="CW1663" s="16"/>
      <c r="CX1663" s="16"/>
      <c r="CY1663" s="16"/>
      <c r="CZ1663" s="16"/>
      <c r="DA1663" s="16"/>
      <c r="DB1663" s="16"/>
      <c r="DC1663" s="16"/>
      <c r="DD1663" s="16"/>
      <c r="DE1663" s="16"/>
      <c r="DF1663" s="16"/>
    </row>
    <row r="1664" spans="8:110" x14ac:dyDescent="0.3">
      <c r="H1664" s="4">
        <f t="shared" si="206"/>
        <v>0</v>
      </c>
      <c r="K1664" s="3"/>
      <c r="L1664" s="16"/>
      <c r="M1664" s="16"/>
      <c r="N1664" s="16"/>
      <c r="O1664" s="16"/>
      <c r="P1664" s="16"/>
      <c r="Q1664" s="16"/>
      <c r="R1664" s="16"/>
      <c r="S1664" s="16"/>
      <c r="T1664" s="16"/>
      <c r="U1664" s="16"/>
      <c r="V1664" s="16"/>
      <c r="W1664" s="16"/>
      <c r="X1664" s="16"/>
      <c r="Y1664" s="16"/>
      <c r="Z1664" s="16"/>
      <c r="AA1664" s="16"/>
      <c r="AB1664" s="16"/>
      <c r="AC1664" s="16"/>
      <c r="AD1664" s="16"/>
      <c r="AE1664" s="16"/>
      <c r="AF1664" s="16"/>
      <c r="AG1664" s="16"/>
      <c r="AH1664" s="16"/>
      <c r="AI1664" s="16"/>
      <c r="AJ1664" s="16"/>
      <c r="AK1664" s="16"/>
      <c r="AL1664" s="16"/>
      <c r="AM1664" s="16"/>
      <c r="AN1664" s="16"/>
      <c r="AO1664" s="16"/>
      <c r="AP1664" s="16"/>
      <c r="AQ1664" s="16"/>
      <c r="AR1664" s="16"/>
      <c r="AS1664" s="16"/>
      <c r="AT1664" s="16"/>
      <c r="AU1664" s="16"/>
      <c r="AV1664" s="16"/>
      <c r="AW1664" s="16"/>
      <c r="AX1664" s="16"/>
      <c r="AY1664" s="16"/>
      <c r="AZ1664" s="16"/>
      <c r="BA1664" s="16"/>
      <c r="BB1664" s="16"/>
      <c r="BC1664" s="16"/>
      <c r="BD1664" s="16"/>
      <c r="BE1664" s="16"/>
      <c r="BF1664" s="16"/>
      <c r="BG1664" s="16"/>
      <c r="BH1664" s="16"/>
      <c r="BI1664" s="16"/>
      <c r="BJ1664" s="16"/>
      <c r="BK1664" s="16"/>
      <c r="BL1664" s="16"/>
      <c r="BM1664" s="16"/>
      <c r="BN1664" s="16"/>
      <c r="BO1664" s="16"/>
      <c r="BP1664" s="16"/>
      <c r="BQ1664" s="16"/>
      <c r="BR1664" s="16"/>
      <c r="BS1664" s="16"/>
      <c r="BT1664" s="16"/>
      <c r="BU1664" s="16"/>
      <c r="BV1664" s="16"/>
      <c r="BW1664" s="16"/>
      <c r="BX1664" s="16"/>
      <c r="BY1664" s="16"/>
      <c r="BZ1664" s="16"/>
      <c r="CA1664" s="16"/>
      <c r="CB1664" s="16"/>
      <c r="CC1664" s="16"/>
      <c r="CD1664" s="16"/>
      <c r="CE1664" s="16"/>
      <c r="CF1664" s="16"/>
      <c r="CG1664" s="16"/>
      <c r="CH1664" s="16"/>
      <c r="CI1664" s="16"/>
      <c r="CJ1664" s="16"/>
      <c r="CK1664" s="16"/>
      <c r="CL1664" s="16"/>
      <c r="CM1664" s="16"/>
      <c r="CN1664" s="16"/>
      <c r="CO1664" s="16"/>
      <c r="CP1664" s="16"/>
      <c r="CQ1664" s="16"/>
      <c r="CR1664" s="16"/>
      <c r="CS1664" s="16"/>
      <c r="CT1664" s="16"/>
      <c r="CU1664" s="16"/>
      <c r="CV1664" s="16"/>
      <c r="CW1664" s="16"/>
      <c r="CX1664" s="16"/>
      <c r="CY1664" s="16"/>
      <c r="CZ1664" s="16"/>
      <c r="DA1664" s="16"/>
      <c r="DB1664" s="16"/>
      <c r="DC1664" s="16"/>
      <c r="DD1664" s="16"/>
      <c r="DE1664" s="16"/>
      <c r="DF1664" s="16"/>
    </row>
    <row r="1665" spans="8:110" x14ac:dyDescent="0.3">
      <c r="H1665" s="4">
        <f t="shared" si="206"/>
        <v>0</v>
      </c>
      <c r="K1665" s="3"/>
      <c r="L1665" s="16"/>
      <c r="M1665" s="16"/>
      <c r="N1665" s="16"/>
      <c r="O1665" s="16"/>
      <c r="P1665" s="16"/>
      <c r="Q1665" s="16"/>
      <c r="R1665" s="16"/>
      <c r="S1665" s="16"/>
      <c r="T1665" s="16"/>
      <c r="U1665" s="16"/>
      <c r="V1665" s="16"/>
      <c r="W1665" s="16"/>
      <c r="X1665" s="16"/>
      <c r="Y1665" s="16"/>
      <c r="Z1665" s="16"/>
      <c r="AA1665" s="16"/>
      <c r="AB1665" s="16"/>
      <c r="AC1665" s="16"/>
      <c r="AD1665" s="16"/>
      <c r="AE1665" s="16"/>
      <c r="AF1665" s="16"/>
      <c r="AG1665" s="16"/>
      <c r="AH1665" s="16"/>
      <c r="AI1665" s="16"/>
      <c r="AJ1665" s="16"/>
      <c r="AK1665" s="16"/>
      <c r="AL1665" s="16"/>
      <c r="AM1665" s="16"/>
      <c r="AN1665" s="16"/>
      <c r="AO1665" s="16"/>
      <c r="AP1665" s="16"/>
      <c r="AQ1665" s="16"/>
      <c r="AR1665" s="16"/>
      <c r="AS1665" s="16"/>
      <c r="AT1665" s="16"/>
      <c r="AU1665" s="16"/>
      <c r="AV1665" s="16"/>
      <c r="AW1665" s="16"/>
      <c r="AX1665" s="16"/>
      <c r="AY1665" s="16"/>
      <c r="AZ1665" s="16"/>
      <c r="BA1665" s="16"/>
      <c r="BB1665" s="16"/>
      <c r="BC1665" s="16"/>
      <c r="BD1665" s="16"/>
      <c r="BE1665" s="16"/>
      <c r="BF1665" s="16"/>
      <c r="BG1665" s="16"/>
      <c r="BH1665" s="16"/>
      <c r="BI1665" s="16"/>
      <c r="BJ1665" s="16"/>
      <c r="BK1665" s="16"/>
      <c r="BL1665" s="16"/>
      <c r="BM1665" s="16"/>
      <c r="BN1665" s="16"/>
      <c r="BO1665" s="16"/>
      <c r="BP1665" s="16"/>
      <c r="BQ1665" s="16"/>
      <c r="BR1665" s="16"/>
      <c r="BS1665" s="16"/>
      <c r="BT1665" s="16"/>
      <c r="BU1665" s="16"/>
      <c r="BV1665" s="16"/>
      <c r="BW1665" s="16"/>
      <c r="BX1665" s="16"/>
      <c r="BY1665" s="16"/>
      <c r="BZ1665" s="16"/>
      <c r="CA1665" s="16"/>
      <c r="CB1665" s="16"/>
      <c r="CC1665" s="16"/>
      <c r="CD1665" s="16"/>
      <c r="CE1665" s="16"/>
      <c r="CF1665" s="16"/>
      <c r="CG1665" s="16"/>
      <c r="CH1665" s="16"/>
      <c r="CI1665" s="16"/>
      <c r="CJ1665" s="16"/>
      <c r="CK1665" s="16"/>
      <c r="CL1665" s="16"/>
      <c r="CM1665" s="16"/>
      <c r="CN1665" s="16"/>
      <c r="CO1665" s="16"/>
      <c r="CP1665" s="16"/>
      <c r="CQ1665" s="16"/>
      <c r="CR1665" s="16"/>
      <c r="CS1665" s="16"/>
      <c r="CT1665" s="16"/>
      <c r="CU1665" s="16"/>
      <c r="CV1665" s="16"/>
      <c r="CW1665" s="16"/>
      <c r="CX1665" s="16"/>
      <c r="CY1665" s="16"/>
      <c r="CZ1665" s="16"/>
      <c r="DA1665" s="16"/>
      <c r="DB1665" s="16"/>
      <c r="DC1665" s="16"/>
      <c r="DD1665" s="16"/>
      <c r="DE1665" s="16"/>
      <c r="DF1665" s="16"/>
    </row>
    <row r="1666" spans="8:110" x14ac:dyDescent="0.3">
      <c r="H1666" s="4">
        <f t="shared" si="206"/>
        <v>0</v>
      </c>
      <c r="K1666" s="3"/>
      <c r="L1666" s="16"/>
      <c r="M1666" s="16"/>
      <c r="N1666" s="16"/>
      <c r="O1666" s="16"/>
      <c r="P1666" s="16"/>
      <c r="Q1666" s="16"/>
      <c r="R1666" s="16"/>
      <c r="S1666" s="16"/>
      <c r="T1666" s="16"/>
      <c r="U1666" s="16"/>
      <c r="V1666" s="16"/>
      <c r="W1666" s="16"/>
      <c r="X1666" s="16"/>
      <c r="Y1666" s="16"/>
      <c r="Z1666" s="16"/>
      <c r="AA1666" s="16"/>
      <c r="AB1666" s="16"/>
      <c r="AC1666" s="16"/>
      <c r="AD1666" s="16"/>
      <c r="AE1666" s="16"/>
      <c r="AF1666" s="16"/>
      <c r="AG1666" s="16"/>
      <c r="AH1666" s="16"/>
      <c r="AI1666" s="16"/>
      <c r="AJ1666" s="16"/>
      <c r="AK1666" s="16"/>
      <c r="AL1666" s="16"/>
      <c r="AM1666" s="16"/>
      <c r="AN1666" s="16"/>
      <c r="AO1666" s="16"/>
      <c r="AP1666" s="16"/>
      <c r="AQ1666" s="16"/>
      <c r="AR1666" s="16"/>
      <c r="AS1666" s="16"/>
      <c r="AT1666" s="16"/>
      <c r="AU1666" s="16"/>
      <c r="AV1666" s="16"/>
      <c r="AW1666" s="16"/>
      <c r="AX1666" s="16"/>
      <c r="AY1666" s="16"/>
      <c r="AZ1666" s="16"/>
      <c r="BA1666" s="16"/>
      <c r="BB1666" s="16"/>
      <c r="BC1666" s="16"/>
      <c r="BD1666" s="16"/>
      <c r="BE1666" s="16"/>
      <c r="BF1666" s="16"/>
      <c r="BG1666" s="16"/>
      <c r="BH1666" s="16"/>
      <c r="BI1666" s="16"/>
      <c r="BJ1666" s="16"/>
      <c r="BK1666" s="16"/>
      <c r="BL1666" s="16"/>
      <c r="BM1666" s="16"/>
      <c r="BN1666" s="16"/>
      <c r="BO1666" s="16"/>
      <c r="BP1666" s="16"/>
      <c r="BQ1666" s="16"/>
      <c r="BR1666" s="16"/>
      <c r="BS1666" s="16"/>
      <c r="BT1666" s="16"/>
      <c r="BU1666" s="16"/>
      <c r="BV1666" s="16"/>
      <c r="BW1666" s="16"/>
      <c r="BX1666" s="16"/>
      <c r="BY1666" s="16"/>
      <c r="BZ1666" s="16"/>
      <c r="CA1666" s="16"/>
      <c r="CB1666" s="16"/>
      <c r="CC1666" s="16"/>
      <c r="CD1666" s="16"/>
      <c r="CE1666" s="16"/>
      <c r="CF1666" s="16"/>
      <c r="CG1666" s="16"/>
      <c r="CH1666" s="16"/>
      <c r="CI1666" s="16"/>
      <c r="CJ1666" s="16"/>
      <c r="CK1666" s="16"/>
      <c r="CL1666" s="16"/>
      <c r="CM1666" s="16"/>
      <c r="CN1666" s="16"/>
      <c r="CO1666" s="16"/>
      <c r="CP1666" s="16"/>
      <c r="CQ1666" s="16"/>
      <c r="CR1666" s="16"/>
      <c r="CS1666" s="16"/>
      <c r="CT1666" s="16"/>
      <c r="CU1666" s="16"/>
      <c r="CV1666" s="16"/>
      <c r="CW1666" s="16"/>
      <c r="CX1666" s="16"/>
      <c r="CY1666" s="16"/>
      <c r="CZ1666" s="16"/>
      <c r="DA1666" s="16"/>
      <c r="DB1666" s="16"/>
      <c r="DC1666" s="16"/>
      <c r="DD1666" s="16"/>
      <c r="DE1666" s="16"/>
      <c r="DF1666" s="16"/>
    </row>
    <row r="1667" spans="8:110" x14ac:dyDescent="0.3">
      <c r="H1667" s="4">
        <f t="shared" si="206"/>
        <v>0</v>
      </c>
      <c r="K1667" s="3"/>
      <c r="L1667" s="16"/>
      <c r="M1667" s="16"/>
      <c r="N1667" s="16"/>
      <c r="O1667" s="16"/>
      <c r="P1667" s="16"/>
      <c r="Q1667" s="16"/>
      <c r="R1667" s="16"/>
      <c r="S1667" s="16"/>
      <c r="T1667" s="16"/>
      <c r="U1667" s="16"/>
      <c r="V1667" s="16"/>
      <c r="W1667" s="16"/>
      <c r="X1667" s="16"/>
      <c r="Y1667" s="16"/>
      <c r="Z1667" s="16"/>
      <c r="AA1667" s="16"/>
      <c r="AB1667" s="16"/>
      <c r="AC1667" s="16"/>
      <c r="AD1667" s="16"/>
      <c r="AE1667" s="16"/>
      <c r="AF1667" s="16"/>
      <c r="AG1667" s="16"/>
      <c r="AH1667" s="16"/>
      <c r="AI1667" s="16"/>
      <c r="AJ1667" s="16"/>
      <c r="AK1667" s="16"/>
      <c r="AL1667" s="16"/>
      <c r="AM1667" s="16"/>
      <c r="AN1667" s="16"/>
      <c r="AO1667" s="16"/>
      <c r="AP1667" s="16"/>
      <c r="AQ1667" s="16"/>
      <c r="AR1667" s="16"/>
      <c r="AS1667" s="16"/>
      <c r="AT1667" s="16"/>
      <c r="AU1667" s="16"/>
      <c r="AV1667" s="16"/>
      <c r="AW1667" s="16"/>
      <c r="AX1667" s="16"/>
      <c r="AY1667" s="16"/>
      <c r="AZ1667" s="16"/>
      <c r="BA1667" s="16"/>
      <c r="BB1667" s="16"/>
      <c r="BC1667" s="16"/>
      <c r="BD1667" s="16"/>
      <c r="BE1667" s="16"/>
      <c r="BF1667" s="16"/>
      <c r="BG1667" s="16"/>
      <c r="BH1667" s="16"/>
      <c r="BI1667" s="16"/>
      <c r="BJ1667" s="16"/>
      <c r="BK1667" s="16"/>
      <c r="BL1667" s="16"/>
      <c r="BM1667" s="16"/>
      <c r="BN1667" s="16"/>
      <c r="BO1667" s="16"/>
      <c r="BP1667" s="16"/>
      <c r="BQ1667" s="16"/>
      <c r="BR1667" s="16"/>
      <c r="BS1667" s="16"/>
      <c r="BT1667" s="16"/>
      <c r="BU1667" s="16"/>
      <c r="BV1667" s="16"/>
      <c r="BW1667" s="16"/>
      <c r="BX1667" s="16"/>
      <c r="BY1667" s="16"/>
      <c r="BZ1667" s="16"/>
      <c r="CA1667" s="16"/>
      <c r="CB1667" s="16"/>
      <c r="CC1667" s="16"/>
      <c r="CD1667" s="16"/>
      <c r="CE1667" s="16"/>
      <c r="CF1667" s="16"/>
      <c r="CG1667" s="16"/>
      <c r="CH1667" s="16"/>
      <c r="CI1667" s="16"/>
      <c r="CJ1667" s="16"/>
      <c r="CK1667" s="16"/>
      <c r="CL1667" s="16"/>
      <c r="CM1667" s="16"/>
      <c r="CN1667" s="16"/>
      <c r="CO1667" s="16"/>
      <c r="CP1667" s="16"/>
      <c r="CQ1667" s="16"/>
      <c r="CR1667" s="16"/>
      <c r="CS1667" s="16"/>
      <c r="CT1667" s="16"/>
      <c r="CU1667" s="16"/>
      <c r="CV1667" s="16"/>
      <c r="CW1667" s="16"/>
      <c r="CX1667" s="16"/>
      <c r="CY1667" s="16"/>
      <c r="CZ1667" s="16"/>
      <c r="DA1667" s="16"/>
      <c r="DB1667" s="16"/>
      <c r="DC1667" s="16"/>
      <c r="DD1667" s="16"/>
      <c r="DE1667" s="16"/>
      <c r="DF1667" s="16"/>
    </row>
    <row r="1668" spans="8:110" x14ac:dyDescent="0.3">
      <c r="H1668" s="4">
        <f t="shared" si="206"/>
        <v>0</v>
      </c>
      <c r="K1668" s="3"/>
      <c r="L1668" s="16"/>
      <c r="M1668" s="16"/>
      <c r="N1668" s="16"/>
      <c r="O1668" s="16"/>
      <c r="P1668" s="16"/>
      <c r="Q1668" s="16"/>
      <c r="R1668" s="16"/>
      <c r="S1668" s="16"/>
      <c r="T1668" s="16"/>
      <c r="U1668" s="16"/>
      <c r="V1668" s="16"/>
      <c r="W1668" s="16"/>
      <c r="X1668" s="16"/>
      <c r="Y1668" s="16"/>
      <c r="Z1668" s="16"/>
      <c r="AA1668" s="16"/>
      <c r="AB1668" s="16"/>
      <c r="AC1668" s="16"/>
      <c r="AD1668" s="16"/>
      <c r="AE1668" s="16"/>
      <c r="AF1668" s="16"/>
      <c r="AG1668" s="16"/>
      <c r="AH1668" s="16"/>
      <c r="AI1668" s="16"/>
      <c r="AJ1668" s="16"/>
      <c r="AK1668" s="16"/>
      <c r="AL1668" s="16"/>
      <c r="AM1668" s="16"/>
      <c r="AN1668" s="16"/>
      <c r="AO1668" s="16"/>
      <c r="AP1668" s="16"/>
      <c r="AQ1668" s="16"/>
      <c r="AR1668" s="16"/>
      <c r="AS1668" s="16"/>
      <c r="AT1668" s="16"/>
      <c r="AU1668" s="16"/>
      <c r="AV1668" s="16"/>
      <c r="AW1668" s="16"/>
      <c r="AX1668" s="16"/>
      <c r="AY1668" s="16"/>
      <c r="AZ1668" s="16"/>
      <c r="BA1668" s="16"/>
      <c r="BB1668" s="16"/>
      <c r="BC1668" s="16"/>
      <c r="BD1668" s="16"/>
      <c r="BE1668" s="16"/>
      <c r="BF1668" s="16"/>
      <c r="BG1668" s="16"/>
      <c r="BH1668" s="16"/>
      <c r="BI1668" s="16"/>
      <c r="BJ1668" s="16"/>
      <c r="BK1668" s="16"/>
      <c r="BL1668" s="16"/>
      <c r="BM1668" s="16"/>
      <c r="BN1668" s="16"/>
      <c r="BO1668" s="16"/>
      <c r="BP1668" s="16"/>
      <c r="BQ1668" s="16"/>
      <c r="BR1668" s="16"/>
      <c r="BS1668" s="16"/>
      <c r="BT1668" s="16"/>
      <c r="BU1668" s="16"/>
      <c r="BV1668" s="16"/>
      <c r="BW1668" s="16"/>
      <c r="BX1668" s="16"/>
      <c r="BY1668" s="16"/>
      <c r="BZ1668" s="16"/>
      <c r="CA1668" s="16"/>
      <c r="CB1668" s="16"/>
      <c r="CC1668" s="16"/>
      <c r="CD1668" s="16"/>
      <c r="CE1668" s="16"/>
      <c r="CF1668" s="16"/>
      <c r="CG1668" s="16"/>
      <c r="CH1668" s="16"/>
      <c r="CI1668" s="16"/>
      <c r="CJ1668" s="16"/>
      <c r="CK1668" s="16"/>
      <c r="CL1668" s="16"/>
      <c r="CM1668" s="16"/>
      <c r="CN1668" s="16"/>
      <c r="CO1668" s="16"/>
      <c r="CP1668" s="16"/>
      <c r="CQ1668" s="16"/>
      <c r="CR1668" s="16"/>
      <c r="CS1668" s="16"/>
      <c r="CT1668" s="16"/>
      <c r="CU1668" s="16"/>
      <c r="CV1668" s="16"/>
      <c r="CW1668" s="16"/>
      <c r="CX1668" s="16"/>
      <c r="CY1668" s="16"/>
      <c r="CZ1668" s="16"/>
      <c r="DA1668" s="16"/>
      <c r="DB1668" s="16"/>
      <c r="DC1668" s="16"/>
      <c r="DD1668" s="16"/>
      <c r="DE1668" s="16"/>
      <c r="DF1668" s="16"/>
    </row>
    <row r="1669" spans="8:110" x14ac:dyDescent="0.3">
      <c r="H1669" s="4">
        <f t="shared" si="206"/>
        <v>0</v>
      </c>
      <c r="K1669" s="3"/>
      <c r="L1669" s="16"/>
      <c r="M1669" s="16"/>
      <c r="N1669" s="16"/>
      <c r="O1669" s="16"/>
      <c r="P1669" s="16"/>
      <c r="Q1669" s="16"/>
      <c r="R1669" s="16"/>
      <c r="S1669" s="16"/>
      <c r="T1669" s="16"/>
      <c r="U1669" s="16"/>
      <c r="V1669" s="16"/>
      <c r="W1669" s="16"/>
      <c r="X1669" s="16"/>
      <c r="Y1669" s="16"/>
      <c r="Z1669" s="16"/>
      <c r="AA1669" s="16"/>
      <c r="AB1669" s="16"/>
      <c r="AC1669" s="16"/>
      <c r="AD1669" s="16"/>
      <c r="AE1669" s="16"/>
      <c r="AF1669" s="16"/>
      <c r="AG1669" s="16"/>
      <c r="AH1669" s="16"/>
      <c r="AI1669" s="16"/>
      <c r="AJ1669" s="16"/>
      <c r="AK1669" s="16"/>
      <c r="AL1669" s="16"/>
      <c r="AM1669" s="16"/>
      <c r="AN1669" s="16"/>
      <c r="AO1669" s="16"/>
      <c r="AP1669" s="16"/>
      <c r="AQ1669" s="16"/>
      <c r="AR1669" s="16"/>
      <c r="AS1669" s="16"/>
      <c r="AT1669" s="16"/>
      <c r="AU1669" s="16"/>
      <c r="AV1669" s="16"/>
      <c r="AW1669" s="16"/>
      <c r="AX1669" s="16"/>
      <c r="AY1669" s="16"/>
      <c r="AZ1669" s="16"/>
      <c r="BA1669" s="16"/>
      <c r="BB1669" s="16"/>
      <c r="BC1669" s="16"/>
      <c r="BD1669" s="16"/>
      <c r="BE1669" s="16"/>
      <c r="BF1669" s="16"/>
      <c r="BG1669" s="16"/>
      <c r="BH1669" s="16"/>
      <c r="BI1669" s="16"/>
      <c r="BJ1669" s="16"/>
      <c r="BK1669" s="16"/>
      <c r="BL1669" s="16"/>
      <c r="BM1669" s="16"/>
      <c r="BN1669" s="16"/>
      <c r="BO1669" s="16"/>
      <c r="BP1669" s="16"/>
      <c r="BQ1669" s="16"/>
      <c r="BR1669" s="16"/>
      <c r="BS1669" s="16"/>
      <c r="BT1669" s="16"/>
      <c r="BU1669" s="16"/>
      <c r="BV1669" s="16"/>
      <c r="BW1669" s="16"/>
      <c r="BX1669" s="16"/>
      <c r="BY1669" s="16"/>
      <c r="BZ1669" s="16"/>
      <c r="CA1669" s="16"/>
      <c r="CB1669" s="16"/>
      <c r="CC1669" s="16"/>
      <c r="CD1669" s="16"/>
      <c r="CE1669" s="16"/>
      <c r="CF1669" s="16"/>
      <c r="CG1669" s="16"/>
      <c r="CH1669" s="16"/>
      <c r="CI1669" s="16"/>
      <c r="CJ1669" s="16"/>
      <c r="CK1669" s="16"/>
      <c r="CL1669" s="16"/>
      <c r="CM1669" s="16"/>
      <c r="CN1669" s="16"/>
      <c r="CO1669" s="16"/>
      <c r="CP1669" s="16"/>
      <c r="CQ1669" s="16"/>
      <c r="CR1669" s="16"/>
      <c r="CS1669" s="16"/>
      <c r="CT1669" s="16"/>
      <c r="CU1669" s="16"/>
      <c r="CV1669" s="16"/>
      <c r="CW1669" s="16"/>
      <c r="CX1669" s="16"/>
      <c r="CY1669" s="16"/>
      <c r="CZ1669" s="16"/>
      <c r="DA1669" s="16"/>
      <c r="DB1669" s="16"/>
      <c r="DC1669" s="16"/>
      <c r="DD1669" s="16"/>
      <c r="DE1669" s="16"/>
      <c r="DF1669" s="16"/>
    </row>
    <row r="1670" spans="8:110" x14ac:dyDescent="0.3">
      <c r="H1670" s="4">
        <f t="shared" si="206"/>
        <v>0</v>
      </c>
      <c r="K1670" s="3"/>
      <c r="L1670" s="16"/>
      <c r="M1670" s="16"/>
      <c r="N1670" s="16"/>
      <c r="O1670" s="16"/>
      <c r="P1670" s="16"/>
      <c r="Q1670" s="16"/>
      <c r="R1670" s="16"/>
      <c r="S1670" s="16"/>
      <c r="T1670" s="16"/>
      <c r="U1670" s="16"/>
      <c r="V1670" s="16"/>
      <c r="W1670" s="16"/>
      <c r="X1670" s="16"/>
      <c r="Y1670" s="16"/>
      <c r="Z1670" s="16"/>
      <c r="AA1670" s="16"/>
      <c r="AB1670" s="16"/>
      <c r="AC1670" s="16"/>
      <c r="AD1670" s="16"/>
      <c r="AE1670" s="16"/>
      <c r="AF1670" s="16"/>
      <c r="AG1670" s="16"/>
      <c r="AH1670" s="16"/>
      <c r="AI1670" s="16"/>
      <c r="AJ1670" s="16"/>
      <c r="AK1670" s="16"/>
      <c r="AL1670" s="16"/>
      <c r="AM1670" s="16"/>
      <c r="AN1670" s="16"/>
      <c r="AO1670" s="16"/>
      <c r="AP1670" s="16"/>
      <c r="AQ1670" s="16"/>
      <c r="AR1670" s="16"/>
      <c r="AS1670" s="16"/>
      <c r="AT1670" s="16"/>
      <c r="AU1670" s="16"/>
      <c r="AV1670" s="16"/>
      <c r="AW1670" s="16"/>
      <c r="AX1670" s="16"/>
      <c r="AY1670" s="16"/>
      <c r="AZ1670" s="16"/>
      <c r="BA1670" s="16"/>
      <c r="BB1670" s="16"/>
      <c r="BC1670" s="16"/>
      <c r="BD1670" s="16"/>
      <c r="BE1670" s="16"/>
      <c r="BF1670" s="16"/>
      <c r="BG1670" s="16"/>
      <c r="BH1670" s="16"/>
      <c r="BI1670" s="16"/>
      <c r="BJ1670" s="16"/>
      <c r="BK1670" s="16"/>
      <c r="BL1670" s="16"/>
      <c r="BM1670" s="16"/>
      <c r="BN1670" s="16"/>
      <c r="BO1670" s="16"/>
      <c r="BP1670" s="16"/>
      <c r="BQ1670" s="16"/>
      <c r="BR1670" s="16"/>
      <c r="BS1670" s="16"/>
      <c r="BT1670" s="16"/>
      <c r="BU1670" s="16"/>
      <c r="BV1670" s="16"/>
      <c r="BW1670" s="16"/>
      <c r="BX1670" s="16"/>
      <c r="BY1670" s="16"/>
      <c r="BZ1670" s="16"/>
      <c r="CA1670" s="16"/>
      <c r="CB1670" s="16"/>
      <c r="CC1670" s="16"/>
      <c r="CD1670" s="16"/>
      <c r="CE1670" s="16"/>
      <c r="CF1670" s="16"/>
      <c r="CG1670" s="16"/>
      <c r="CH1670" s="16"/>
      <c r="CI1670" s="16"/>
      <c r="CJ1670" s="16"/>
      <c r="CK1670" s="16"/>
      <c r="CL1670" s="16"/>
      <c r="CM1670" s="16"/>
      <c r="CN1670" s="16"/>
      <c r="CO1670" s="16"/>
      <c r="CP1670" s="16"/>
      <c r="CQ1670" s="16"/>
      <c r="CR1670" s="16"/>
      <c r="CS1670" s="16"/>
      <c r="CT1670" s="16"/>
      <c r="CU1670" s="16"/>
      <c r="CV1670" s="16"/>
      <c r="CW1670" s="16"/>
      <c r="CX1670" s="16"/>
      <c r="CY1670" s="16"/>
      <c r="CZ1670" s="16"/>
      <c r="DA1670" s="16"/>
      <c r="DB1670" s="16"/>
      <c r="DC1670" s="16"/>
      <c r="DD1670" s="16"/>
      <c r="DE1670" s="16"/>
      <c r="DF1670" s="16"/>
    </row>
    <row r="1671" spans="8:110" x14ac:dyDescent="0.3">
      <c r="H1671" s="4">
        <f t="shared" si="206"/>
        <v>0</v>
      </c>
      <c r="K1671" s="3"/>
      <c r="L1671" s="16"/>
      <c r="M1671" s="16"/>
      <c r="N1671" s="16"/>
      <c r="O1671" s="16"/>
      <c r="P1671" s="16"/>
      <c r="Q1671" s="16"/>
      <c r="R1671" s="16"/>
      <c r="S1671" s="16"/>
      <c r="T1671" s="16"/>
      <c r="U1671" s="16"/>
      <c r="V1671" s="16"/>
      <c r="W1671" s="16"/>
      <c r="X1671" s="16"/>
      <c r="Y1671" s="16"/>
      <c r="Z1671" s="16"/>
      <c r="AA1671" s="16"/>
      <c r="AB1671" s="16"/>
      <c r="AC1671" s="16"/>
      <c r="AD1671" s="16"/>
      <c r="AE1671" s="16"/>
      <c r="AF1671" s="16"/>
      <c r="AG1671" s="16"/>
      <c r="AH1671" s="16"/>
      <c r="AI1671" s="16"/>
      <c r="AJ1671" s="16"/>
      <c r="AK1671" s="16"/>
      <c r="AL1671" s="16"/>
      <c r="AM1671" s="16"/>
      <c r="AN1671" s="16"/>
      <c r="AO1671" s="16"/>
      <c r="AP1671" s="16"/>
      <c r="AQ1671" s="16"/>
      <c r="AR1671" s="16"/>
      <c r="AS1671" s="16"/>
      <c r="AT1671" s="16"/>
      <c r="AU1671" s="16"/>
      <c r="AV1671" s="16"/>
      <c r="AW1671" s="16"/>
      <c r="AX1671" s="16"/>
      <c r="AY1671" s="16"/>
      <c r="AZ1671" s="16"/>
      <c r="BA1671" s="16"/>
      <c r="BB1671" s="16"/>
      <c r="BC1671" s="16"/>
      <c r="BD1671" s="16"/>
      <c r="BE1671" s="16"/>
      <c r="BF1671" s="16"/>
      <c r="BG1671" s="16"/>
      <c r="BH1671" s="16"/>
      <c r="BI1671" s="16"/>
      <c r="BJ1671" s="16"/>
      <c r="BK1671" s="16"/>
      <c r="BL1671" s="16"/>
      <c r="BM1671" s="16"/>
      <c r="BN1671" s="16"/>
      <c r="BO1671" s="16"/>
      <c r="BP1671" s="16"/>
      <c r="BQ1671" s="16"/>
      <c r="BR1671" s="16"/>
      <c r="BS1671" s="16"/>
      <c r="BT1671" s="16"/>
      <c r="BU1671" s="16"/>
      <c r="BV1671" s="16"/>
      <c r="BW1671" s="16"/>
      <c r="BX1671" s="16"/>
      <c r="BY1671" s="16"/>
      <c r="BZ1671" s="16"/>
      <c r="CA1671" s="16"/>
      <c r="CB1671" s="16"/>
      <c r="CC1671" s="16"/>
      <c r="CD1671" s="16"/>
      <c r="CE1671" s="16"/>
      <c r="CF1671" s="16"/>
      <c r="CG1671" s="16"/>
      <c r="CH1671" s="16"/>
      <c r="CI1671" s="16"/>
      <c r="CJ1671" s="16"/>
      <c r="CK1671" s="16"/>
      <c r="CL1671" s="16"/>
      <c r="CM1671" s="16"/>
      <c r="CN1671" s="16"/>
      <c r="CO1671" s="16"/>
      <c r="CP1671" s="16"/>
      <c r="CQ1671" s="16"/>
      <c r="CR1671" s="16"/>
      <c r="CS1671" s="16"/>
      <c r="CT1671" s="16"/>
      <c r="CU1671" s="16"/>
      <c r="CV1671" s="16"/>
      <c r="CW1671" s="16"/>
      <c r="CX1671" s="16"/>
      <c r="CY1671" s="16"/>
      <c r="CZ1671" s="16"/>
      <c r="DA1671" s="16"/>
      <c r="DB1671" s="16"/>
      <c r="DC1671" s="16"/>
      <c r="DD1671" s="16"/>
      <c r="DE1671" s="16"/>
      <c r="DF1671" s="16"/>
    </row>
    <row r="1672" spans="8:110" x14ac:dyDescent="0.3">
      <c r="H1672" s="4">
        <f t="shared" si="206"/>
        <v>0</v>
      </c>
      <c r="K1672" s="3"/>
      <c r="L1672" s="16"/>
      <c r="M1672" s="16"/>
      <c r="N1672" s="16"/>
      <c r="O1672" s="16"/>
      <c r="P1672" s="16"/>
      <c r="Q1672" s="16"/>
      <c r="R1672" s="16"/>
      <c r="S1672" s="16"/>
      <c r="T1672" s="16"/>
      <c r="U1672" s="16"/>
      <c r="V1672" s="16"/>
      <c r="W1672" s="16"/>
      <c r="X1672" s="16"/>
      <c r="Y1672" s="16"/>
      <c r="Z1672" s="16"/>
      <c r="AA1672" s="16"/>
      <c r="AB1672" s="16"/>
      <c r="AC1672" s="16"/>
      <c r="AD1672" s="16"/>
      <c r="AE1672" s="16"/>
      <c r="AF1672" s="16"/>
      <c r="AG1672" s="16"/>
      <c r="AH1672" s="16"/>
      <c r="AI1672" s="16"/>
      <c r="AJ1672" s="16"/>
      <c r="AK1672" s="16"/>
      <c r="AL1672" s="16"/>
      <c r="AM1672" s="16"/>
      <c r="AN1672" s="16"/>
      <c r="AO1672" s="16"/>
      <c r="AP1672" s="16"/>
      <c r="AQ1672" s="16"/>
      <c r="AR1672" s="16"/>
      <c r="AS1672" s="16"/>
      <c r="AT1672" s="16"/>
      <c r="AU1672" s="16"/>
      <c r="AV1672" s="16"/>
      <c r="AW1672" s="16"/>
      <c r="AX1672" s="16"/>
      <c r="AY1672" s="16"/>
      <c r="AZ1672" s="16"/>
      <c r="BA1672" s="16"/>
      <c r="BB1672" s="16"/>
      <c r="BC1672" s="16"/>
      <c r="BD1672" s="16"/>
      <c r="BE1672" s="16"/>
      <c r="BF1672" s="16"/>
      <c r="BG1672" s="16"/>
      <c r="BH1672" s="16"/>
      <c r="BI1672" s="16"/>
      <c r="BJ1672" s="16"/>
      <c r="BK1672" s="16"/>
      <c r="BL1672" s="16"/>
      <c r="BM1672" s="16"/>
      <c r="BN1672" s="16"/>
      <c r="BO1672" s="16"/>
      <c r="BP1672" s="16"/>
      <c r="BQ1672" s="16"/>
      <c r="BR1672" s="16"/>
      <c r="BS1672" s="16"/>
      <c r="BT1672" s="16"/>
      <c r="BU1672" s="16"/>
      <c r="BV1672" s="16"/>
      <c r="BW1672" s="16"/>
      <c r="BX1672" s="16"/>
      <c r="BY1672" s="16"/>
      <c r="BZ1672" s="16"/>
      <c r="CA1672" s="16"/>
      <c r="CB1672" s="16"/>
      <c r="CC1672" s="16"/>
      <c r="CD1672" s="16"/>
      <c r="CE1672" s="16"/>
      <c r="CF1672" s="16"/>
      <c r="CG1672" s="16"/>
      <c r="CH1672" s="16"/>
      <c r="CI1672" s="16"/>
      <c r="CJ1672" s="16"/>
      <c r="CK1672" s="16"/>
      <c r="CL1672" s="16"/>
      <c r="CM1672" s="16"/>
      <c r="CN1672" s="16"/>
      <c r="CO1672" s="16"/>
      <c r="CP1672" s="16"/>
      <c r="CQ1672" s="16"/>
      <c r="CR1672" s="16"/>
      <c r="CS1672" s="16"/>
      <c r="CT1672" s="16"/>
      <c r="CU1672" s="16"/>
      <c r="CV1672" s="16"/>
      <c r="CW1672" s="16"/>
      <c r="CX1672" s="16"/>
      <c r="CY1672" s="16"/>
      <c r="CZ1672" s="16"/>
      <c r="DA1672" s="16"/>
      <c r="DB1672" s="16"/>
      <c r="DC1672" s="16"/>
      <c r="DD1672" s="16"/>
      <c r="DE1672" s="16"/>
      <c r="DF1672" s="16"/>
    </row>
    <row r="1673" spans="8:110" x14ac:dyDescent="0.3">
      <c r="H1673" s="4">
        <f t="shared" si="206"/>
        <v>0</v>
      </c>
      <c r="K1673" s="3"/>
      <c r="L1673" s="16"/>
      <c r="M1673" s="16"/>
      <c r="N1673" s="16"/>
      <c r="O1673" s="16"/>
      <c r="P1673" s="16"/>
      <c r="Q1673" s="16"/>
      <c r="R1673" s="16"/>
      <c r="S1673" s="16"/>
      <c r="T1673" s="16"/>
      <c r="U1673" s="16"/>
      <c r="V1673" s="16"/>
      <c r="W1673" s="16"/>
      <c r="X1673" s="16"/>
      <c r="Y1673" s="16"/>
      <c r="Z1673" s="16"/>
      <c r="AA1673" s="16"/>
      <c r="AB1673" s="16"/>
      <c r="AC1673" s="16"/>
      <c r="AD1673" s="16"/>
      <c r="AE1673" s="16"/>
      <c r="AF1673" s="16"/>
      <c r="AG1673" s="16"/>
      <c r="AH1673" s="16"/>
      <c r="AI1673" s="16"/>
      <c r="AJ1673" s="16"/>
      <c r="AK1673" s="16"/>
      <c r="AL1673" s="16"/>
      <c r="AM1673" s="16"/>
      <c r="AN1673" s="16"/>
      <c r="AO1673" s="16"/>
      <c r="AP1673" s="16"/>
      <c r="AQ1673" s="16"/>
      <c r="AR1673" s="16"/>
      <c r="AS1673" s="16"/>
      <c r="AT1673" s="16"/>
      <c r="AU1673" s="16"/>
      <c r="AV1673" s="16"/>
      <c r="AW1673" s="16"/>
      <c r="AX1673" s="16"/>
      <c r="AY1673" s="16"/>
      <c r="AZ1673" s="16"/>
      <c r="BA1673" s="16"/>
      <c r="BB1673" s="16"/>
      <c r="BC1673" s="16"/>
      <c r="BD1673" s="16"/>
      <c r="BE1673" s="16"/>
      <c r="BF1673" s="16"/>
      <c r="BG1673" s="16"/>
      <c r="BH1673" s="16"/>
      <c r="BI1673" s="16"/>
      <c r="BJ1673" s="16"/>
      <c r="BK1673" s="16"/>
      <c r="BL1673" s="16"/>
      <c r="BM1673" s="16"/>
      <c r="BN1673" s="16"/>
      <c r="BO1673" s="16"/>
      <c r="BP1673" s="16"/>
      <c r="BQ1673" s="16"/>
      <c r="BR1673" s="16"/>
      <c r="BS1673" s="16"/>
      <c r="BT1673" s="16"/>
      <c r="BU1673" s="16"/>
      <c r="BV1673" s="16"/>
      <c r="BW1673" s="16"/>
      <c r="BX1673" s="16"/>
      <c r="BY1673" s="16"/>
      <c r="BZ1673" s="16"/>
      <c r="CA1673" s="16"/>
      <c r="CB1673" s="16"/>
      <c r="CC1673" s="16"/>
      <c r="CD1673" s="16"/>
      <c r="CE1673" s="16"/>
      <c r="CF1673" s="16"/>
      <c r="CG1673" s="16"/>
      <c r="CH1673" s="16"/>
      <c r="CI1673" s="16"/>
      <c r="CJ1673" s="16"/>
      <c r="CK1673" s="16"/>
      <c r="CL1673" s="16"/>
      <c r="CM1673" s="16"/>
      <c r="CN1673" s="16"/>
      <c r="CO1673" s="16"/>
      <c r="CP1673" s="16"/>
      <c r="CQ1673" s="16"/>
      <c r="CR1673" s="16"/>
      <c r="CS1673" s="16"/>
      <c r="CT1673" s="16"/>
      <c r="CU1673" s="16"/>
      <c r="CV1673" s="16"/>
      <c r="CW1673" s="16"/>
      <c r="CX1673" s="16"/>
      <c r="CY1673" s="16"/>
      <c r="CZ1673" s="16"/>
      <c r="DA1673" s="16"/>
      <c r="DB1673" s="16"/>
      <c r="DC1673" s="16"/>
      <c r="DD1673" s="16"/>
      <c r="DE1673" s="16"/>
      <c r="DF1673" s="16"/>
    </row>
    <row r="1674" spans="8:110" x14ac:dyDescent="0.3">
      <c r="H1674" s="4">
        <f t="shared" si="206"/>
        <v>0</v>
      </c>
      <c r="K1674" s="3"/>
      <c r="L1674" s="16"/>
      <c r="M1674" s="16"/>
      <c r="N1674" s="16"/>
      <c r="O1674" s="16"/>
      <c r="P1674" s="16"/>
      <c r="Q1674" s="16"/>
      <c r="R1674" s="16"/>
      <c r="S1674" s="16"/>
      <c r="T1674" s="16"/>
      <c r="U1674" s="16"/>
      <c r="V1674" s="16"/>
      <c r="W1674" s="16"/>
      <c r="X1674" s="16"/>
      <c r="Y1674" s="16"/>
      <c r="Z1674" s="16"/>
      <c r="AA1674" s="16"/>
      <c r="AB1674" s="16"/>
      <c r="AC1674" s="16"/>
      <c r="AD1674" s="16"/>
      <c r="AE1674" s="16"/>
      <c r="AF1674" s="16"/>
      <c r="AG1674" s="16"/>
      <c r="AH1674" s="16"/>
      <c r="AI1674" s="16"/>
      <c r="AJ1674" s="16"/>
      <c r="AK1674" s="16"/>
      <c r="AL1674" s="16"/>
      <c r="AM1674" s="16"/>
      <c r="AN1674" s="16"/>
      <c r="AO1674" s="16"/>
      <c r="AP1674" s="16"/>
      <c r="AQ1674" s="16"/>
      <c r="AR1674" s="16"/>
      <c r="AS1674" s="16"/>
      <c r="AT1674" s="16"/>
      <c r="AU1674" s="16"/>
      <c r="AV1674" s="16"/>
      <c r="AW1674" s="16"/>
      <c r="AX1674" s="16"/>
      <c r="AY1674" s="16"/>
      <c r="AZ1674" s="16"/>
      <c r="BA1674" s="16"/>
      <c r="BB1674" s="16"/>
      <c r="BC1674" s="16"/>
      <c r="BD1674" s="16"/>
      <c r="BE1674" s="16"/>
      <c r="BF1674" s="16"/>
      <c r="BG1674" s="16"/>
      <c r="BH1674" s="16"/>
      <c r="BI1674" s="16"/>
      <c r="BJ1674" s="16"/>
      <c r="BK1674" s="16"/>
      <c r="BL1674" s="16"/>
      <c r="BM1674" s="16"/>
      <c r="BN1674" s="16"/>
      <c r="BO1674" s="16"/>
      <c r="BP1674" s="16"/>
      <c r="BQ1674" s="16"/>
      <c r="BR1674" s="16"/>
      <c r="BS1674" s="16"/>
      <c r="BT1674" s="16"/>
      <c r="BU1674" s="16"/>
      <c r="BV1674" s="16"/>
      <c r="BW1674" s="16"/>
      <c r="BX1674" s="16"/>
      <c r="BY1674" s="16"/>
      <c r="BZ1674" s="16"/>
      <c r="CA1674" s="16"/>
      <c r="CB1674" s="16"/>
      <c r="CC1674" s="16"/>
      <c r="CD1674" s="16"/>
      <c r="CE1674" s="16"/>
      <c r="CF1674" s="16"/>
      <c r="CG1674" s="16"/>
      <c r="CH1674" s="16"/>
      <c r="CI1674" s="16"/>
      <c r="CJ1674" s="16"/>
      <c r="CK1674" s="16"/>
      <c r="CL1674" s="16"/>
      <c r="CM1674" s="16"/>
      <c r="CN1674" s="16"/>
      <c r="CO1674" s="16"/>
      <c r="CP1674" s="16"/>
      <c r="CQ1674" s="16"/>
      <c r="CR1674" s="16"/>
      <c r="CS1674" s="16"/>
      <c r="CT1674" s="16"/>
      <c r="CU1674" s="16"/>
      <c r="CV1674" s="16"/>
      <c r="CW1674" s="16"/>
      <c r="CX1674" s="16"/>
      <c r="CY1674" s="16"/>
      <c r="CZ1674" s="16"/>
      <c r="DA1674" s="16"/>
      <c r="DB1674" s="16"/>
      <c r="DC1674" s="16"/>
      <c r="DD1674" s="16"/>
      <c r="DE1674" s="16"/>
      <c r="DF1674" s="16"/>
    </row>
    <row r="1675" spans="8:110" x14ac:dyDescent="0.3">
      <c r="H1675" s="4">
        <f t="shared" si="206"/>
        <v>0</v>
      </c>
      <c r="K1675" s="3"/>
      <c r="L1675" s="16"/>
      <c r="M1675" s="16"/>
      <c r="N1675" s="16"/>
      <c r="O1675" s="16"/>
      <c r="P1675" s="16"/>
      <c r="Q1675" s="16"/>
      <c r="R1675" s="16"/>
      <c r="S1675" s="16"/>
      <c r="T1675" s="16"/>
      <c r="U1675" s="16"/>
      <c r="V1675" s="16"/>
      <c r="W1675" s="16"/>
      <c r="X1675" s="16"/>
      <c r="Y1675" s="16"/>
      <c r="Z1675" s="16"/>
      <c r="AA1675" s="16"/>
      <c r="AB1675" s="16"/>
      <c r="AC1675" s="16"/>
      <c r="AD1675" s="16"/>
      <c r="AE1675" s="16"/>
      <c r="AF1675" s="16"/>
      <c r="AG1675" s="16"/>
      <c r="AH1675" s="16"/>
      <c r="AI1675" s="16"/>
      <c r="AJ1675" s="16"/>
      <c r="AK1675" s="16"/>
      <c r="AL1675" s="16"/>
      <c r="AM1675" s="16"/>
      <c r="AN1675" s="16"/>
      <c r="AO1675" s="16"/>
      <c r="AP1675" s="16"/>
      <c r="AQ1675" s="16"/>
      <c r="AR1675" s="16"/>
      <c r="AS1675" s="16"/>
      <c r="AT1675" s="16"/>
      <c r="AU1675" s="16"/>
      <c r="AV1675" s="16"/>
      <c r="AW1675" s="16"/>
      <c r="AX1675" s="16"/>
      <c r="AY1675" s="16"/>
      <c r="AZ1675" s="16"/>
      <c r="BA1675" s="16"/>
      <c r="BB1675" s="16"/>
      <c r="BC1675" s="16"/>
      <c r="BD1675" s="16"/>
      <c r="BE1675" s="16"/>
      <c r="BF1675" s="16"/>
      <c r="BG1675" s="16"/>
      <c r="BH1675" s="16"/>
      <c r="BI1675" s="16"/>
      <c r="BJ1675" s="16"/>
      <c r="BK1675" s="16"/>
      <c r="BL1675" s="16"/>
      <c r="BM1675" s="16"/>
      <c r="BN1675" s="16"/>
      <c r="BO1675" s="16"/>
      <c r="BP1675" s="16"/>
      <c r="BQ1675" s="16"/>
      <c r="BR1675" s="16"/>
      <c r="BS1675" s="16"/>
      <c r="BT1675" s="16"/>
      <c r="BU1675" s="16"/>
      <c r="BV1675" s="16"/>
      <c r="BW1675" s="16"/>
      <c r="BX1675" s="16"/>
      <c r="BY1675" s="16"/>
      <c r="BZ1675" s="16"/>
      <c r="CA1675" s="16"/>
      <c r="CB1675" s="16"/>
      <c r="CC1675" s="16"/>
      <c r="CD1675" s="16"/>
      <c r="CE1675" s="16"/>
      <c r="CF1675" s="16"/>
      <c r="CG1675" s="16"/>
      <c r="CH1675" s="16"/>
      <c r="CI1675" s="16"/>
      <c r="CJ1675" s="16"/>
      <c r="CK1675" s="16"/>
      <c r="CL1675" s="16"/>
      <c r="CM1675" s="16"/>
      <c r="CN1675" s="16"/>
      <c r="CO1675" s="16"/>
      <c r="CP1675" s="16"/>
      <c r="CQ1675" s="16"/>
      <c r="CR1675" s="16"/>
      <c r="CS1675" s="16"/>
      <c r="CT1675" s="16"/>
      <c r="CU1675" s="16"/>
      <c r="CV1675" s="16"/>
      <c r="CW1675" s="16"/>
      <c r="CX1675" s="16"/>
      <c r="CY1675" s="16"/>
      <c r="CZ1675" s="16"/>
      <c r="DA1675" s="16"/>
      <c r="DB1675" s="16"/>
      <c r="DC1675" s="16"/>
      <c r="DD1675" s="16"/>
      <c r="DE1675" s="16"/>
      <c r="DF1675" s="16"/>
    </row>
    <row r="1676" spans="8:110" x14ac:dyDescent="0.3">
      <c r="H1676" s="4">
        <f t="shared" si="206"/>
        <v>0</v>
      </c>
      <c r="K1676" s="3"/>
      <c r="L1676" s="16"/>
      <c r="M1676" s="16"/>
      <c r="N1676" s="16"/>
      <c r="O1676" s="16"/>
      <c r="P1676" s="16"/>
      <c r="Q1676" s="16"/>
      <c r="R1676" s="16"/>
      <c r="S1676" s="16"/>
      <c r="T1676" s="16"/>
      <c r="U1676" s="16"/>
      <c r="V1676" s="16"/>
      <c r="W1676" s="16"/>
      <c r="X1676" s="16"/>
      <c r="Y1676" s="16"/>
      <c r="Z1676" s="16"/>
      <c r="AA1676" s="16"/>
      <c r="AB1676" s="16"/>
      <c r="AC1676" s="16"/>
      <c r="AD1676" s="16"/>
      <c r="AE1676" s="16"/>
      <c r="AF1676" s="16"/>
      <c r="AG1676" s="16"/>
      <c r="AH1676" s="16"/>
      <c r="AI1676" s="16"/>
      <c r="AJ1676" s="16"/>
      <c r="AK1676" s="16"/>
      <c r="AL1676" s="16"/>
      <c r="AM1676" s="16"/>
      <c r="AN1676" s="16"/>
      <c r="AO1676" s="16"/>
      <c r="AP1676" s="16"/>
      <c r="AQ1676" s="16"/>
      <c r="AR1676" s="16"/>
      <c r="AS1676" s="16"/>
      <c r="AT1676" s="16"/>
      <c r="AU1676" s="16"/>
      <c r="AV1676" s="16"/>
      <c r="AW1676" s="16"/>
      <c r="AX1676" s="16"/>
      <c r="AY1676" s="16"/>
      <c r="AZ1676" s="16"/>
      <c r="BA1676" s="16"/>
      <c r="BB1676" s="16"/>
      <c r="BC1676" s="16"/>
      <c r="BD1676" s="16"/>
      <c r="BE1676" s="16"/>
      <c r="BF1676" s="16"/>
      <c r="BG1676" s="16"/>
      <c r="BH1676" s="16"/>
      <c r="BI1676" s="16"/>
      <c r="BJ1676" s="16"/>
      <c r="BK1676" s="16"/>
      <c r="BL1676" s="16"/>
      <c r="BM1676" s="16"/>
      <c r="BN1676" s="16"/>
      <c r="BO1676" s="16"/>
      <c r="BP1676" s="16"/>
      <c r="BQ1676" s="16"/>
      <c r="BR1676" s="16"/>
      <c r="BS1676" s="16"/>
      <c r="BT1676" s="16"/>
      <c r="BU1676" s="16"/>
      <c r="BV1676" s="16"/>
      <c r="BW1676" s="16"/>
      <c r="BX1676" s="16"/>
      <c r="BY1676" s="16"/>
      <c r="BZ1676" s="16"/>
      <c r="CA1676" s="16"/>
      <c r="CB1676" s="16"/>
      <c r="CC1676" s="16"/>
      <c r="CD1676" s="16"/>
      <c r="CE1676" s="16"/>
      <c r="CF1676" s="16"/>
      <c r="CG1676" s="16"/>
      <c r="CH1676" s="16"/>
      <c r="CI1676" s="16"/>
      <c r="CJ1676" s="16"/>
      <c r="CK1676" s="16"/>
      <c r="CL1676" s="16"/>
      <c r="CM1676" s="16"/>
      <c r="CN1676" s="16"/>
      <c r="CO1676" s="16"/>
      <c r="CP1676" s="16"/>
      <c r="CQ1676" s="16"/>
      <c r="CR1676" s="16"/>
      <c r="CS1676" s="16"/>
      <c r="CT1676" s="16"/>
      <c r="CU1676" s="16"/>
      <c r="CV1676" s="16"/>
      <c r="CW1676" s="16"/>
      <c r="CX1676" s="16"/>
      <c r="CY1676" s="16"/>
      <c r="CZ1676" s="16"/>
      <c r="DA1676" s="16"/>
      <c r="DB1676" s="16"/>
      <c r="DC1676" s="16"/>
      <c r="DD1676" s="16"/>
      <c r="DE1676" s="16"/>
      <c r="DF1676" s="16"/>
    </row>
    <row r="1677" spans="8:110" x14ac:dyDescent="0.3">
      <c r="H1677" s="4">
        <f t="shared" si="206"/>
        <v>0</v>
      </c>
      <c r="K1677" s="3"/>
      <c r="L1677" s="16"/>
      <c r="M1677" s="16"/>
      <c r="N1677" s="16"/>
      <c r="O1677" s="16"/>
      <c r="P1677" s="16"/>
      <c r="Q1677" s="16"/>
      <c r="R1677" s="16"/>
      <c r="S1677" s="16"/>
      <c r="T1677" s="16"/>
      <c r="U1677" s="16"/>
      <c r="V1677" s="16"/>
      <c r="W1677" s="16"/>
      <c r="X1677" s="16"/>
      <c r="Y1677" s="16"/>
      <c r="Z1677" s="16"/>
      <c r="AA1677" s="16"/>
      <c r="AB1677" s="16"/>
      <c r="AC1677" s="16"/>
      <c r="AD1677" s="16"/>
      <c r="AE1677" s="16"/>
      <c r="AF1677" s="16"/>
      <c r="AG1677" s="16"/>
      <c r="AH1677" s="16"/>
      <c r="AI1677" s="16"/>
      <c r="AJ1677" s="16"/>
      <c r="AK1677" s="16"/>
      <c r="AL1677" s="16"/>
      <c r="AM1677" s="16"/>
      <c r="AN1677" s="16"/>
      <c r="AO1677" s="16"/>
      <c r="AP1677" s="16"/>
      <c r="AQ1677" s="16"/>
      <c r="AR1677" s="16"/>
      <c r="AS1677" s="16"/>
      <c r="AT1677" s="16"/>
      <c r="AU1677" s="16"/>
      <c r="AV1677" s="16"/>
      <c r="AW1677" s="16"/>
      <c r="AX1677" s="16"/>
      <c r="AY1677" s="16"/>
      <c r="AZ1677" s="16"/>
      <c r="BA1677" s="16"/>
      <c r="BB1677" s="16"/>
      <c r="BC1677" s="16"/>
      <c r="BD1677" s="16"/>
      <c r="BE1677" s="16"/>
      <c r="BF1677" s="16"/>
      <c r="BG1677" s="16"/>
      <c r="BH1677" s="16"/>
      <c r="BI1677" s="16"/>
      <c r="BJ1677" s="16"/>
      <c r="BK1677" s="16"/>
      <c r="BL1677" s="16"/>
      <c r="BM1677" s="16"/>
      <c r="BN1677" s="16"/>
      <c r="BO1677" s="16"/>
      <c r="BP1677" s="16"/>
      <c r="BQ1677" s="16"/>
      <c r="BR1677" s="16"/>
      <c r="BS1677" s="16"/>
      <c r="BT1677" s="16"/>
      <c r="BU1677" s="16"/>
      <c r="BV1677" s="16"/>
      <c r="BW1677" s="16"/>
      <c r="BX1677" s="16"/>
      <c r="BY1677" s="16"/>
      <c r="BZ1677" s="16"/>
      <c r="CA1677" s="16"/>
      <c r="CB1677" s="16"/>
      <c r="CC1677" s="16"/>
      <c r="CD1677" s="16"/>
      <c r="CE1677" s="16"/>
      <c r="CF1677" s="16"/>
      <c r="CG1677" s="16"/>
      <c r="CH1677" s="16"/>
      <c r="CI1677" s="16"/>
      <c r="CJ1677" s="16"/>
      <c r="CK1677" s="16"/>
      <c r="CL1677" s="16"/>
      <c r="CM1677" s="16"/>
      <c r="CN1677" s="16"/>
      <c r="CO1677" s="16"/>
      <c r="CP1677" s="16"/>
      <c r="CQ1677" s="16"/>
      <c r="CR1677" s="16"/>
      <c r="CS1677" s="16"/>
      <c r="CT1677" s="16"/>
      <c r="CU1677" s="16"/>
      <c r="CV1677" s="16"/>
      <c r="CW1677" s="16"/>
      <c r="CX1677" s="16"/>
      <c r="CY1677" s="16"/>
      <c r="CZ1677" s="16"/>
      <c r="DA1677" s="16"/>
      <c r="DB1677" s="16"/>
      <c r="DC1677" s="16"/>
      <c r="DD1677" s="16"/>
      <c r="DE1677" s="16"/>
      <c r="DF1677" s="16"/>
    </row>
    <row r="1678" spans="8:110" x14ac:dyDescent="0.3">
      <c r="H1678" s="4">
        <f t="shared" si="206"/>
        <v>0</v>
      </c>
      <c r="K1678" s="3"/>
      <c r="L1678" s="16"/>
      <c r="M1678" s="16"/>
      <c r="N1678" s="16"/>
      <c r="O1678" s="16"/>
      <c r="P1678" s="16"/>
      <c r="Q1678" s="16"/>
      <c r="R1678" s="16"/>
      <c r="S1678" s="16"/>
      <c r="T1678" s="16"/>
      <c r="U1678" s="16"/>
      <c r="V1678" s="16"/>
      <c r="W1678" s="16"/>
      <c r="X1678" s="16"/>
      <c r="Y1678" s="16"/>
      <c r="Z1678" s="16"/>
      <c r="AA1678" s="16"/>
      <c r="AB1678" s="16"/>
      <c r="AC1678" s="16"/>
      <c r="AD1678" s="16"/>
      <c r="AE1678" s="16"/>
      <c r="AF1678" s="16"/>
      <c r="AG1678" s="16"/>
      <c r="AH1678" s="16"/>
      <c r="AI1678" s="16"/>
      <c r="AJ1678" s="16"/>
      <c r="AK1678" s="16"/>
      <c r="AL1678" s="16"/>
      <c r="AM1678" s="16"/>
      <c r="AN1678" s="16"/>
      <c r="AO1678" s="16"/>
      <c r="AP1678" s="16"/>
      <c r="AQ1678" s="16"/>
      <c r="AR1678" s="16"/>
      <c r="AS1678" s="16"/>
      <c r="AT1678" s="16"/>
      <c r="AU1678" s="16"/>
      <c r="AV1678" s="16"/>
      <c r="AW1678" s="16"/>
      <c r="AX1678" s="16"/>
      <c r="AY1678" s="16"/>
      <c r="AZ1678" s="16"/>
      <c r="BA1678" s="16"/>
      <c r="BB1678" s="16"/>
      <c r="BC1678" s="16"/>
      <c r="BD1678" s="16"/>
      <c r="BE1678" s="16"/>
      <c r="BF1678" s="16"/>
      <c r="BG1678" s="16"/>
      <c r="BH1678" s="16"/>
      <c r="BI1678" s="16"/>
      <c r="BJ1678" s="16"/>
      <c r="BK1678" s="16"/>
      <c r="BL1678" s="16"/>
      <c r="BM1678" s="16"/>
      <c r="BN1678" s="16"/>
      <c r="BO1678" s="16"/>
      <c r="BP1678" s="16"/>
      <c r="BQ1678" s="16"/>
      <c r="BR1678" s="16"/>
      <c r="BS1678" s="16"/>
      <c r="BT1678" s="16"/>
      <c r="BU1678" s="16"/>
      <c r="BV1678" s="16"/>
      <c r="BW1678" s="16"/>
      <c r="BX1678" s="16"/>
      <c r="BY1678" s="16"/>
      <c r="BZ1678" s="16"/>
      <c r="CA1678" s="16"/>
      <c r="CB1678" s="16"/>
      <c r="CC1678" s="16"/>
      <c r="CD1678" s="16"/>
      <c r="CE1678" s="16"/>
      <c r="CF1678" s="16"/>
      <c r="CG1678" s="16"/>
      <c r="CH1678" s="16"/>
      <c r="CI1678" s="16"/>
      <c r="CJ1678" s="16"/>
      <c r="CK1678" s="16"/>
      <c r="CL1678" s="16"/>
      <c r="CM1678" s="16"/>
      <c r="CN1678" s="16"/>
      <c r="CO1678" s="16"/>
      <c r="CP1678" s="16"/>
      <c r="CQ1678" s="16"/>
      <c r="CR1678" s="16"/>
      <c r="CS1678" s="16"/>
      <c r="CT1678" s="16"/>
      <c r="CU1678" s="16"/>
      <c r="CV1678" s="16"/>
      <c r="CW1678" s="16"/>
      <c r="CX1678" s="16"/>
      <c r="CY1678" s="16"/>
      <c r="CZ1678" s="16"/>
      <c r="DA1678" s="16"/>
      <c r="DB1678" s="16"/>
      <c r="DC1678" s="16"/>
      <c r="DD1678" s="16"/>
      <c r="DE1678" s="16"/>
      <c r="DF1678" s="16"/>
    </row>
    <row r="1679" spans="8:110" x14ac:dyDescent="0.3">
      <c r="H1679" s="4">
        <f t="shared" si="206"/>
        <v>0</v>
      </c>
      <c r="K1679" s="3"/>
      <c r="L1679" s="16"/>
      <c r="M1679" s="16"/>
      <c r="N1679" s="16"/>
      <c r="O1679" s="16"/>
      <c r="P1679" s="16"/>
      <c r="Q1679" s="16"/>
      <c r="R1679" s="16"/>
      <c r="S1679" s="16"/>
      <c r="T1679" s="16"/>
      <c r="U1679" s="16"/>
      <c r="V1679" s="16"/>
      <c r="W1679" s="16"/>
      <c r="X1679" s="16"/>
      <c r="Y1679" s="16"/>
      <c r="Z1679" s="16"/>
      <c r="AA1679" s="16"/>
      <c r="AB1679" s="16"/>
      <c r="AC1679" s="16"/>
      <c r="AD1679" s="16"/>
      <c r="AE1679" s="16"/>
      <c r="AF1679" s="16"/>
      <c r="AG1679" s="16"/>
      <c r="AH1679" s="16"/>
      <c r="AI1679" s="16"/>
      <c r="AJ1679" s="16"/>
      <c r="AK1679" s="16"/>
      <c r="AL1679" s="16"/>
      <c r="AM1679" s="16"/>
      <c r="AN1679" s="16"/>
      <c r="AO1679" s="16"/>
      <c r="AP1679" s="16"/>
      <c r="AQ1679" s="16"/>
      <c r="AR1679" s="16"/>
      <c r="AS1679" s="16"/>
      <c r="AT1679" s="16"/>
      <c r="AU1679" s="16"/>
      <c r="AV1679" s="16"/>
      <c r="AW1679" s="16"/>
      <c r="AX1679" s="16"/>
      <c r="AY1679" s="16"/>
      <c r="AZ1679" s="16"/>
      <c r="BA1679" s="16"/>
      <c r="BB1679" s="16"/>
      <c r="BC1679" s="16"/>
      <c r="BD1679" s="16"/>
      <c r="BE1679" s="16"/>
      <c r="BF1679" s="16"/>
      <c r="BG1679" s="16"/>
      <c r="BH1679" s="16"/>
      <c r="BI1679" s="16"/>
      <c r="BJ1679" s="16"/>
      <c r="BK1679" s="16"/>
      <c r="BL1679" s="16"/>
      <c r="BM1679" s="16"/>
      <c r="BN1679" s="16"/>
      <c r="BO1679" s="16"/>
      <c r="BP1679" s="16"/>
      <c r="BQ1679" s="16"/>
      <c r="BR1679" s="16"/>
      <c r="BS1679" s="16"/>
      <c r="BT1679" s="16"/>
      <c r="BU1679" s="16"/>
      <c r="BV1679" s="16"/>
      <c r="BW1679" s="16"/>
      <c r="BX1679" s="16"/>
      <c r="BY1679" s="16"/>
      <c r="BZ1679" s="16"/>
      <c r="CA1679" s="16"/>
      <c r="CB1679" s="16"/>
      <c r="CC1679" s="16"/>
      <c r="CD1679" s="16"/>
      <c r="CE1679" s="16"/>
      <c r="CF1679" s="16"/>
      <c r="CG1679" s="16"/>
      <c r="CH1679" s="16"/>
      <c r="CI1679" s="16"/>
      <c r="CJ1679" s="16"/>
      <c r="CK1679" s="16"/>
      <c r="CL1679" s="16"/>
      <c r="CM1679" s="16"/>
      <c r="CN1679" s="16"/>
      <c r="CO1679" s="16"/>
      <c r="CP1679" s="16"/>
      <c r="CQ1679" s="16"/>
      <c r="CR1679" s="16"/>
      <c r="CS1679" s="16"/>
      <c r="CT1679" s="16"/>
      <c r="CU1679" s="16"/>
      <c r="CV1679" s="16"/>
      <c r="CW1679" s="16"/>
      <c r="CX1679" s="16"/>
      <c r="CY1679" s="16"/>
      <c r="CZ1679" s="16"/>
      <c r="DA1679" s="16"/>
      <c r="DB1679" s="16"/>
      <c r="DC1679" s="16"/>
      <c r="DD1679" s="16"/>
      <c r="DE1679" s="16"/>
      <c r="DF1679" s="16"/>
    </row>
    <row r="1680" spans="8:110" x14ac:dyDescent="0.3">
      <c r="H1680" s="4">
        <f t="shared" si="206"/>
        <v>0</v>
      </c>
      <c r="K1680" s="3"/>
      <c r="L1680" s="16"/>
      <c r="M1680" s="16"/>
      <c r="N1680" s="16"/>
      <c r="O1680" s="16"/>
      <c r="P1680" s="16"/>
      <c r="Q1680" s="16"/>
      <c r="R1680" s="16"/>
      <c r="S1680" s="16"/>
      <c r="T1680" s="16"/>
      <c r="U1680" s="16"/>
      <c r="V1680" s="16"/>
      <c r="W1680" s="16"/>
      <c r="X1680" s="16"/>
      <c r="Y1680" s="16"/>
      <c r="Z1680" s="16"/>
      <c r="AA1680" s="16"/>
      <c r="AB1680" s="16"/>
      <c r="AC1680" s="16"/>
      <c r="AD1680" s="16"/>
      <c r="AE1680" s="16"/>
      <c r="AF1680" s="16"/>
      <c r="AG1680" s="16"/>
      <c r="AH1680" s="16"/>
      <c r="AI1680" s="16"/>
      <c r="AJ1680" s="16"/>
      <c r="AK1680" s="16"/>
      <c r="AL1680" s="16"/>
      <c r="AM1680" s="16"/>
      <c r="AN1680" s="16"/>
      <c r="AO1680" s="16"/>
      <c r="AP1680" s="16"/>
      <c r="AQ1680" s="16"/>
      <c r="AR1680" s="16"/>
      <c r="AS1680" s="16"/>
      <c r="AT1680" s="16"/>
      <c r="AU1680" s="16"/>
      <c r="AV1680" s="16"/>
      <c r="AW1680" s="16"/>
      <c r="AX1680" s="16"/>
      <c r="AY1680" s="16"/>
      <c r="AZ1680" s="16"/>
      <c r="BA1680" s="16"/>
      <c r="BB1680" s="16"/>
      <c r="BC1680" s="16"/>
      <c r="BD1680" s="16"/>
      <c r="BE1680" s="16"/>
      <c r="BF1680" s="16"/>
      <c r="BG1680" s="16"/>
      <c r="BH1680" s="16"/>
      <c r="BI1680" s="16"/>
      <c r="BJ1680" s="16"/>
      <c r="BK1680" s="16"/>
      <c r="BL1680" s="16"/>
      <c r="BM1680" s="16"/>
      <c r="BN1680" s="16"/>
      <c r="BO1680" s="16"/>
      <c r="BP1680" s="16"/>
      <c r="BQ1680" s="16"/>
      <c r="BR1680" s="16"/>
      <c r="BS1680" s="16"/>
      <c r="BT1680" s="16"/>
      <c r="BU1680" s="16"/>
      <c r="BV1680" s="16"/>
      <c r="BW1680" s="16"/>
      <c r="BX1680" s="16"/>
      <c r="BY1680" s="16"/>
      <c r="BZ1680" s="16"/>
      <c r="CA1680" s="16"/>
      <c r="CB1680" s="16"/>
      <c r="CC1680" s="16"/>
      <c r="CD1680" s="16"/>
      <c r="CE1680" s="16"/>
      <c r="CF1680" s="16"/>
      <c r="CG1680" s="16"/>
      <c r="CH1680" s="16"/>
      <c r="CI1680" s="16"/>
      <c r="CJ1680" s="16"/>
      <c r="CK1680" s="16"/>
      <c r="CL1680" s="16"/>
      <c r="CM1680" s="16"/>
      <c r="CN1680" s="16"/>
      <c r="CO1680" s="16"/>
      <c r="CP1680" s="16"/>
      <c r="CQ1680" s="16"/>
      <c r="CR1680" s="16"/>
      <c r="CS1680" s="16"/>
      <c r="CT1680" s="16"/>
      <c r="CU1680" s="16"/>
      <c r="CV1680" s="16"/>
      <c r="CW1680" s="16"/>
      <c r="CX1680" s="16"/>
      <c r="CY1680" s="16"/>
      <c r="CZ1680" s="16"/>
      <c r="DA1680" s="16"/>
      <c r="DB1680" s="16"/>
      <c r="DC1680" s="16"/>
      <c r="DD1680" s="16"/>
      <c r="DE1680" s="16"/>
      <c r="DF1680" s="16"/>
    </row>
    <row r="1681" spans="8:110" x14ac:dyDescent="0.3">
      <c r="H1681" s="4">
        <f t="shared" si="206"/>
        <v>0</v>
      </c>
      <c r="K1681" s="3"/>
      <c r="L1681" s="16"/>
      <c r="M1681" s="16"/>
      <c r="N1681" s="16"/>
      <c r="O1681" s="16"/>
      <c r="P1681" s="16"/>
      <c r="Q1681" s="16"/>
      <c r="R1681" s="16"/>
      <c r="S1681" s="16"/>
      <c r="T1681" s="16"/>
      <c r="U1681" s="16"/>
      <c r="V1681" s="16"/>
      <c r="W1681" s="16"/>
      <c r="X1681" s="16"/>
      <c r="Y1681" s="16"/>
      <c r="Z1681" s="16"/>
      <c r="AA1681" s="16"/>
      <c r="AB1681" s="16"/>
      <c r="AC1681" s="16"/>
      <c r="AD1681" s="16"/>
      <c r="AE1681" s="16"/>
      <c r="AF1681" s="16"/>
      <c r="AG1681" s="16"/>
      <c r="AH1681" s="16"/>
      <c r="AI1681" s="16"/>
      <c r="AJ1681" s="16"/>
      <c r="AK1681" s="16"/>
      <c r="AL1681" s="16"/>
      <c r="AM1681" s="16"/>
      <c r="AN1681" s="16"/>
      <c r="AO1681" s="16"/>
      <c r="AP1681" s="16"/>
      <c r="AQ1681" s="16"/>
      <c r="AR1681" s="16"/>
      <c r="AS1681" s="16"/>
      <c r="AT1681" s="16"/>
      <c r="AU1681" s="16"/>
      <c r="AV1681" s="16"/>
      <c r="AW1681" s="16"/>
      <c r="AX1681" s="16"/>
      <c r="AY1681" s="16"/>
      <c r="AZ1681" s="16"/>
      <c r="BA1681" s="16"/>
      <c r="BB1681" s="16"/>
      <c r="BC1681" s="16"/>
      <c r="BD1681" s="16"/>
      <c r="BE1681" s="16"/>
      <c r="BF1681" s="16"/>
      <c r="BG1681" s="16"/>
      <c r="BH1681" s="16"/>
      <c r="BI1681" s="16"/>
      <c r="BJ1681" s="16"/>
      <c r="BK1681" s="16"/>
      <c r="BL1681" s="16"/>
      <c r="BM1681" s="16"/>
      <c r="BN1681" s="16"/>
      <c r="BO1681" s="16"/>
      <c r="BP1681" s="16"/>
      <c r="BQ1681" s="16"/>
      <c r="BR1681" s="16"/>
      <c r="BS1681" s="16"/>
      <c r="BT1681" s="16"/>
      <c r="BU1681" s="16"/>
      <c r="BV1681" s="16"/>
      <c r="BW1681" s="16"/>
      <c r="BX1681" s="16"/>
      <c r="BY1681" s="16"/>
      <c r="BZ1681" s="16"/>
      <c r="CA1681" s="16"/>
      <c r="CB1681" s="16"/>
      <c r="CC1681" s="16"/>
      <c r="CD1681" s="16"/>
      <c r="CE1681" s="16"/>
      <c r="CF1681" s="16"/>
      <c r="CG1681" s="16"/>
      <c r="CH1681" s="16"/>
      <c r="CI1681" s="16"/>
      <c r="CJ1681" s="16"/>
      <c r="CK1681" s="16"/>
      <c r="CL1681" s="16"/>
      <c r="CM1681" s="16"/>
      <c r="CN1681" s="16"/>
      <c r="CO1681" s="16"/>
      <c r="CP1681" s="16"/>
      <c r="CQ1681" s="16"/>
      <c r="CR1681" s="16"/>
      <c r="CS1681" s="16"/>
      <c r="CT1681" s="16"/>
      <c r="CU1681" s="16"/>
      <c r="CV1681" s="16"/>
      <c r="CW1681" s="16"/>
      <c r="CX1681" s="16"/>
      <c r="CY1681" s="16"/>
      <c r="CZ1681" s="16"/>
      <c r="DA1681" s="16"/>
      <c r="DB1681" s="16"/>
      <c r="DC1681" s="16"/>
      <c r="DD1681" s="16"/>
      <c r="DE1681" s="16"/>
      <c r="DF1681" s="16"/>
    </row>
    <row r="1682" spans="8:110" x14ac:dyDescent="0.3">
      <c r="H1682" s="4">
        <f t="shared" si="206"/>
        <v>0</v>
      </c>
      <c r="K1682" s="3"/>
      <c r="L1682" s="16"/>
      <c r="M1682" s="16"/>
      <c r="N1682" s="16"/>
      <c r="O1682" s="16"/>
      <c r="P1682" s="16"/>
      <c r="Q1682" s="16"/>
      <c r="R1682" s="16"/>
      <c r="S1682" s="16"/>
      <c r="T1682" s="16"/>
      <c r="U1682" s="16"/>
      <c r="V1682" s="16"/>
      <c r="W1682" s="16"/>
      <c r="X1682" s="16"/>
      <c r="Y1682" s="16"/>
      <c r="Z1682" s="16"/>
      <c r="AA1682" s="16"/>
      <c r="AB1682" s="16"/>
      <c r="AC1682" s="16"/>
      <c r="AD1682" s="16"/>
      <c r="AE1682" s="16"/>
      <c r="AF1682" s="16"/>
      <c r="AG1682" s="16"/>
      <c r="AH1682" s="16"/>
      <c r="AI1682" s="16"/>
      <c r="AJ1682" s="16"/>
      <c r="AK1682" s="16"/>
      <c r="AL1682" s="16"/>
      <c r="AM1682" s="16"/>
      <c r="AN1682" s="16"/>
      <c r="AO1682" s="16"/>
      <c r="AP1682" s="16"/>
      <c r="AQ1682" s="16"/>
      <c r="AR1682" s="16"/>
      <c r="AS1682" s="16"/>
      <c r="AT1682" s="16"/>
      <c r="AU1682" s="16"/>
      <c r="AV1682" s="16"/>
      <c r="AW1682" s="16"/>
      <c r="AX1682" s="16"/>
      <c r="AY1682" s="16"/>
      <c r="AZ1682" s="16"/>
      <c r="BA1682" s="16"/>
      <c r="BB1682" s="16"/>
      <c r="BC1682" s="16"/>
      <c r="BD1682" s="16"/>
      <c r="BE1682" s="16"/>
      <c r="BF1682" s="16"/>
      <c r="BG1682" s="16"/>
      <c r="BH1682" s="16"/>
      <c r="BI1682" s="16"/>
      <c r="BJ1682" s="16"/>
      <c r="BK1682" s="16"/>
      <c r="BL1682" s="16"/>
      <c r="BM1682" s="16"/>
      <c r="BN1682" s="16"/>
      <c r="BO1682" s="16"/>
      <c r="BP1682" s="16"/>
      <c r="BQ1682" s="16"/>
      <c r="BR1682" s="16"/>
      <c r="BS1682" s="16"/>
      <c r="BT1682" s="16"/>
      <c r="BU1682" s="16"/>
      <c r="BV1682" s="16"/>
      <c r="BW1682" s="16"/>
      <c r="BX1682" s="16"/>
      <c r="BY1682" s="16"/>
      <c r="BZ1682" s="16"/>
      <c r="CA1682" s="16"/>
      <c r="CB1682" s="16"/>
      <c r="CC1682" s="16"/>
      <c r="CD1682" s="16"/>
      <c r="CE1682" s="16"/>
      <c r="CF1682" s="16"/>
      <c r="CG1682" s="16"/>
      <c r="CH1682" s="16"/>
      <c r="CI1682" s="16"/>
      <c r="CJ1682" s="16"/>
      <c r="CK1682" s="16"/>
      <c r="CL1682" s="16"/>
      <c r="CM1682" s="16"/>
      <c r="CN1682" s="16"/>
      <c r="CO1682" s="16"/>
      <c r="CP1682" s="16"/>
      <c r="CQ1682" s="16"/>
      <c r="CR1682" s="16"/>
      <c r="CS1682" s="16"/>
      <c r="CT1682" s="16"/>
      <c r="CU1682" s="16"/>
      <c r="CV1682" s="16"/>
      <c r="CW1682" s="16"/>
      <c r="CX1682" s="16"/>
      <c r="CY1682" s="16"/>
      <c r="CZ1682" s="16"/>
      <c r="DA1682" s="16"/>
      <c r="DB1682" s="16"/>
      <c r="DC1682" s="16"/>
      <c r="DD1682" s="16"/>
      <c r="DE1682" s="16"/>
      <c r="DF1682" s="16"/>
    </row>
    <row r="1683" spans="8:110" x14ac:dyDescent="0.3">
      <c r="H1683" s="4">
        <f t="shared" si="206"/>
        <v>0</v>
      </c>
      <c r="K1683" s="3"/>
      <c r="L1683" s="16"/>
      <c r="M1683" s="16"/>
      <c r="N1683" s="16"/>
      <c r="O1683" s="16"/>
      <c r="P1683" s="16"/>
      <c r="Q1683" s="16"/>
      <c r="R1683" s="16"/>
      <c r="S1683" s="16"/>
      <c r="T1683" s="16"/>
      <c r="U1683" s="16"/>
      <c r="V1683" s="16"/>
      <c r="W1683" s="16"/>
      <c r="X1683" s="16"/>
      <c r="Y1683" s="16"/>
      <c r="Z1683" s="16"/>
      <c r="AA1683" s="16"/>
      <c r="AB1683" s="16"/>
      <c r="AC1683" s="16"/>
      <c r="AD1683" s="16"/>
      <c r="AE1683" s="16"/>
      <c r="AF1683" s="16"/>
      <c r="AG1683" s="16"/>
      <c r="AH1683" s="16"/>
      <c r="AI1683" s="16"/>
      <c r="AJ1683" s="16"/>
      <c r="AK1683" s="16"/>
      <c r="AL1683" s="16"/>
      <c r="AM1683" s="16"/>
      <c r="AN1683" s="16"/>
      <c r="AO1683" s="16"/>
      <c r="AP1683" s="16"/>
      <c r="AQ1683" s="16"/>
      <c r="AR1683" s="16"/>
      <c r="AS1683" s="16"/>
      <c r="AT1683" s="16"/>
      <c r="AU1683" s="16"/>
      <c r="AV1683" s="16"/>
      <c r="AW1683" s="16"/>
      <c r="AX1683" s="16"/>
      <c r="AY1683" s="16"/>
      <c r="AZ1683" s="16"/>
      <c r="BA1683" s="16"/>
      <c r="BB1683" s="16"/>
      <c r="BC1683" s="16"/>
      <c r="BD1683" s="16"/>
      <c r="BE1683" s="16"/>
      <c r="BF1683" s="16"/>
      <c r="BG1683" s="16"/>
      <c r="BH1683" s="16"/>
      <c r="BI1683" s="16"/>
      <c r="BJ1683" s="16"/>
      <c r="BK1683" s="16"/>
      <c r="BL1683" s="16"/>
      <c r="BM1683" s="16"/>
      <c r="BN1683" s="16"/>
      <c r="BO1683" s="16"/>
      <c r="BP1683" s="16"/>
      <c r="BQ1683" s="16"/>
      <c r="BR1683" s="16"/>
      <c r="BS1683" s="16"/>
      <c r="BT1683" s="16"/>
      <c r="BU1683" s="16"/>
      <c r="BV1683" s="16"/>
      <c r="BW1683" s="16"/>
      <c r="BX1683" s="16"/>
      <c r="BY1683" s="16"/>
      <c r="BZ1683" s="16"/>
      <c r="CA1683" s="16"/>
      <c r="CB1683" s="16"/>
      <c r="CC1683" s="16"/>
      <c r="CD1683" s="16"/>
      <c r="CE1683" s="16"/>
      <c r="CF1683" s="16"/>
      <c r="CG1683" s="16"/>
      <c r="CH1683" s="16"/>
      <c r="CI1683" s="16"/>
      <c r="CJ1683" s="16"/>
      <c r="CK1683" s="16"/>
      <c r="CL1683" s="16"/>
      <c r="CM1683" s="16"/>
      <c r="CN1683" s="16"/>
      <c r="CO1683" s="16"/>
      <c r="CP1683" s="16"/>
      <c r="CQ1683" s="16"/>
      <c r="CR1683" s="16"/>
      <c r="CS1683" s="16"/>
      <c r="CT1683" s="16"/>
      <c r="CU1683" s="16"/>
      <c r="CV1683" s="16"/>
      <c r="CW1683" s="16"/>
      <c r="CX1683" s="16"/>
      <c r="CY1683" s="16"/>
      <c r="CZ1683" s="16"/>
      <c r="DA1683" s="16"/>
      <c r="DB1683" s="16"/>
      <c r="DC1683" s="16"/>
      <c r="DD1683" s="16"/>
      <c r="DE1683" s="16"/>
      <c r="DF1683" s="16"/>
    </row>
    <row r="1684" spans="8:110" x14ac:dyDescent="0.3">
      <c r="H1684" s="4">
        <f t="shared" si="206"/>
        <v>0</v>
      </c>
      <c r="K1684" s="3"/>
      <c r="L1684" s="16"/>
      <c r="M1684" s="16"/>
      <c r="N1684" s="16"/>
      <c r="O1684" s="16"/>
      <c r="P1684" s="16"/>
      <c r="Q1684" s="16"/>
      <c r="R1684" s="16"/>
      <c r="S1684" s="16"/>
      <c r="T1684" s="16"/>
      <c r="U1684" s="16"/>
      <c r="V1684" s="16"/>
      <c r="W1684" s="16"/>
      <c r="X1684" s="16"/>
      <c r="Y1684" s="16"/>
      <c r="Z1684" s="16"/>
      <c r="AA1684" s="16"/>
      <c r="AB1684" s="16"/>
      <c r="AC1684" s="16"/>
      <c r="AD1684" s="16"/>
      <c r="AE1684" s="16"/>
      <c r="AF1684" s="16"/>
      <c r="AG1684" s="16"/>
      <c r="AH1684" s="16"/>
      <c r="AI1684" s="16"/>
      <c r="AJ1684" s="16"/>
      <c r="AK1684" s="16"/>
      <c r="AL1684" s="16"/>
      <c r="AM1684" s="16"/>
      <c r="AN1684" s="16"/>
      <c r="AO1684" s="16"/>
      <c r="AP1684" s="16"/>
      <c r="AQ1684" s="16"/>
      <c r="AR1684" s="16"/>
      <c r="AS1684" s="16"/>
      <c r="AT1684" s="16"/>
      <c r="AU1684" s="16"/>
      <c r="AV1684" s="16"/>
      <c r="AW1684" s="16"/>
      <c r="AX1684" s="16"/>
      <c r="AY1684" s="16"/>
      <c r="AZ1684" s="16"/>
      <c r="BA1684" s="16"/>
      <c r="BB1684" s="16"/>
      <c r="BC1684" s="16"/>
      <c r="BD1684" s="16"/>
      <c r="BE1684" s="16"/>
      <c r="BF1684" s="16"/>
      <c r="BG1684" s="16"/>
      <c r="BH1684" s="16"/>
      <c r="BI1684" s="16"/>
      <c r="BJ1684" s="16"/>
      <c r="BK1684" s="16"/>
      <c r="BL1684" s="16"/>
      <c r="BM1684" s="16"/>
      <c r="BN1684" s="16"/>
      <c r="BO1684" s="16"/>
      <c r="BP1684" s="16"/>
      <c r="BQ1684" s="16"/>
      <c r="BR1684" s="16"/>
      <c r="BS1684" s="16"/>
      <c r="BT1684" s="16"/>
      <c r="BU1684" s="16"/>
      <c r="BV1684" s="16"/>
      <c r="BW1684" s="16"/>
      <c r="BX1684" s="16"/>
      <c r="BY1684" s="16"/>
      <c r="BZ1684" s="16"/>
      <c r="CA1684" s="16"/>
      <c r="CB1684" s="16"/>
      <c r="CC1684" s="16"/>
      <c r="CD1684" s="16"/>
      <c r="CE1684" s="16"/>
      <c r="CF1684" s="16"/>
      <c r="CG1684" s="16"/>
      <c r="CH1684" s="16"/>
      <c r="CI1684" s="16"/>
      <c r="CJ1684" s="16"/>
      <c r="CK1684" s="16"/>
      <c r="CL1684" s="16"/>
      <c r="CM1684" s="16"/>
      <c r="CN1684" s="16"/>
      <c r="CO1684" s="16"/>
      <c r="CP1684" s="16"/>
      <c r="CQ1684" s="16"/>
      <c r="CR1684" s="16"/>
      <c r="CS1684" s="16"/>
      <c r="CT1684" s="16"/>
      <c r="CU1684" s="16"/>
      <c r="CV1684" s="16"/>
      <c r="CW1684" s="16"/>
      <c r="CX1684" s="16"/>
      <c r="CY1684" s="16"/>
      <c r="CZ1684" s="16"/>
      <c r="DA1684" s="16"/>
      <c r="DB1684" s="16"/>
      <c r="DC1684" s="16"/>
      <c r="DD1684" s="16"/>
      <c r="DE1684" s="16"/>
      <c r="DF1684" s="16"/>
    </row>
    <row r="1685" spans="8:110" x14ac:dyDescent="0.3">
      <c r="H1685" s="4">
        <f t="shared" si="206"/>
        <v>0</v>
      </c>
      <c r="K1685" s="3"/>
      <c r="L1685" s="16"/>
      <c r="M1685" s="16"/>
      <c r="N1685" s="16"/>
      <c r="O1685" s="16"/>
      <c r="P1685" s="16"/>
      <c r="Q1685" s="16"/>
      <c r="R1685" s="16"/>
      <c r="S1685" s="16"/>
      <c r="T1685" s="16"/>
      <c r="U1685" s="16"/>
      <c r="V1685" s="16"/>
      <c r="W1685" s="16"/>
      <c r="X1685" s="16"/>
      <c r="Y1685" s="16"/>
      <c r="Z1685" s="16"/>
      <c r="AA1685" s="16"/>
      <c r="AB1685" s="16"/>
      <c r="AC1685" s="16"/>
      <c r="AD1685" s="16"/>
      <c r="AE1685" s="16"/>
      <c r="AF1685" s="16"/>
      <c r="AG1685" s="16"/>
      <c r="AH1685" s="16"/>
      <c r="AI1685" s="16"/>
      <c r="AJ1685" s="16"/>
      <c r="AK1685" s="16"/>
      <c r="AL1685" s="16"/>
      <c r="AM1685" s="16"/>
      <c r="AN1685" s="16"/>
      <c r="AO1685" s="16"/>
      <c r="AP1685" s="16"/>
      <c r="AQ1685" s="16"/>
      <c r="AR1685" s="16"/>
      <c r="AS1685" s="16"/>
      <c r="AT1685" s="16"/>
      <c r="AU1685" s="16"/>
      <c r="AV1685" s="16"/>
      <c r="AW1685" s="16"/>
      <c r="AX1685" s="16"/>
      <c r="AY1685" s="16"/>
      <c r="AZ1685" s="16"/>
      <c r="BA1685" s="16"/>
      <c r="BB1685" s="16"/>
      <c r="BC1685" s="16"/>
      <c r="BD1685" s="16"/>
      <c r="BE1685" s="16"/>
      <c r="BF1685" s="16"/>
      <c r="BG1685" s="16"/>
      <c r="BH1685" s="16"/>
      <c r="BI1685" s="16"/>
      <c r="BJ1685" s="16"/>
      <c r="BK1685" s="16"/>
      <c r="BL1685" s="16"/>
      <c r="BM1685" s="16"/>
      <c r="BN1685" s="16"/>
      <c r="BO1685" s="16"/>
      <c r="BP1685" s="16"/>
      <c r="BQ1685" s="16"/>
      <c r="BR1685" s="16"/>
      <c r="BS1685" s="16"/>
      <c r="BT1685" s="16"/>
      <c r="BU1685" s="16"/>
      <c r="BV1685" s="16"/>
      <c r="BW1685" s="16"/>
      <c r="BX1685" s="16"/>
      <c r="BY1685" s="16"/>
      <c r="BZ1685" s="16"/>
      <c r="CA1685" s="16"/>
      <c r="CB1685" s="16"/>
      <c r="CC1685" s="16"/>
      <c r="CD1685" s="16"/>
      <c r="CE1685" s="16"/>
      <c r="CF1685" s="16"/>
      <c r="CG1685" s="16"/>
      <c r="CH1685" s="16"/>
      <c r="CI1685" s="16"/>
      <c r="CJ1685" s="16"/>
      <c r="CK1685" s="16"/>
      <c r="CL1685" s="16"/>
      <c r="CM1685" s="16"/>
      <c r="CN1685" s="16"/>
      <c r="CO1685" s="16"/>
      <c r="CP1685" s="16"/>
      <c r="CQ1685" s="16"/>
      <c r="CR1685" s="16"/>
      <c r="CS1685" s="16"/>
      <c r="CT1685" s="16"/>
      <c r="CU1685" s="16"/>
      <c r="CV1685" s="16"/>
      <c r="CW1685" s="16"/>
      <c r="CX1685" s="16"/>
      <c r="CY1685" s="16"/>
      <c r="CZ1685" s="16"/>
      <c r="DA1685" s="16"/>
      <c r="DB1685" s="16"/>
      <c r="DC1685" s="16"/>
      <c r="DD1685" s="16"/>
      <c r="DE1685" s="16"/>
      <c r="DF1685" s="16"/>
    </row>
    <row r="1686" spans="8:110" x14ac:dyDescent="0.3">
      <c r="H1686" s="4">
        <f t="shared" si="206"/>
        <v>0</v>
      </c>
      <c r="K1686" s="3"/>
      <c r="L1686" s="16"/>
      <c r="M1686" s="16"/>
      <c r="N1686" s="16"/>
      <c r="O1686" s="16"/>
      <c r="P1686" s="16"/>
      <c r="Q1686" s="16"/>
      <c r="R1686" s="16"/>
      <c r="S1686" s="16"/>
      <c r="T1686" s="16"/>
      <c r="U1686" s="16"/>
      <c r="V1686" s="16"/>
      <c r="W1686" s="16"/>
      <c r="X1686" s="16"/>
      <c r="Y1686" s="16"/>
      <c r="Z1686" s="16"/>
      <c r="AA1686" s="16"/>
      <c r="AB1686" s="16"/>
      <c r="AC1686" s="16"/>
      <c r="AD1686" s="16"/>
      <c r="AE1686" s="16"/>
      <c r="AF1686" s="16"/>
      <c r="AG1686" s="16"/>
      <c r="AH1686" s="16"/>
      <c r="AI1686" s="16"/>
      <c r="AJ1686" s="16"/>
      <c r="AK1686" s="16"/>
      <c r="AL1686" s="16"/>
      <c r="AM1686" s="16"/>
      <c r="AN1686" s="16"/>
      <c r="AO1686" s="16"/>
      <c r="AP1686" s="16"/>
      <c r="AQ1686" s="16"/>
      <c r="AR1686" s="16"/>
      <c r="AS1686" s="16"/>
      <c r="AT1686" s="16"/>
      <c r="AU1686" s="16"/>
      <c r="AV1686" s="16"/>
      <c r="AW1686" s="16"/>
      <c r="AX1686" s="16"/>
      <c r="AY1686" s="16"/>
      <c r="AZ1686" s="16"/>
      <c r="BA1686" s="16"/>
      <c r="BB1686" s="16"/>
      <c r="BC1686" s="16"/>
      <c r="BD1686" s="16"/>
      <c r="BE1686" s="16"/>
      <c r="BF1686" s="16"/>
      <c r="BG1686" s="16"/>
      <c r="BH1686" s="16"/>
      <c r="BI1686" s="16"/>
      <c r="BJ1686" s="16"/>
      <c r="BK1686" s="16"/>
      <c r="BL1686" s="16"/>
      <c r="BM1686" s="16"/>
      <c r="BN1686" s="16"/>
      <c r="BO1686" s="16"/>
      <c r="BP1686" s="16"/>
      <c r="BQ1686" s="16"/>
      <c r="BR1686" s="16"/>
      <c r="BS1686" s="16"/>
      <c r="BT1686" s="16"/>
      <c r="BU1686" s="16"/>
      <c r="BV1686" s="16"/>
      <c r="BW1686" s="16"/>
      <c r="BX1686" s="16"/>
      <c r="BY1686" s="16"/>
      <c r="BZ1686" s="16"/>
      <c r="CA1686" s="16"/>
      <c r="CB1686" s="16"/>
      <c r="CC1686" s="16"/>
      <c r="CD1686" s="16"/>
      <c r="CE1686" s="16"/>
      <c r="CF1686" s="16"/>
      <c r="CG1686" s="16"/>
      <c r="CH1686" s="16"/>
      <c r="CI1686" s="16"/>
      <c r="CJ1686" s="16"/>
      <c r="CK1686" s="16"/>
      <c r="CL1686" s="16"/>
      <c r="CM1686" s="16"/>
      <c r="CN1686" s="16"/>
      <c r="CO1686" s="16"/>
      <c r="CP1686" s="16"/>
      <c r="CQ1686" s="16"/>
      <c r="CR1686" s="16"/>
      <c r="CS1686" s="16"/>
      <c r="CT1686" s="16"/>
      <c r="CU1686" s="16"/>
      <c r="CV1686" s="16"/>
      <c r="CW1686" s="16"/>
      <c r="CX1686" s="16"/>
      <c r="CY1686" s="16"/>
      <c r="CZ1686" s="16"/>
      <c r="DA1686" s="16"/>
      <c r="DB1686" s="16"/>
      <c r="DC1686" s="16"/>
      <c r="DD1686" s="16"/>
      <c r="DE1686" s="16"/>
      <c r="DF1686" s="16"/>
    </row>
    <row r="1687" spans="8:110" x14ac:dyDescent="0.3">
      <c r="H1687" s="4">
        <f t="shared" si="206"/>
        <v>0</v>
      </c>
      <c r="K1687" s="3"/>
      <c r="L1687" s="16"/>
      <c r="M1687" s="16"/>
      <c r="N1687" s="16"/>
      <c r="O1687" s="16"/>
      <c r="P1687" s="16"/>
      <c r="Q1687" s="16"/>
      <c r="R1687" s="16"/>
      <c r="S1687" s="16"/>
      <c r="T1687" s="16"/>
      <c r="U1687" s="16"/>
      <c r="V1687" s="16"/>
      <c r="W1687" s="16"/>
      <c r="X1687" s="16"/>
      <c r="Y1687" s="16"/>
      <c r="Z1687" s="16"/>
      <c r="AA1687" s="16"/>
      <c r="AB1687" s="16"/>
      <c r="AC1687" s="16"/>
      <c r="AD1687" s="16"/>
      <c r="AE1687" s="16"/>
      <c r="AF1687" s="16"/>
      <c r="AG1687" s="16"/>
      <c r="AH1687" s="16"/>
      <c r="AI1687" s="16"/>
      <c r="AJ1687" s="16"/>
      <c r="AK1687" s="16"/>
      <c r="AL1687" s="16"/>
      <c r="AM1687" s="16"/>
      <c r="AN1687" s="16"/>
      <c r="AO1687" s="16"/>
      <c r="AP1687" s="16"/>
      <c r="AQ1687" s="16"/>
      <c r="AR1687" s="16"/>
      <c r="AS1687" s="16"/>
      <c r="AT1687" s="16"/>
      <c r="AU1687" s="16"/>
      <c r="AV1687" s="16"/>
      <c r="AW1687" s="16"/>
      <c r="AX1687" s="16"/>
      <c r="AY1687" s="16"/>
      <c r="AZ1687" s="16"/>
      <c r="BA1687" s="16"/>
      <c r="BB1687" s="16"/>
      <c r="BC1687" s="16"/>
      <c r="BD1687" s="16"/>
      <c r="BE1687" s="16"/>
      <c r="BF1687" s="16"/>
      <c r="BG1687" s="16"/>
      <c r="BH1687" s="16"/>
      <c r="BI1687" s="16"/>
      <c r="BJ1687" s="16"/>
      <c r="BK1687" s="16"/>
      <c r="BL1687" s="16"/>
      <c r="BM1687" s="16"/>
      <c r="BN1687" s="16"/>
      <c r="BO1687" s="16"/>
      <c r="BP1687" s="16"/>
      <c r="BQ1687" s="16"/>
      <c r="BR1687" s="16"/>
      <c r="BS1687" s="16"/>
      <c r="BT1687" s="16"/>
      <c r="BU1687" s="16"/>
      <c r="BV1687" s="16"/>
      <c r="BW1687" s="16"/>
      <c r="BX1687" s="16"/>
      <c r="BY1687" s="16"/>
      <c r="BZ1687" s="16"/>
      <c r="CA1687" s="16"/>
      <c r="CB1687" s="16"/>
      <c r="CC1687" s="16"/>
      <c r="CD1687" s="16"/>
      <c r="CE1687" s="16"/>
      <c r="CF1687" s="16"/>
      <c r="CG1687" s="16"/>
      <c r="CH1687" s="16"/>
      <c r="CI1687" s="16"/>
      <c r="CJ1687" s="16"/>
      <c r="CK1687" s="16"/>
      <c r="CL1687" s="16"/>
      <c r="CM1687" s="16"/>
      <c r="CN1687" s="16"/>
      <c r="CO1687" s="16"/>
      <c r="CP1687" s="16"/>
      <c r="CQ1687" s="16"/>
      <c r="CR1687" s="16"/>
      <c r="CS1687" s="16"/>
      <c r="CT1687" s="16"/>
      <c r="CU1687" s="16"/>
      <c r="CV1687" s="16"/>
      <c r="CW1687" s="16"/>
      <c r="CX1687" s="16"/>
      <c r="CY1687" s="16"/>
      <c r="CZ1687" s="16"/>
      <c r="DA1687" s="16"/>
      <c r="DB1687" s="16"/>
      <c r="DC1687" s="16"/>
      <c r="DD1687" s="16"/>
      <c r="DE1687" s="16"/>
      <c r="DF1687" s="16"/>
    </row>
    <row r="1688" spans="8:110" x14ac:dyDescent="0.3">
      <c r="H1688" s="4">
        <f t="shared" si="206"/>
        <v>0</v>
      </c>
      <c r="K1688" s="3"/>
      <c r="L1688" s="16"/>
      <c r="M1688" s="16"/>
      <c r="N1688" s="16"/>
      <c r="O1688" s="16"/>
      <c r="P1688" s="16"/>
      <c r="Q1688" s="16"/>
      <c r="R1688" s="16"/>
      <c r="S1688" s="16"/>
      <c r="T1688" s="16"/>
      <c r="U1688" s="16"/>
      <c r="V1688" s="16"/>
      <c r="W1688" s="16"/>
      <c r="X1688" s="16"/>
      <c r="Y1688" s="16"/>
      <c r="Z1688" s="16"/>
      <c r="AA1688" s="16"/>
      <c r="AB1688" s="16"/>
      <c r="AC1688" s="16"/>
      <c r="AD1688" s="16"/>
      <c r="AE1688" s="16"/>
      <c r="AF1688" s="16"/>
      <c r="AG1688" s="16"/>
      <c r="AH1688" s="16"/>
      <c r="AI1688" s="16"/>
      <c r="AJ1688" s="16"/>
      <c r="AK1688" s="16"/>
      <c r="AL1688" s="16"/>
      <c r="AM1688" s="16"/>
      <c r="AN1688" s="16"/>
      <c r="AO1688" s="16"/>
      <c r="AP1688" s="16"/>
      <c r="AQ1688" s="16"/>
      <c r="AR1688" s="16"/>
      <c r="AS1688" s="16"/>
      <c r="AT1688" s="16"/>
      <c r="AU1688" s="16"/>
      <c r="AV1688" s="16"/>
      <c r="AW1688" s="16"/>
      <c r="AX1688" s="16"/>
      <c r="AY1688" s="16"/>
      <c r="AZ1688" s="16"/>
      <c r="BA1688" s="16"/>
      <c r="BB1688" s="16"/>
      <c r="BC1688" s="16"/>
      <c r="BD1688" s="16"/>
      <c r="BE1688" s="16"/>
      <c r="BF1688" s="16"/>
      <c r="BG1688" s="16"/>
      <c r="BH1688" s="16"/>
      <c r="BI1688" s="16"/>
      <c r="BJ1688" s="16"/>
      <c r="BK1688" s="16"/>
      <c r="BL1688" s="16"/>
      <c r="BM1688" s="16"/>
      <c r="BN1688" s="16"/>
      <c r="BO1688" s="16"/>
      <c r="BP1688" s="16"/>
      <c r="BQ1688" s="16"/>
      <c r="BR1688" s="16"/>
      <c r="BS1688" s="16"/>
      <c r="BT1688" s="16"/>
      <c r="BU1688" s="16"/>
      <c r="BV1688" s="16"/>
      <c r="BW1688" s="16"/>
      <c r="BX1688" s="16"/>
      <c r="BY1688" s="16"/>
      <c r="BZ1688" s="16"/>
      <c r="CA1688" s="16"/>
      <c r="CB1688" s="16"/>
      <c r="CC1688" s="16"/>
      <c r="CD1688" s="16"/>
      <c r="CE1688" s="16"/>
      <c r="CF1688" s="16"/>
      <c r="CG1688" s="16"/>
      <c r="CH1688" s="16"/>
      <c r="CI1688" s="16"/>
      <c r="CJ1688" s="16"/>
      <c r="CK1688" s="16"/>
      <c r="CL1688" s="16"/>
      <c r="CM1688" s="16"/>
      <c r="CN1688" s="16"/>
      <c r="CO1688" s="16"/>
      <c r="CP1688" s="16"/>
      <c r="CQ1688" s="16"/>
      <c r="CR1688" s="16"/>
      <c r="CS1688" s="16"/>
      <c r="CT1688" s="16"/>
      <c r="CU1688" s="16"/>
      <c r="CV1688" s="16"/>
      <c r="CW1688" s="16"/>
      <c r="CX1688" s="16"/>
      <c r="CY1688" s="16"/>
      <c r="CZ1688" s="16"/>
      <c r="DA1688" s="16"/>
      <c r="DB1688" s="16"/>
      <c r="DC1688" s="16"/>
      <c r="DD1688" s="16"/>
      <c r="DE1688" s="16"/>
      <c r="DF1688" s="16"/>
    </row>
    <row r="1689" spans="8:110" x14ac:dyDescent="0.3">
      <c r="H1689" s="4">
        <f t="shared" si="206"/>
        <v>0</v>
      </c>
      <c r="K1689" s="3"/>
      <c r="L1689" s="16"/>
      <c r="M1689" s="16"/>
      <c r="N1689" s="16"/>
      <c r="O1689" s="16"/>
      <c r="P1689" s="16"/>
      <c r="Q1689" s="16"/>
      <c r="R1689" s="16"/>
      <c r="S1689" s="16"/>
      <c r="T1689" s="16"/>
      <c r="U1689" s="16"/>
      <c r="V1689" s="16"/>
      <c r="W1689" s="16"/>
      <c r="X1689" s="16"/>
      <c r="Y1689" s="16"/>
      <c r="Z1689" s="16"/>
      <c r="AA1689" s="16"/>
      <c r="AB1689" s="16"/>
      <c r="AC1689" s="16"/>
      <c r="AD1689" s="16"/>
      <c r="AE1689" s="16"/>
      <c r="AF1689" s="16"/>
      <c r="AG1689" s="16"/>
      <c r="AH1689" s="16"/>
      <c r="AI1689" s="16"/>
      <c r="AJ1689" s="16"/>
      <c r="AK1689" s="16"/>
      <c r="AL1689" s="16"/>
      <c r="AM1689" s="16"/>
      <c r="AN1689" s="16"/>
      <c r="AO1689" s="16"/>
      <c r="AP1689" s="16"/>
      <c r="AQ1689" s="16"/>
      <c r="AR1689" s="16"/>
      <c r="AS1689" s="16"/>
      <c r="AT1689" s="16"/>
      <c r="AU1689" s="16"/>
      <c r="AV1689" s="16"/>
      <c r="AW1689" s="16"/>
      <c r="AX1689" s="16"/>
      <c r="AY1689" s="16"/>
      <c r="AZ1689" s="16"/>
      <c r="BA1689" s="16"/>
      <c r="BB1689" s="16"/>
      <c r="BC1689" s="16"/>
      <c r="BD1689" s="16"/>
      <c r="BE1689" s="16"/>
      <c r="BF1689" s="16"/>
      <c r="BG1689" s="16"/>
      <c r="BH1689" s="16"/>
      <c r="BI1689" s="16"/>
      <c r="BJ1689" s="16"/>
      <c r="BK1689" s="16"/>
      <c r="BL1689" s="16"/>
      <c r="BM1689" s="16"/>
      <c r="BN1689" s="16"/>
      <c r="BO1689" s="16"/>
      <c r="BP1689" s="16"/>
      <c r="BQ1689" s="16"/>
      <c r="BR1689" s="16"/>
      <c r="BS1689" s="16"/>
      <c r="BT1689" s="16"/>
      <c r="BU1689" s="16"/>
      <c r="BV1689" s="16"/>
      <c r="BW1689" s="16"/>
      <c r="BX1689" s="16"/>
      <c r="BY1689" s="16"/>
      <c r="BZ1689" s="16"/>
      <c r="CA1689" s="16"/>
      <c r="CB1689" s="16"/>
      <c r="CC1689" s="16"/>
      <c r="CD1689" s="16"/>
      <c r="CE1689" s="16"/>
      <c r="CF1689" s="16"/>
      <c r="CG1689" s="16"/>
      <c r="CH1689" s="16"/>
      <c r="CI1689" s="16"/>
      <c r="CJ1689" s="16"/>
      <c r="CK1689" s="16"/>
      <c r="CL1689" s="16"/>
      <c r="CM1689" s="16"/>
      <c r="CN1689" s="16"/>
      <c r="CO1689" s="16"/>
      <c r="CP1689" s="16"/>
      <c r="CQ1689" s="16"/>
      <c r="CR1689" s="16"/>
      <c r="CS1689" s="16"/>
      <c r="CT1689" s="16"/>
      <c r="CU1689" s="16"/>
      <c r="CV1689" s="16"/>
      <c r="CW1689" s="16"/>
      <c r="CX1689" s="16"/>
      <c r="CY1689" s="16"/>
      <c r="CZ1689" s="16"/>
      <c r="DA1689" s="16"/>
      <c r="DB1689" s="16"/>
      <c r="DC1689" s="16"/>
      <c r="DD1689" s="16"/>
      <c r="DE1689" s="16"/>
      <c r="DF1689" s="16"/>
    </row>
    <row r="1690" spans="8:110" x14ac:dyDescent="0.3">
      <c r="H1690" s="4">
        <f t="shared" si="206"/>
        <v>0</v>
      </c>
      <c r="K1690" s="3"/>
      <c r="L1690" s="16"/>
      <c r="M1690" s="16"/>
      <c r="N1690" s="16"/>
      <c r="O1690" s="16"/>
      <c r="P1690" s="16"/>
      <c r="Q1690" s="16"/>
      <c r="R1690" s="16"/>
      <c r="S1690" s="16"/>
      <c r="T1690" s="16"/>
      <c r="U1690" s="16"/>
      <c r="V1690" s="16"/>
      <c r="W1690" s="16"/>
      <c r="X1690" s="16"/>
      <c r="Y1690" s="16"/>
      <c r="Z1690" s="16"/>
      <c r="AA1690" s="16"/>
      <c r="AB1690" s="16"/>
      <c r="AC1690" s="16"/>
      <c r="AD1690" s="16"/>
      <c r="AE1690" s="16"/>
      <c r="AF1690" s="16"/>
      <c r="AG1690" s="16"/>
      <c r="AH1690" s="16"/>
      <c r="AI1690" s="16"/>
      <c r="AJ1690" s="16"/>
      <c r="AK1690" s="16"/>
      <c r="AL1690" s="16"/>
      <c r="AM1690" s="16"/>
      <c r="AN1690" s="16"/>
      <c r="AO1690" s="16"/>
      <c r="AP1690" s="16"/>
      <c r="AQ1690" s="16"/>
      <c r="AR1690" s="16"/>
      <c r="AS1690" s="16"/>
      <c r="AT1690" s="16"/>
      <c r="AU1690" s="16"/>
      <c r="AV1690" s="16"/>
      <c r="AW1690" s="16"/>
      <c r="AX1690" s="16"/>
      <c r="AY1690" s="16"/>
      <c r="AZ1690" s="16"/>
      <c r="BA1690" s="16"/>
      <c r="BB1690" s="16"/>
      <c r="BC1690" s="16"/>
      <c r="BD1690" s="16"/>
      <c r="BE1690" s="16"/>
      <c r="BF1690" s="16"/>
      <c r="BG1690" s="16"/>
      <c r="BH1690" s="16"/>
      <c r="BI1690" s="16"/>
      <c r="BJ1690" s="16"/>
      <c r="BK1690" s="16"/>
      <c r="BL1690" s="16"/>
      <c r="BM1690" s="16"/>
      <c r="BN1690" s="16"/>
      <c r="BO1690" s="16"/>
      <c r="BP1690" s="16"/>
      <c r="BQ1690" s="16"/>
      <c r="BR1690" s="16"/>
      <c r="BS1690" s="16"/>
      <c r="BT1690" s="16"/>
      <c r="BU1690" s="16"/>
      <c r="BV1690" s="16"/>
      <c r="BW1690" s="16"/>
      <c r="BX1690" s="16"/>
      <c r="BY1690" s="16"/>
      <c r="BZ1690" s="16"/>
      <c r="CA1690" s="16"/>
      <c r="CB1690" s="16"/>
      <c r="CC1690" s="16"/>
      <c r="CD1690" s="16"/>
      <c r="CE1690" s="16"/>
      <c r="CF1690" s="16"/>
      <c r="CG1690" s="16"/>
      <c r="CH1690" s="16"/>
      <c r="CI1690" s="16"/>
      <c r="CJ1690" s="16"/>
      <c r="CK1690" s="16"/>
      <c r="CL1690" s="16"/>
      <c r="CM1690" s="16"/>
      <c r="CN1690" s="16"/>
      <c r="CO1690" s="16"/>
      <c r="CP1690" s="16"/>
      <c r="CQ1690" s="16"/>
      <c r="CR1690" s="16"/>
      <c r="CS1690" s="16"/>
      <c r="CT1690" s="16"/>
      <c r="CU1690" s="16"/>
      <c r="CV1690" s="16"/>
      <c r="CW1690" s="16"/>
      <c r="CX1690" s="16"/>
      <c r="CY1690" s="16"/>
      <c r="CZ1690" s="16"/>
      <c r="DA1690" s="16"/>
      <c r="DB1690" s="16"/>
      <c r="DC1690" s="16"/>
      <c r="DD1690" s="16"/>
      <c r="DE1690" s="16"/>
      <c r="DF1690" s="16"/>
    </row>
    <row r="1691" spans="8:110" x14ac:dyDescent="0.3">
      <c r="H1691" s="4">
        <f t="shared" si="206"/>
        <v>0</v>
      </c>
      <c r="K1691" s="3"/>
      <c r="L1691" s="16"/>
      <c r="M1691" s="16"/>
      <c r="N1691" s="16"/>
      <c r="O1691" s="16"/>
      <c r="P1691" s="16"/>
      <c r="Q1691" s="16"/>
      <c r="R1691" s="16"/>
      <c r="S1691" s="16"/>
      <c r="T1691" s="16"/>
      <c r="U1691" s="16"/>
      <c r="V1691" s="16"/>
      <c r="W1691" s="16"/>
      <c r="X1691" s="16"/>
      <c r="Y1691" s="16"/>
      <c r="Z1691" s="16"/>
      <c r="AA1691" s="16"/>
      <c r="AB1691" s="16"/>
      <c r="AC1691" s="16"/>
      <c r="AD1691" s="16"/>
      <c r="AE1691" s="16"/>
      <c r="AF1691" s="16"/>
      <c r="AG1691" s="16"/>
      <c r="AH1691" s="16"/>
      <c r="AI1691" s="16"/>
      <c r="AJ1691" s="16"/>
      <c r="AK1691" s="16"/>
      <c r="AL1691" s="16"/>
      <c r="AM1691" s="16"/>
      <c r="AN1691" s="16"/>
      <c r="AO1691" s="16"/>
      <c r="AP1691" s="16"/>
      <c r="AQ1691" s="16"/>
      <c r="AR1691" s="16"/>
      <c r="AS1691" s="16"/>
      <c r="AT1691" s="16"/>
      <c r="AU1691" s="16"/>
      <c r="AV1691" s="16"/>
      <c r="AW1691" s="16"/>
      <c r="AX1691" s="16"/>
      <c r="AY1691" s="16"/>
      <c r="AZ1691" s="16"/>
      <c r="BA1691" s="16"/>
      <c r="BB1691" s="16"/>
      <c r="BC1691" s="16"/>
      <c r="BD1691" s="16"/>
      <c r="BE1691" s="16"/>
      <c r="BF1691" s="16"/>
      <c r="BG1691" s="16"/>
      <c r="BH1691" s="16"/>
      <c r="BI1691" s="16"/>
      <c r="BJ1691" s="16"/>
      <c r="BK1691" s="16"/>
      <c r="BL1691" s="16"/>
      <c r="BM1691" s="16"/>
      <c r="BN1691" s="16"/>
      <c r="BO1691" s="16"/>
      <c r="BP1691" s="16"/>
      <c r="BQ1691" s="16"/>
      <c r="BR1691" s="16"/>
      <c r="BS1691" s="16"/>
      <c r="BT1691" s="16"/>
      <c r="BU1691" s="16"/>
      <c r="BV1691" s="16"/>
      <c r="BW1691" s="16"/>
      <c r="BX1691" s="16"/>
      <c r="BY1691" s="16"/>
      <c r="BZ1691" s="16"/>
      <c r="CA1691" s="16"/>
      <c r="CB1691" s="16"/>
      <c r="CC1691" s="16"/>
      <c r="CD1691" s="16"/>
      <c r="CE1691" s="16"/>
      <c r="CF1691" s="16"/>
      <c r="CG1691" s="16"/>
      <c r="CH1691" s="16"/>
      <c r="CI1691" s="16"/>
      <c r="CJ1691" s="16"/>
      <c r="CK1691" s="16"/>
      <c r="CL1691" s="16"/>
      <c r="CM1691" s="16"/>
      <c r="CN1691" s="16"/>
      <c r="CO1691" s="16"/>
      <c r="CP1691" s="16"/>
      <c r="CQ1691" s="16"/>
      <c r="CR1691" s="16"/>
      <c r="CS1691" s="16"/>
      <c r="CT1691" s="16"/>
      <c r="CU1691" s="16"/>
      <c r="CV1691" s="16"/>
      <c r="CW1691" s="16"/>
      <c r="CX1691" s="16"/>
      <c r="CY1691" s="16"/>
      <c r="CZ1691" s="16"/>
      <c r="DA1691" s="16"/>
      <c r="DB1691" s="16"/>
      <c r="DC1691" s="16"/>
      <c r="DD1691" s="16"/>
      <c r="DE1691" s="16"/>
      <c r="DF1691" s="16"/>
    </row>
    <row r="1692" spans="8:110" x14ac:dyDescent="0.3">
      <c r="H1692" s="4">
        <f t="shared" si="206"/>
        <v>0</v>
      </c>
      <c r="K1692" s="3"/>
      <c r="L1692" s="16"/>
      <c r="M1692" s="16"/>
      <c r="N1692" s="16"/>
      <c r="O1692" s="16"/>
      <c r="P1692" s="16"/>
      <c r="Q1692" s="16"/>
      <c r="R1692" s="16"/>
      <c r="S1692" s="16"/>
      <c r="T1692" s="16"/>
      <c r="U1692" s="16"/>
      <c r="V1692" s="16"/>
      <c r="W1692" s="16"/>
      <c r="X1692" s="16"/>
      <c r="Y1692" s="16"/>
      <c r="Z1692" s="16"/>
      <c r="AA1692" s="16"/>
      <c r="AB1692" s="16"/>
      <c r="AC1692" s="16"/>
      <c r="AD1692" s="16"/>
      <c r="AE1692" s="16"/>
      <c r="AF1692" s="16"/>
      <c r="AG1692" s="16"/>
      <c r="AH1692" s="16"/>
      <c r="AI1692" s="16"/>
      <c r="AJ1692" s="16"/>
      <c r="AK1692" s="16"/>
      <c r="AL1692" s="16"/>
      <c r="AM1692" s="16"/>
      <c r="AN1692" s="16"/>
      <c r="AO1692" s="16"/>
      <c r="AP1692" s="16"/>
      <c r="AQ1692" s="16"/>
      <c r="AR1692" s="16"/>
      <c r="AS1692" s="16"/>
      <c r="AT1692" s="16"/>
      <c r="AU1692" s="16"/>
      <c r="AV1692" s="16"/>
      <c r="AW1692" s="16"/>
      <c r="AX1692" s="16"/>
      <c r="AY1692" s="16"/>
      <c r="AZ1692" s="16"/>
      <c r="BA1692" s="16"/>
      <c r="BB1692" s="16"/>
      <c r="BC1692" s="16"/>
      <c r="BD1692" s="16"/>
      <c r="BE1692" s="16"/>
      <c r="BF1692" s="16"/>
      <c r="BG1692" s="16"/>
      <c r="BH1692" s="16"/>
      <c r="BI1692" s="16"/>
      <c r="BJ1692" s="16"/>
      <c r="BK1692" s="16"/>
      <c r="BL1692" s="16"/>
      <c r="BM1692" s="16"/>
      <c r="BN1692" s="16"/>
      <c r="BO1692" s="16"/>
      <c r="BP1692" s="16"/>
      <c r="BQ1692" s="16"/>
      <c r="BR1692" s="16"/>
      <c r="BS1692" s="16"/>
      <c r="BT1692" s="16"/>
      <c r="BU1692" s="16"/>
      <c r="BV1692" s="16"/>
      <c r="BW1692" s="16"/>
      <c r="BX1692" s="16"/>
      <c r="BY1692" s="16"/>
      <c r="BZ1692" s="16"/>
      <c r="CA1692" s="16"/>
      <c r="CB1692" s="16"/>
      <c r="CC1692" s="16"/>
      <c r="CD1692" s="16"/>
      <c r="CE1692" s="16"/>
      <c r="CF1692" s="16"/>
      <c r="CG1692" s="16"/>
      <c r="CH1692" s="16"/>
      <c r="CI1692" s="16"/>
      <c r="CJ1692" s="16"/>
      <c r="CK1692" s="16"/>
      <c r="CL1692" s="16"/>
      <c r="CM1692" s="16"/>
      <c r="CN1692" s="16"/>
      <c r="CO1692" s="16"/>
      <c r="CP1692" s="16"/>
      <c r="CQ1692" s="16"/>
      <c r="CR1692" s="16"/>
      <c r="CS1692" s="16"/>
      <c r="CT1692" s="16"/>
      <c r="CU1692" s="16"/>
      <c r="CV1692" s="16"/>
      <c r="CW1692" s="16"/>
      <c r="CX1692" s="16"/>
      <c r="CY1692" s="16"/>
      <c r="CZ1692" s="16"/>
      <c r="DA1692" s="16"/>
      <c r="DB1692" s="16"/>
      <c r="DC1692" s="16"/>
      <c r="DD1692" s="16"/>
      <c r="DE1692" s="16"/>
      <c r="DF1692" s="16"/>
    </row>
    <row r="1693" spans="8:110" x14ac:dyDescent="0.3">
      <c r="H1693" s="4">
        <f t="shared" si="206"/>
        <v>0</v>
      </c>
      <c r="K1693" s="3"/>
      <c r="L1693" s="16"/>
      <c r="M1693" s="16"/>
      <c r="N1693" s="16"/>
      <c r="O1693" s="16"/>
      <c r="P1693" s="16"/>
      <c r="Q1693" s="16"/>
      <c r="R1693" s="16"/>
      <c r="S1693" s="16"/>
      <c r="T1693" s="16"/>
      <c r="U1693" s="16"/>
      <c r="V1693" s="16"/>
      <c r="W1693" s="16"/>
      <c r="X1693" s="16"/>
      <c r="Y1693" s="16"/>
      <c r="Z1693" s="16"/>
      <c r="AA1693" s="16"/>
      <c r="AB1693" s="16"/>
      <c r="AC1693" s="16"/>
      <c r="AD1693" s="16"/>
      <c r="AE1693" s="16"/>
      <c r="AF1693" s="16"/>
      <c r="AG1693" s="16"/>
      <c r="AH1693" s="16"/>
      <c r="AI1693" s="16"/>
      <c r="AJ1693" s="16"/>
      <c r="AK1693" s="16"/>
      <c r="AL1693" s="16"/>
      <c r="AM1693" s="16"/>
      <c r="AN1693" s="16"/>
      <c r="AO1693" s="16"/>
      <c r="AP1693" s="16"/>
      <c r="AQ1693" s="16"/>
      <c r="AR1693" s="16"/>
      <c r="AS1693" s="16"/>
      <c r="AT1693" s="16"/>
      <c r="AU1693" s="16"/>
      <c r="AV1693" s="16"/>
      <c r="AW1693" s="16"/>
      <c r="AX1693" s="16"/>
      <c r="AY1693" s="16"/>
      <c r="AZ1693" s="16"/>
      <c r="BA1693" s="16"/>
      <c r="BB1693" s="16"/>
      <c r="BC1693" s="16"/>
      <c r="BD1693" s="16"/>
      <c r="BE1693" s="16"/>
      <c r="BF1693" s="16"/>
      <c r="BG1693" s="16"/>
      <c r="BH1693" s="16"/>
      <c r="BI1693" s="16"/>
      <c r="BJ1693" s="16"/>
      <c r="BK1693" s="16"/>
      <c r="BL1693" s="16"/>
      <c r="BM1693" s="16"/>
      <c r="BN1693" s="16"/>
      <c r="BO1693" s="16"/>
      <c r="BP1693" s="16"/>
      <c r="BQ1693" s="16"/>
      <c r="BR1693" s="16"/>
      <c r="BS1693" s="16"/>
      <c r="BT1693" s="16"/>
      <c r="BU1693" s="16"/>
      <c r="BV1693" s="16"/>
      <c r="BW1693" s="16"/>
      <c r="BX1693" s="16"/>
      <c r="BY1693" s="16"/>
      <c r="BZ1693" s="16"/>
      <c r="CA1693" s="16"/>
      <c r="CB1693" s="16"/>
      <c r="CC1693" s="16"/>
      <c r="CD1693" s="16"/>
      <c r="CE1693" s="16"/>
      <c r="CF1693" s="16"/>
      <c r="CG1693" s="16"/>
      <c r="CH1693" s="16"/>
      <c r="CI1693" s="16"/>
      <c r="CJ1693" s="16"/>
      <c r="CK1693" s="16"/>
      <c r="CL1693" s="16"/>
      <c r="CM1693" s="16"/>
      <c r="CN1693" s="16"/>
      <c r="CO1693" s="16"/>
      <c r="CP1693" s="16"/>
      <c r="CQ1693" s="16"/>
      <c r="CR1693" s="16"/>
      <c r="CS1693" s="16"/>
      <c r="CT1693" s="16"/>
      <c r="CU1693" s="16"/>
      <c r="CV1693" s="16"/>
      <c r="CW1693" s="16"/>
      <c r="CX1693" s="16"/>
      <c r="CY1693" s="16"/>
      <c r="CZ1693" s="16"/>
      <c r="DA1693" s="16"/>
      <c r="DB1693" s="16"/>
      <c r="DC1693" s="16"/>
      <c r="DD1693" s="16"/>
      <c r="DE1693" s="16"/>
      <c r="DF1693" s="16"/>
    </row>
    <row r="1694" spans="8:110" x14ac:dyDescent="0.3">
      <c r="H1694" s="4">
        <f t="shared" si="206"/>
        <v>0</v>
      </c>
      <c r="K1694" s="3"/>
      <c r="L1694" s="16"/>
      <c r="M1694" s="16"/>
      <c r="N1694" s="16"/>
      <c r="O1694" s="16"/>
      <c r="P1694" s="16"/>
      <c r="Q1694" s="16"/>
      <c r="R1694" s="16"/>
      <c r="S1694" s="16"/>
      <c r="T1694" s="16"/>
      <c r="U1694" s="16"/>
      <c r="V1694" s="16"/>
      <c r="W1694" s="16"/>
      <c r="X1694" s="16"/>
      <c r="Y1694" s="16"/>
      <c r="Z1694" s="16"/>
      <c r="AA1694" s="16"/>
      <c r="AB1694" s="16"/>
      <c r="AC1694" s="16"/>
      <c r="AD1694" s="16"/>
      <c r="AE1694" s="16"/>
      <c r="AF1694" s="16"/>
      <c r="AG1694" s="16"/>
      <c r="AH1694" s="16"/>
      <c r="AI1694" s="16"/>
      <c r="AJ1694" s="16"/>
      <c r="AK1694" s="16"/>
      <c r="AL1694" s="16"/>
      <c r="AM1694" s="16"/>
      <c r="AN1694" s="16"/>
      <c r="AO1694" s="16"/>
      <c r="AP1694" s="16"/>
      <c r="AQ1694" s="16"/>
      <c r="AR1694" s="16"/>
      <c r="AS1694" s="16"/>
      <c r="AT1694" s="16"/>
      <c r="AU1694" s="16"/>
      <c r="AV1694" s="16"/>
      <c r="AW1694" s="16"/>
      <c r="AX1694" s="16"/>
      <c r="AY1694" s="16"/>
      <c r="AZ1694" s="16"/>
      <c r="BA1694" s="16"/>
      <c r="BB1694" s="16"/>
      <c r="BC1694" s="16"/>
      <c r="BD1694" s="16"/>
      <c r="BE1694" s="16"/>
      <c r="BF1694" s="16"/>
      <c r="BG1694" s="16"/>
      <c r="BH1694" s="16"/>
      <c r="BI1694" s="16"/>
      <c r="BJ1694" s="16"/>
      <c r="BK1694" s="16"/>
      <c r="BL1694" s="16"/>
      <c r="BM1694" s="16"/>
      <c r="BN1694" s="16"/>
      <c r="BO1694" s="16"/>
      <c r="BP1694" s="16"/>
      <c r="BQ1694" s="16"/>
      <c r="BR1694" s="16"/>
      <c r="BS1694" s="16"/>
      <c r="BT1694" s="16"/>
      <c r="BU1694" s="16"/>
      <c r="BV1694" s="16"/>
      <c r="BW1694" s="16"/>
      <c r="BX1694" s="16"/>
      <c r="BY1694" s="16"/>
      <c r="BZ1694" s="16"/>
      <c r="CA1694" s="16"/>
      <c r="CB1694" s="16"/>
      <c r="CC1694" s="16"/>
      <c r="CD1694" s="16"/>
      <c r="CE1694" s="16"/>
      <c r="CF1694" s="16"/>
      <c r="CG1694" s="16"/>
      <c r="CH1694" s="16"/>
      <c r="CI1694" s="16"/>
      <c r="CJ1694" s="16"/>
      <c r="CK1694" s="16"/>
      <c r="CL1694" s="16"/>
      <c r="CM1694" s="16"/>
      <c r="CN1694" s="16"/>
      <c r="CO1694" s="16"/>
      <c r="CP1694" s="16"/>
      <c r="CQ1694" s="16"/>
      <c r="CR1694" s="16"/>
      <c r="CS1694" s="16"/>
      <c r="CT1694" s="16"/>
      <c r="CU1694" s="16"/>
      <c r="CV1694" s="16"/>
      <c r="CW1694" s="16"/>
      <c r="CX1694" s="16"/>
      <c r="CY1694" s="16"/>
      <c r="CZ1694" s="16"/>
      <c r="DA1694" s="16"/>
      <c r="DB1694" s="16"/>
      <c r="DC1694" s="16"/>
      <c r="DD1694" s="16"/>
      <c r="DE1694" s="16"/>
      <c r="DF1694" s="16"/>
    </row>
    <row r="1695" spans="8:110" x14ac:dyDescent="0.3">
      <c r="H1695" s="4">
        <f t="shared" si="206"/>
        <v>0</v>
      </c>
      <c r="K1695" s="3"/>
      <c r="L1695" s="16"/>
      <c r="M1695" s="16"/>
      <c r="N1695" s="16"/>
      <c r="O1695" s="16"/>
      <c r="P1695" s="16"/>
      <c r="Q1695" s="16"/>
      <c r="R1695" s="16"/>
      <c r="S1695" s="16"/>
      <c r="T1695" s="16"/>
      <c r="U1695" s="16"/>
      <c r="V1695" s="16"/>
      <c r="W1695" s="16"/>
      <c r="X1695" s="16"/>
      <c r="Y1695" s="16"/>
      <c r="Z1695" s="16"/>
      <c r="AA1695" s="16"/>
      <c r="AB1695" s="16"/>
      <c r="AC1695" s="16"/>
      <c r="AD1695" s="16"/>
      <c r="AE1695" s="16"/>
      <c r="AF1695" s="16"/>
      <c r="AG1695" s="16"/>
      <c r="AH1695" s="16"/>
      <c r="AI1695" s="16"/>
      <c r="AJ1695" s="16"/>
      <c r="AK1695" s="16"/>
      <c r="AL1695" s="16"/>
      <c r="AM1695" s="16"/>
      <c r="AN1695" s="16"/>
      <c r="AO1695" s="16"/>
      <c r="AP1695" s="16"/>
      <c r="AQ1695" s="16"/>
      <c r="AR1695" s="16"/>
      <c r="AS1695" s="16"/>
      <c r="AT1695" s="16"/>
      <c r="AU1695" s="16"/>
      <c r="AV1695" s="16"/>
      <c r="AW1695" s="16"/>
      <c r="AX1695" s="16"/>
      <c r="AY1695" s="16"/>
      <c r="AZ1695" s="16"/>
      <c r="BA1695" s="16"/>
      <c r="BB1695" s="16"/>
      <c r="BC1695" s="16"/>
      <c r="BD1695" s="16"/>
      <c r="BE1695" s="16"/>
      <c r="BF1695" s="16"/>
      <c r="BG1695" s="16"/>
      <c r="BH1695" s="16"/>
      <c r="BI1695" s="16"/>
      <c r="BJ1695" s="16"/>
      <c r="BK1695" s="16"/>
      <c r="BL1695" s="16"/>
      <c r="BM1695" s="16"/>
      <c r="BN1695" s="16"/>
      <c r="BO1695" s="16"/>
      <c r="BP1695" s="16"/>
      <c r="BQ1695" s="16"/>
      <c r="BR1695" s="16"/>
      <c r="BS1695" s="16"/>
      <c r="BT1695" s="16"/>
      <c r="BU1695" s="16"/>
      <c r="BV1695" s="16"/>
      <c r="BW1695" s="16"/>
      <c r="BX1695" s="16"/>
      <c r="BY1695" s="16"/>
      <c r="BZ1695" s="16"/>
      <c r="CA1695" s="16"/>
      <c r="CB1695" s="16"/>
      <c r="CC1695" s="16"/>
      <c r="CD1695" s="16"/>
      <c r="CE1695" s="16"/>
      <c r="CF1695" s="16"/>
      <c r="CG1695" s="16"/>
      <c r="CH1695" s="16"/>
      <c r="CI1695" s="16"/>
      <c r="CJ1695" s="16"/>
      <c r="CK1695" s="16"/>
      <c r="CL1695" s="16"/>
      <c r="CM1695" s="16"/>
      <c r="CN1695" s="16"/>
      <c r="CO1695" s="16"/>
      <c r="CP1695" s="16"/>
      <c r="CQ1695" s="16"/>
      <c r="CR1695" s="16"/>
      <c r="CS1695" s="16"/>
      <c r="CT1695" s="16"/>
      <c r="CU1695" s="16"/>
      <c r="CV1695" s="16"/>
      <c r="CW1695" s="16"/>
      <c r="CX1695" s="16"/>
      <c r="CY1695" s="16"/>
      <c r="CZ1695" s="16"/>
      <c r="DA1695" s="16"/>
      <c r="DB1695" s="16"/>
      <c r="DC1695" s="16"/>
      <c r="DD1695" s="16"/>
      <c r="DE1695" s="16"/>
      <c r="DF1695" s="16"/>
    </row>
    <row r="1696" spans="8:110" x14ac:dyDescent="0.3">
      <c r="H1696" s="4">
        <f t="shared" si="206"/>
        <v>0</v>
      </c>
      <c r="K1696" s="3"/>
      <c r="L1696" s="16"/>
      <c r="M1696" s="16"/>
      <c r="N1696" s="16"/>
      <c r="O1696" s="16"/>
      <c r="P1696" s="16"/>
      <c r="Q1696" s="16"/>
      <c r="R1696" s="16"/>
      <c r="S1696" s="16"/>
      <c r="T1696" s="16"/>
      <c r="U1696" s="16"/>
      <c r="V1696" s="16"/>
      <c r="W1696" s="16"/>
      <c r="X1696" s="16"/>
      <c r="Y1696" s="16"/>
      <c r="Z1696" s="16"/>
      <c r="AA1696" s="16"/>
      <c r="AB1696" s="16"/>
      <c r="AC1696" s="16"/>
      <c r="AD1696" s="16"/>
      <c r="AE1696" s="16"/>
      <c r="AF1696" s="16"/>
      <c r="AG1696" s="16"/>
      <c r="AH1696" s="16"/>
      <c r="AI1696" s="16"/>
      <c r="AJ1696" s="16"/>
      <c r="AK1696" s="16"/>
      <c r="AL1696" s="16"/>
      <c r="AM1696" s="16"/>
      <c r="AN1696" s="16"/>
      <c r="AO1696" s="16"/>
      <c r="AP1696" s="16"/>
      <c r="AQ1696" s="16"/>
      <c r="AR1696" s="16"/>
      <c r="AS1696" s="16"/>
      <c r="AT1696" s="16"/>
      <c r="AU1696" s="16"/>
      <c r="AV1696" s="16"/>
      <c r="AW1696" s="16"/>
      <c r="AX1696" s="16"/>
      <c r="AY1696" s="16"/>
      <c r="AZ1696" s="16"/>
      <c r="BA1696" s="16"/>
      <c r="BB1696" s="16"/>
      <c r="BC1696" s="16"/>
      <c r="BD1696" s="16"/>
      <c r="BE1696" s="16"/>
      <c r="BF1696" s="16"/>
      <c r="BG1696" s="16"/>
      <c r="BH1696" s="16"/>
      <c r="BI1696" s="16"/>
      <c r="BJ1696" s="16"/>
      <c r="BK1696" s="16"/>
      <c r="BL1696" s="16"/>
      <c r="BM1696" s="16"/>
      <c r="BN1696" s="16"/>
      <c r="BO1696" s="16"/>
      <c r="BP1696" s="16"/>
      <c r="BQ1696" s="16"/>
      <c r="BR1696" s="16"/>
      <c r="BS1696" s="16"/>
      <c r="BT1696" s="16"/>
      <c r="BU1696" s="16"/>
      <c r="BV1696" s="16"/>
      <c r="BW1696" s="16"/>
      <c r="BX1696" s="16"/>
      <c r="BY1696" s="16"/>
      <c r="BZ1696" s="16"/>
      <c r="CA1696" s="16"/>
      <c r="CB1696" s="16"/>
      <c r="CC1696" s="16"/>
      <c r="CD1696" s="16"/>
      <c r="CE1696" s="16"/>
      <c r="CF1696" s="16"/>
      <c r="CG1696" s="16"/>
      <c r="CH1696" s="16"/>
      <c r="CI1696" s="16"/>
      <c r="CJ1696" s="16"/>
      <c r="CK1696" s="16"/>
      <c r="CL1696" s="16"/>
      <c r="CM1696" s="16"/>
      <c r="CN1696" s="16"/>
      <c r="CO1696" s="16"/>
      <c r="CP1696" s="16"/>
      <c r="CQ1696" s="16"/>
      <c r="CR1696" s="16"/>
      <c r="CS1696" s="16"/>
      <c r="CT1696" s="16"/>
      <c r="CU1696" s="16"/>
      <c r="CV1696" s="16"/>
      <c r="CW1696" s="16"/>
      <c r="CX1696" s="16"/>
      <c r="CY1696" s="16"/>
      <c r="CZ1696" s="16"/>
      <c r="DA1696" s="16"/>
      <c r="DB1696" s="16"/>
      <c r="DC1696" s="16"/>
      <c r="DD1696" s="16"/>
      <c r="DE1696" s="16"/>
      <c r="DF1696" s="16"/>
    </row>
    <row r="1697" spans="8:110" x14ac:dyDescent="0.3">
      <c r="H1697" s="4">
        <f t="shared" si="206"/>
        <v>0</v>
      </c>
      <c r="K1697" s="3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16"/>
      <c r="W1697" s="16"/>
      <c r="X1697" s="16"/>
      <c r="Y1697" s="16"/>
      <c r="Z1697" s="16"/>
      <c r="AA1697" s="16"/>
      <c r="AB1697" s="16"/>
      <c r="AC1697" s="16"/>
      <c r="AD1697" s="16"/>
      <c r="AE1697" s="16"/>
      <c r="AF1697" s="16"/>
      <c r="AG1697" s="16"/>
      <c r="AH1697" s="16"/>
      <c r="AI1697" s="16"/>
      <c r="AJ1697" s="16"/>
      <c r="AK1697" s="16"/>
      <c r="AL1697" s="16"/>
      <c r="AM1697" s="16"/>
      <c r="AN1697" s="16"/>
      <c r="AO1697" s="16"/>
      <c r="AP1697" s="16"/>
      <c r="AQ1697" s="16"/>
      <c r="AR1697" s="16"/>
      <c r="AS1697" s="16"/>
      <c r="AT1697" s="16"/>
      <c r="AU1697" s="16"/>
      <c r="AV1697" s="16"/>
      <c r="AW1697" s="16"/>
      <c r="AX1697" s="16"/>
      <c r="AY1697" s="16"/>
      <c r="AZ1697" s="16"/>
      <c r="BA1697" s="16"/>
      <c r="BB1697" s="16"/>
      <c r="BC1697" s="16"/>
      <c r="BD1697" s="16"/>
      <c r="BE1697" s="16"/>
      <c r="BF1697" s="16"/>
      <c r="BG1697" s="16"/>
      <c r="BH1697" s="16"/>
      <c r="BI1697" s="16"/>
      <c r="BJ1697" s="16"/>
      <c r="BK1697" s="16"/>
      <c r="BL1697" s="16"/>
      <c r="BM1697" s="16"/>
      <c r="BN1697" s="16"/>
      <c r="BO1697" s="16"/>
      <c r="BP1697" s="16"/>
      <c r="BQ1697" s="16"/>
      <c r="BR1697" s="16"/>
      <c r="BS1697" s="16"/>
      <c r="BT1697" s="16"/>
      <c r="BU1697" s="16"/>
      <c r="BV1697" s="16"/>
      <c r="BW1697" s="16"/>
      <c r="BX1697" s="16"/>
      <c r="BY1697" s="16"/>
      <c r="BZ1697" s="16"/>
      <c r="CA1697" s="16"/>
      <c r="CB1697" s="16"/>
      <c r="CC1697" s="16"/>
      <c r="CD1697" s="16"/>
      <c r="CE1697" s="16"/>
      <c r="CF1697" s="16"/>
      <c r="CG1697" s="16"/>
      <c r="CH1697" s="16"/>
      <c r="CI1697" s="16"/>
      <c r="CJ1697" s="16"/>
      <c r="CK1697" s="16"/>
      <c r="CL1697" s="16"/>
      <c r="CM1697" s="16"/>
      <c r="CN1697" s="16"/>
      <c r="CO1697" s="16"/>
      <c r="CP1697" s="16"/>
      <c r="CQ1697" s="16"/>
      <c r="CR1697" s="16"/>
      <c r="CS1697" s="16"/>
      <c r="CT1697" s="16"/>
      <c r="CU1697" s="16"/>
      <c r="CV1697" s="16"/>
      <c r="CW1697" s="16"/>
      <c r="CX1697" s="16"/>
      <c r="CY1697" s="16"/>
      <c r="CZ1697" s="16"/>
      <c r="DA1697" s="16"/>
      <c r="DB1697" s="16"/>
      <c r="DC1697" s="16"/>
      <c r="DD1697" s="16"/>
      <c r="DE1697" s="16"/>
      <c r="DF1697" s="16"/>
    </row>
    <row r="1698" spans="8:110" x14ac:dyDescent="0.3">
      <c r="H1698" s="4">
        <f t="shared" si="206"/>
        <v>0</v>
      </c>
      <c r="K1698" s="3"/>
      <c r="L1698" s="16"/>
      <c r="M1698" s="16"/>
      <c r="N1698" s="16"/>
      <c r="O1698" s="16"/>
      <c r="P1698" s="16"/>
      <c r="Q1698" s="16"/>
      <c r="R1698" s="16"/>
      <c r="S1698" s="16"/>
      <c r="T1698" s="16"/>
      <c r="U1698" s="16"/>
      <c r="V1698" s="16"/>
      <c r="W1698" s="16"/>
      <c r="X1698" s="16"/>
      <c r="Y1698" s="16"/>
      <c r="Z1698" s="16"/>
      <c r="AA1698" s="16"/>
      <c r="AB1698" s="16"/>
      <c r="AC1698" s="16"/>
      <c r="AD1698" s="16"/>
      <c r="AE1698" s="16"/>
      <c r="AF1698" s="16"/>
      <c r="AG1698" s="16"/>
      <c r="AH1698" s="16"/>
      <c r="AI1698" s="16"/>
      <c r="AJ1698" s="16"/>
      <c r="AK1698" s="16"/>
      <c r="AL1698" s="16"/>
      <c r="AM1698" s="16"/>
      <c r="AN1698" s="16"/>
      <c r="AO1698" s="16"/>
      <c r="AP1698" s="16"/>
      <c r="AQ1698" s="16"/>
      <c r="AR1698" s="16"/>
      <c r="AS1698" s="16"/>
      <c r="AT1698" s="16"/>
      <c r="AU1698" s="16"/>
      <c r="AV1698" s="16"/>
      <c r="AW1698" s="16"/>
      <c r="AX1698" s="16"/>
      <c r="AY1698" s="16"/>
      <c r="AZ1698" s="16"/>
      <c r="BA1698" s="16"/>
      <c r="BB1698" s="16"/>
      <c r="BC1698" s="16"/>
      <c r="BD1698" s="16"/>
      <c r="BE1698" s="16"/>
      <c r="BF1698" s="16"/>
      <c r="BG1698" s="16"/>
      <c r="BH1698" s="16"/>
      <c r="BI1698" s="16"/>
      <c r="BJ1698" s="16"/>
      <c r="BK1698" s="16"/>
      <c r="BL1698" s="16"/>
      <c r="BM1698" s="16"/>
      <c r="BN1698" s="16"/>
      <c r="BO1698" s="16"/>
      <c r="BP1698" s="16"/>
      <c r="BQ1698" s="16"/>
      <c r="BR1698" s="16"/>
      <c r="BS1698" s="16"/>
      <c r="BT1698" s="16"/>
      <c r="BU1698" s="16"/>
      <c r="BV1698" s="16"/>
      <c r="BW1698" s="16"/>
      <c r="BX1698" s="16"/>
      <c r="BY1698" s="16"/>
      <c r="BZ1698" s="16"/>
      <c r="CA1698" s="16"/>
      <c r="CB1698" s="16"/>
      <c r="CC1698" s="16"/>
      <c r="CD1698" s="16"/>
      <c r="CE1698" s="16"/>
      <c r="CF1698" s="16"/>
      <c r="CG1698" s="16"/>
      <c r="CH1698" s="16"/>
      <c r="CI1698" s="16"/>
      <c r="CJ1698" s="16"/>
      <c r="CK1698" s="16"/>
      <c r="CL1698" s="16"/>
      <c r="CM1698" s="16"/>
      <c r="CN1698" s="16"/>
      <c r="CO1698" s="16"/>
      <c r="CP1698" s="16"/>
      <c r="CQ1698" s="16"/>
      <c r="CR1698" s="16"/>
      <c r="CS1698" s="16"/>
      <c r="CT1698" s="16"/>
      <c r="CU1698" s="16"/>
      <c r="CV1698" s="16"/>
      <c r="CW1698" s="16"/>
      <c r="CX1698" s="16"/>
      <c r="CY1698" s="16"/>
      <c r="CZ1698" s="16"/>
      <c r="DA1698" s="16"/>
      <c r="DB1698" s="16"/>
      <c r="DC1698" s="16"/>
      <c r="DD1698" s="16"/>
      <c r="DE1698" s="16"/>
      <c r="DF1698" s="16"/>
    </row>
    <row r="1699" spans="8:110" x14ac:dyDescent="0.3">
      <c r="H1699" s="4">
        <f t="shared" si="206"/>
        <v>0</v>
      </c>
      <c r="K1699" s="3"/>
      <c r="L1699" s="16"/>
      <c r="M1699" s="16"/>
      <c r="N1699" s="16"/>
      <c r="O1699" s="16"/>
      <c r="P1699" s="16"/>
      <c r="Q1699" s="16"/>
      <c r="R1699" s="16"/>
      <c r="S1699" s="16"/>
      <c r="T1699" s="16"/>
      <c r="U1699" s="16"/>
      <c r="V1699" s="16"/>
      <c r="W1699" s="16"/>
      <c r="X1699" s="16"/>
      <c r="Y1699" s="16"/>
      <c r="Z1699" s="16"/>
      <c r="AA1699" s="16"/>
      <c r="AB1699" s="16"/>
      <c r="AC1699" s="16"/>
      <c r="AD1699" s="16"/>
      <c r="AE1699" s="16"/>
      <c r="AF1699" s="16"/>
      <c r="AG1699" s="16"/>
      <c r="AH1699" s="16"/>
      <c r="AI1699" s="16"/>
      <c r="AJ1699" s="16"/>
      <c r="AK1699" s="16"/>
      <c r="AL1699" s="16"/>
      <c r="AM1699" s="16"/>
      <c r="AN1699" s="16"/>
      <c r="AO1699" s="16"/>
      <c r="AP1699" s="16"/>
      <c r="AQ1699" s="16"/>
      <c r="AR1699" s="16"/>
      <c r="AS1699" s="16"/>
      <c r="AT1699" s="16"/>
      <c r="AU1699" s="16"/>
      <c r="AV1699" s="16"/>
      <c r="AW1699" s="16"/>
      <c r="AX1699" s="16"/>
      <c r="AY1699" s="16"/>
      <c r="AZ1699" s="16"/>
      <c r="BA1699" s="16"/>
      <c r="BB1699" s="16"/>
      <c r="BC1699" s="16"/>
      <c r="BD1699" s="16"/>
      <c r="BE1699" s="16"/>
      <c r="BF1699" s="16"/>
      <c r="BG1699" s="16"/>
      <c r="BH1699" s="16"/>
      <c r="BI1699" s="16"/>
      <c r="BJ1699" s="16"/>
      <c r="BK1699" s="16"/>
      <c r="BL1699" s="16"/>
      <c r="BM1699" s="16"/>
      <c r="BN1699" s="16"/>
      <c r="BO1699" s="16"/>
      <c r="BP1699" s="16"/>
      <c r="BQ1699" s="16"/>
      <c r="BR1699" s="16"/>
      <c r="BS1699" s="16"/>
      <c r="BT1699" s="16"/>
      <c r="BU1699" s="16"/>
      <c r="BV1699" s="16"/>
      <c r="BW1699" s="16"/>
      <c r="BX1699" s="16"/>
      <c r="BY1699" s="16"/>
      <c r="BZ1699" s="16"/>
      <c r="CA1699" s="16"/>
      <c r="CB1699" s="16"/>
      <c r="CC1699" s="16"/>
      <c r="CD1699" s="16"/>
      <c r="CE1699" s="16"/>
      <c r="CF1699" s="16"/>
      <c r="CG1699" s="16"/>
      <c r="CH1699" s="16"/>
      <c r="CI1699" s="16"/>
      <c r="CJ1699" s="16"/>
      <c r="CK1699" s="16"/>
      <c r="CL1699" s="16"/>
      <c r="CM1699" s="16"/>
      <c r="CN1699" s="16"/>
      <c r="CO1699" s="16"/>
      <c r="CP1699" s="16"/>
      <c r="CQ1699" s="16"/>
      <c r="CR1699" s="16"/>
      <c r="CS1699" s="16"/>
      <c r="CT1699" s="16"/>
      <c r="CU1699" s="16"/>
      <c r="CV1699" s="16"/>
      <c r="CW1699" s="16"/>
      <c r="CX1699" s="16"/>
      <c r="CY1699" s="16"/>
      <c r="CZ1699" s="16"/>
      <c r="DA1699" s="16"/>
      <c r="DB1699" s="16"/>
      <c r="DC1699" s="16"/>
      <c r="DD1699" s="16"/>
      <c r="DE1699" s="16"/>
      <c r="DF1699" s="16"/>
    </row>
    <row r="1700" spans="8:110" x14ac:dyDescent="0.3">
      <c r="H1700" s="4">
        <f t="shared" si="206"/>
        <v>0</v>
      </c>
      <c r="K1700" s="3"/>
      <c r="L1700" s="16"/>
      <c r="M1700" s="16"/>
      <c r="N1700" s="16"/>
      <c r="O1700" s="16"/>
      <c r="P1700" s="16"/>
      <c r="Q1700" s="16"/>
      <c r="R1700" s="16"/>
      <c r="S1700" s="16"/>
      <c r="T1700" s="16"/>
      <c r="U1700" s="16"/>
      <c r="V1700" s="16"/>
      <c r="W1700" s="16"/>
      <c r="X1700" s="16"/>
      <c r="Y1700" s="16"/>
      <c r="Z1700" s="16"/>
      <c r="AA1700" s="16"/>
      <c r="AB1700" s="16"/>
      <c r="AC1700" s="16"/>
      <c r="AD1700" s="16"/>
      <c r="AE1700" s="16"/>
      <c r="AF1700" s="16"/>
      <c r="AG1700" s="16"/>
      <c r="AH1700" s="16"/>
      <c r="AI1700" s="16"/>
      <c r="AJ1700" s="16"/>
      <c r="AK1700" s="16"/>
      <c r="AL1700" s="16"/>
      <c r="AM1700" s="16"/>
      <c r="AN1700" s="16"/>
      <c r="AO1700" s="16"/>
      <c r="AP1700" s="16"/>
      <c r="AQ1700" s="16"/>
      <c r="AR1700" s="16"/>
      <c r="AS1700" s="16"/>
      <c r="AT1700" s="16"/>
      <c r="AU1700" s="16"/>
      <c r="AV1700" s="16"/>
      <c r="AW1700" s="16"/>
      <c r="AX1700" s="16"/>
      <c r="AY1700" s="16"/>
      <c r="AZ1700" s="16"/>
      <c r="BA1700" s="16"/>
      <c r="BB1700" s="16"/>
      <c r="BC1700" s="16"/>
      <c r="BD1700" s="16"/>
      <c r="BE1700" s="16"/>
      <c r="BF1700" s="16"/>
      <c r="BG1700" s="16"/>
      <c r="BH1700" s="16"/>
      <c r="BI1700" s="16"/>
      <c r="BJ1700" s="16"/>
      <c r="BK1700" s="16"/>
      <c r="BL1700" s="16"/>
      <c r="BM1700" s="16"/>
      <c r="BN1700" s="16"/>
      <c r="BO1700" s="16"/>
      <c r="BP1700" s="16"/>
      <c r="BQ1700" s="16"/>
      <c r="BR1700" s="16"/>
      <c r="BS1700" s="16"/>
      <c r="BT1700" s="16"/>
      <c r="BU1700" s="16"/>
      <c r="BV1700" s="16"/>
      <c r="BW1700" s="16"/>
      <c r="BX1700" s="16"/>
      <c r="BY1700" s="16"/>
      <c r="BZ1700" s="16"/>
      <c r="CA1700" s="16"/>
      <c r="CB1700" s="16"/>
      <c r="CC1700" s="16"/>
      <c r="CD1700" s="16"/>
      <c r="CE1700" s="16"/>
      <c r="CF1700" s="16"/>
      <c r="CG1700" s="16"/>
      <c r="CH1700" s="16"/>
      <c r="CI1700" s="16"/>
      <c r="CJ1700" s="16"/>
      <c r="CK1700" s="16"/>
      <c r="CL1700" s="16"/>
      <c r="CM1700" s="16"/>
      <c r="CN1700" s="16"/>
      <c r="CO1700" s="16"/>
      <c r="CP1700" s="16"/>
      <c r="CQ1700" s="16"/>
      <c r="CR1700" s="16"/>
      <c r="CS1700" s="16"/>
      <c r="CT1700" s="16"/>
      <c r="CU1700" s="16"/>
      <c r="CV1700" s="16"/>
      <c r="CW1700" s="16"/>
      <c r="CX1700" s="16"/>
      <c r="CY1700" s="16"/>
      <c r="CZ1700" s="16"/>
      <c r="DA1700" s="16"/>
      <c r="DB1700" s="16"/>
      <c r="DC1700" s="16"/>
      <c r="DD1700" s="16"/>
      <c r="DE1700" s="16"/>
      <c r="DF1700" s="16"/>
    </row>
    <row r="1701" spans="8:110" x14ac:dyDescent="0.3">
      <c r="H1701" s="4">
        <f t="shared" si="206"/>
        <v>0</v>
      </c>
      <c r="K1701" s="3"/>
      <c r="L1701" s="16"/>
      <c r="M1701" s="16"/>
      <c r="N1701" s="16"/>
      <c r="O1701" s="16"/>
      <c r="P1701" s="16"/>
      <c r="Q1701" s="16"/>
      <c r="R1701" s="16"/>
      <c r="S1701" s="16"/>
      <c r="T1701" s="16"/>
      <c r="U1701" s="16"/>
      <c r="V1701" s="16"/>
      <c r="W1701" s="16"/>
      <c r="X1701" s="16"/>
      <c r="Y1701" s="16"/>
      <c r="Z1701" s="16"/>
      <c r="AA1701" s="16"/>
      <c r="AB1701" s="16"/>
      <c r="AC1701" s="16"/>
      <c r="AD1701" s="16"/>
      <c r="AE1701" s="16"/>
      <c r="AF1701" s="16"/>
      <c r="AG1701" s="16"/>
      <c r="AH1701" s="16"/>
      <c r="AI1701" s="16"/>
      <c r="AJ1701" s="16"/>
      <c r="AK1701" s="16"/>
      <c r="AL1701" s="16"/>
      <c r="AM1701" s="16"/>
      <c r="AN1701" s="16"/>
      <c r="AO1701" s="16"/>
      <c r="AP1701" s="16"/>
      <c r="AQ1701" s="16"/>
      <c r="AR1701" s="16"/>
      <c r="AS1701" s="16"/>
      <c r="AT1701" s="16"/>
      <c r="AU1701" s="16"/>
      <c r="AV1701" s="16"/>
      <c r="AW1701" s="16"/>
      <c r="AX1701" s="16"/>
      <c r="AY1701" s="16"/>
      <c r="AZ1701" s="16"/>
      <c r="BA1701" s="16"/>
      <c r="BB1701" s="16"/>
      <c r="BC1701" s="16"/>
      <c r="BD1701" s="16"/>
      <c r="BE1701" s="16"/>
      <c r="BF1701" s="16"/>
      <c r="BG1701" s="16"/>
      <c r="BH1701" s="16"/>
      <c r="BI1701" s="16"/>
      <c r="BJ1701" s="16"/>
      <c r="BK1701" s="16"/>
      <c r="BL1701" s="16"/>
      <c r="BM1701" s="16"/>
      <c r="BN1701" s="16"/>
      <c r="BO1701" s="16"/>
      <c r="BP1701" s="16"/>
      <c r="BQ1701" s="16"/>
      <c r="BR1701" s="16"/>
      <c r="BS1701" s="16"/>
      <c r="BT1701" s="16"/>
      <c r="BU1701" s="16"/>
      <c r="BV1701" s="16"/>
      <c r="BW1701" s="16"/>
      <c r="BX1701" s="16"/>
      <c r="BY1701" s="16"/>
      <c r="BZ1701" s="16"/>
      <c r="CA1701" s="16"/>
      <c r="CB1701" s="16"/>
      <c r="CC1701" s="16"/>
      <c r="CD1701" s="16"/>
      <c r="CE1701" s="16"/>
      <c r="CF1701" s="16"/>
      <c r="CG1701" s="16"/>
      <c r="CH1701" s="16"/>
      <c r="CI1701" s="16"/>
      <c r="CJ1701" s="16"/>
      <c r="CK1701" s="16"/>
      <c r="CL1701" s="16"/>
      <c r="CM1701" s="16"/>
      <c r="CN1701" s="16"/>
      <c r="CO1701" s="16"/>
      <c r="CP1701" s="16"/>
      <c r="CQ1701" s="16"/>
      <c r="CR1701" s="16"/>
      <c r="CS1701" s="16"/>
      <c r="CT1701" s="16"/>
      <c r="CU1701" s="16"/>
      <c r="CV1701" s="16"/>
      <c r="CW1701" s="16"/>
      <c r="CX1701" s="16"/>
      <c r="CY1701" s="16"/>
      <c r="CZ1701" s="16"/>
      <c r="DA1701" s="16"/>
      <c r="DB1701" s="16"/>
      <c r="DC1701" s="16"/>
      <c r="DD1701" s="16"/>
      <c r="DE1701" s="16"/>
      <c r="DF1701" s="16"/>
    </row>
    <row r="1702" spans="8:110" x14ac:dyDescent="0.3">
      <c r="H1702" s="10">
        <f t="shared" si="206"/>
        <v>0</v>
      </c>
      <c r="K1702" s="3"/>
      <c r="L1702" s="16"/>
      <c r="M1702" s="16"/>
      <c r="N1702" s="16"/>
      <c r="O1702" s="16"/>
      <c r="P1702" s="16"/>
      <c r="Q1702" s="16"/>
      <c r="R1702" s="16"/>
      <c r="S1702" s="16"/>
      <c r="T1702" s="16"/>
      <c r="U1702" s="16"/>
      <c r="V1702" s="16"/>
      <c r="W1702" s="16"/>
      <c r="X1702" s="16"/>
      <c r="Y1702" s="16"/>
      <c r="Z1702" s="16"/>
      <c r="AA1702" s="16"/>
      <c r="AB1702" s="16"/>
      <c r="AC1702" s="16"/>
      <c r="AD1702" s="16"/>
      <c r="AE1702" s="16"/>
      <c r="AF1702" s="16"/>
      <c r="AG1702" s="16"/>
      <c r="AH1702" s="16"/>
      <c r="AI1702" s="16"/>
      <c r="AJ1702" s="16"/>
      <c r="AK1702" s="16"/>
      <c r="AL1702" s="16"/>
      <c r="AM1702" s="16"/>
      <c r="AN1702" s="16"/>
      <c r="AO1702" s="16"/>
      <c r="AP1702" s="16"/>
      <c r="AQ1702" s="16"/>
      <c r="AR1702" s="16"/>
      <c r="AS1702" s="16"/>
      <c r="AT1702" s="16"/>
      <c r="AU1702" s="16"/>
      <c r="AV1702" s="16"/>
      <c r="AW1702" s="16"/>
      <c r="AX1702" s="16"/>
      <c r="AY1702" s="16"/>
      <c r="AZ1702" s="16"/>
      <c r="BA1702" s="16"/>
      <c r="BB1702" s="16"/>
      <c r="BC1702" s="16"/>
      <c r="BD1702" s="16"/>
      <c r="BE1702" s="16"/>
      <c r="BF1702" s="16"/>
      <c r="BG1702" s="16"/>
      <c r="BH1702" s="16"/>
      <c r="BI1702" s="16"/>
      <c r="BJ1702" s="16"/>
      <c r="BK1702" s="16"/>
      <c r="BL1702" s="16"/>
      <c r="BM1702" s="16"/>
      <c r="BN1702" s="16"/>
      <c r="BO1702" s="16"/>
      <c r="BP1702" s="16"/>
      <c r="BQ1702" s="16"/>
      <c r="BR1702" s="16"/>
      <c r="BS1702" s="16"/>
      <c r="BT1702" s="16"/>
      <c r="BU1702" s="16"/>
      <c r="BV1702" s="16"/>
      <c r="BW1702" s="16"/>
      <c r="BX1702" s="16"/>
      <c r="BY1702" s="16"/>
      <c r="BZ1702" s="16"/>
      <c r="CA1702" s="16"/>
      <c r="CB1702" s="16"/>
      <c r="CC1702" s="16"/>
      <c r="CD1702" s="16"/>
      <c r="CE1702" s="16"/>
      <c r="CF1702" s="16"/>
      <c r="CG1702" s="16"/>
      <c r="CH1702" s="16"/>
      <c r="CI1702" s="16"/>
      <c r="CJ1702" s="16"/>
      <c r="CK1702" s="16"/>
      <c r="CL1702" s="16"/>
      <c r="CM1702" s="16"/>
      <c r="CN1702" s="16"/>
      <c r="CO1702" s="16"/>
      <c r="CP1702" s="16"/>
      <c r="CQ1702" s="16"/>
      <c r="CR1702" s="16"/>
      <c r="CS1702" s="16"/>
      <c r="CT1702" s="16"/>
      <c r="CU1702" s="16"/>
      <c r="CV1702" s="16"/>
      <c r="CW1702" s="16"/>
      <c r="CX1702" s="16"/>
      <c r="CY1702" s="16"/>
      <c r="CZ1702" s="16"/>
      <c r="DA1702" s="16"/>
      <c r="DB1702" s="16"/>
      <c r="DC1702" s="16"/>
      <c r="DD1702" s="16"/>
      <c r="DE1702" s="16"/>
      <c r="DF1702" s="16"/>
    </row>
    <row r="1703" spans="8:110" x14ac:dyDescent="0.3">
      <c r="H1703" s="10">
        <f t="shared" si="206"/>
        <v>0</v>
      </c>
      <c r="K1703" s="3"/>
      <c r="L1703" s="16"/>
      <c r="M1703" s="16"/>
      <c r="N1703" s="16"/>
      <c r="O1703" s="16"/>
      <c r="P1703" s="16"/>
      <c r="Q1703" s="16"/>
      <c r="R1703" s="16"/>
      <c r="S1703" s="16"/>
      <c r="T1703" s="16"/>
      <c r="U1703" s="16"/>
      <c r="V1703" s="16"/>
      <c r="W1703" s="16"/>
      <c r="X1703" s="16"/>
      <c r="Y1703" s="16"/>
      <c r="Z1703" s="16"/>
      <c r="AA1703" s="16"/>
      <c r="AB1703" s="16"/>
      <c r="AC1703" s="16"/>
      <c r="AD1703" s="16"/>
      <c r="AE1703" s="16"/>
      <c r="AF1703" s="16"/>
      <c r="AG1703" s="16"/>
      <c r="AH1703" s="16"/>
      <c r="AI1703" s="16"/>
      <c r="AJ1703" s="16"/>
      <c r="AK1703" s="16"/>
      <c r="AL1703" s="16"/>
      <c r="AM1703" s="16"/>
      <c r="AN1703" s="16"/>
      <c r="AO1703" s="16"/>
      <c r="AP1703" s="16"/>
      <c r="AQ1703" s="16"/>
      <c r="AR1703" s="16"/>
      <c r="AS1703" s="16"/>
      <c r="AT1703" s="16"/>
      <c r="AU1703" s="16"/>
      <c r="AV1703" s="16"/>
      <c r="AW1703" s="16"/>
      <c r="AX1703" s="16"/>
      <c r="AY1703" s="16"/>
      <c r="AZ1703" s="16"/>
      <c r="BA1703" s="16"/>
      <c r="BB1703" s="16"/>
      <c r="BC1703" s="16"/>
      <c r="BD1703" s="16"/>
      <c r="BE1703" s="16"/>
      <c r="BF1703" s="16"/>
      <c r="BG1703" s="16"/>
      <c r="BH1703" s="16"/>
      <c r="BI1703" s="16"/>
      <c r="BJ1703" s="16"/>
      <c r="BK1703" s="16"/>
      <c r="BL1703" s="16"/>
      <c r="BM1703" s="16"/>
      <c r="BN1703" s="16"/>
      <c r="BO1703" s="16"/>
      <c r="BP1703" s="16"/>
      <c r="BQ1703" s="16"/>
      <c r="BR1703" s="16"/>
      <c r="BS1703" s="16"/>
      <c r="BT1703" s="16"/>
      <c r="BU1703" s="16"/>
      <c r="BV1703" s="16"/>
      <c r="BW1703" s="16"/>
      <c r="BX1703" s="16"/>
      <c r="BY1703" s="16"/>
      <c r="BZ1703" s="16"/>
      <c r="CA1703" s="16"/>
      <c r="CB1703" s="16"/>
      <c r="CC1703" s="16"/>
      <c r="CD1703" s="16"/>
      <c r="CE1703" s="16"/>
      <c r="CF1703" s="16"/>
      <c r="CG1703" s="16"/>
      <c r="CH1703" s="16"/>
      <c r="CI1703" s="16"/>
      <c r="CJ1703" s="16"/>
      <c r="CK1703" s="16"/>
      <c r="CL1703" s="16"/>
      <c r="CM1703" s="16"/>
      <c r="CN1703" s="16"/>
      <c r="CO1703" s="16"/>
      <c r="CP1703" s="16"/>
      <c r="CQ1703" s="16"/>
      <c r="CR1703" s="16"/>
      <c r="CS1703" s="16"/>
      <c r="CT1703" s="16"/>
      <c r="CU1703" s="16"/>
      <c r="CV1703" s="16"/>
      <c r="CW1703" s="16"/>
      <c r="CX1703" s="16"/>
      <c r="CY1703" s="16"/>
      <c r="CZ1703" s="16"/>
      <c r="DA1703" s="16"/>
      <c r="DB1703" s="16"/>
      <c r="DC1703" s="16"/>
      <c r="DD1703" s="16"/>
      <c r="DE1703" s="16"/>
      <c r="DF1703" s="16"/>
    </row>
    <row r="1704" spans="8:110" x14ac:dyDescent="0.3">
      <c r="H1704" s="10">
        <f t="shared" si="206"/>
        <v>0</v>
      </c>
      <c r="K1704" s="3"/>
      <c r="L1704" s="16"/>
      <c r="M1704" s="16"/>
      <c r="N1704" s="16"/>
      <c r="O1704" s="16"/>
      <c r="P1704" s="16"/>
      <c r="Q1704" s="16"/>
      <c r="R1704" s="16"/>
      <c r="S1704" s="16"/>
      <c r="T1704" s="16"/>
      <c r="U1704" s="16"/>
      <c r="V1704" s="16"/>
      <c r="W1704" s="16"/>
      <c r="X1704" s="16"/>
      <c r="Y1704" s="16"/>
      <c r="Z1704" s="16"/>
      <c r="AA1704" s="16"/>
      <c r="AB1704" s="16"/>
      <c r="AC1704" s="16"/>
      <c r="AD1704" s="16"/>
      <c r="AE1704" s="16"/>
      <c r="AF1704" s="16"/>
      <c r="AG1704" s="16"/>
      <c r="AH1704" s="16"/>
      <c r="AI1704" s="16"/>
      <c r="AJ1704" s="16"/>
      <c r="AK1704" s="16"/>
      <c r="AL1704" s="16"/>
      <c r="AM1704" s="16"/>
      <c r="AN1704" s="16"/>
      <c r="AO1704" s="16"/>
      <c r="AP1704" s="16"/>
      <c r="AQ1704" s="16"/>
      <c r="AR1704" s="16"/>
      <c r="AS1704" s="16"/>
      <c r="AT1704" s="16"/>
      <c r="AU1704" s="16"/>
      <c r="AV1704" s="16"/>
      <c r="AW1704" s="16"/>
      <c r="AX1704" s="16"/>
      <c r="AY1704" s="16"/>
      <c r="AZ1704" s="16"/>
      <c r="BA1704" s="16"/>
      <c r="BB1704" s="16"/>
      <c r="BC1704" s="16"/>
      <c r="BD1704" s="16"/>
      <c r="BE1704" s="16"/>
      <c r="BF1704" s="16"/>
      <c r="BG1704" s="16"/>
      <c r="BH1704" s="16"/>
      <c r="BI1704" s="16"/>
      <c r="BJ1704" s="16"/>
      <c r="BK1704" s="16"/>
      <c r="BL1704" s="16"/>
      <c r="BM1704" s="16"/>
      <c r="BN1704" s="16"/>
      <c r="BO1704" s="16"/>
      <c r="BP1704" s="16"/>
      <c r="BQ1704" s="16"/>
      <c r="BR1704" s="16"/>
      <c r="BS1704" s="16"/>
      <c r="BT1704" s="16"/>
      <c r="BU1704" s="16"/>
      <c r="BV1704" s="16"/>
      <c r="BW1704" s="16"/>
      <c r="BX1704" s="16"/>
      <c r="BY1704" s="16"/>
      <c r="BZ1704" s="16"/>
      <c r="CA1704" s="16"/>
      <c r="CB1704" s="16"/>
      <c r="CC1704" s="16"/>
      <c r="CD1704" s="16"/>
      <c r="CE1704" s="16"/>
      <c r="CF1704" s="16"/>
      <c r="CG1704" s="16"/>
      <c r="CH1704" s="16"/>
      <c r="CI1704" s="16"/>
      <c r="CJ1704" s="16"/>
      <c r="CK1704" s="16"/>
      <c r="CL1704" s="16"/>
      <c r="CM1704" s="16"/>
      <c r="CN1704" s="16"/>
      <c r="CO1704" s="16"/>
      <c r="CP1704" s="16"/>
      <c r="CQ1704" s="16"/>
      <c r="CR1704" s="16"/>
      <c r="CS1704" s="16"/>
      <c r="CT1704" s="16"/>
      <c r="CU1704" s="16"/>
      <c r="CV1704" s="16"/>
      <c r="CW1704" s="16"/>
      <c r="CX1704" s="16"/>
      <c r="CY1704" s="16"/>
      <c r="CZ1704" s="16"/>
      <c r="DA1704" s="16"/>
      <c r="DB1704" s="16"/>
      <c r="DC1704" s="16"/>
      <c r="DD1704" s="16"/>
      <c r="DE1704" s="16"/>
      <c r="DF1704" s="16"/>
    </row>
    <row r="1705" spans="8:110" x14ac:dyDescent="0.3">
      <c r="H1705" s="10">
        <f t="shared" si="206"/>
        <v>0</v>
      </c>
      <c r="K1705" s="3"/>
      <c r="L1705" s="16"/>
      <c r="M1705" s="16"/>
      <c r="N1705" s="16"/>
      <c r="O1705" s="16"/>
      <c r="P1705" s="16"/>
      <c r="Q1705" s="16"/>
      <c r="R1705" s="16"/>
      <c r="S1705" s="16"/>
      <c r="T1705" s="16"/>
      <c r="U1705" s="16"/>
      <c r="V1705" s="16"/>
      <c r="W1705" s="16"/>
      <c r="X1705" s="16"/>
      <c r="Y1705" s="16"/>
      <c r="Z1705" s="16"/>
      <c r="AA1705" s="16"/>
      <c r="AB1705" s="16"/>
      <c r="AC1705" s="16"/>
      <c r="AD1705" s="16"/>
      <c r="AE1705" s="16"/>
      <c r="AF1705" s="16"/>
      <c r="AG1705" s="16"/>
      <c r="AH1705" s="16"/>
      <c r="AI1705" s="16"/>
      <c r="AJ1705" s="16"/>
      <c r="AK1705" s="16"/>
      <c r="AL1705" s="16"/>
      <c r="AM1705" s="16"/>
      <c r="AN1705" s="16"/>
      <c r="AO1705" s="16"/>
      <c r="AP1705" s="16"/>
      <c r="AQ1705" s="16"/>
      <c r="AR1705" s="16"/>
      <c r="AS1705" s="16"/>
      <c r="AT1705" s="16"/>
      <c r="AU1705" s="16"/>
      <c r="AV1705" s="16"/>
      <c r="AW1705" s="16"/>
      <c r="AX1705" s="16"/>
      <c r="AY1705" s="16"/>
      <c r="AZ1705" s="16"/>
      <c r="BA1705" s="16"/>
      <c r="BB1705" s="16"/>
      <c r="BC1705" s="16"/>
      <c r="BD1705" s="16"/>
      <c r="BE1705" s="16"/>
      <c r="BF1705" s="16"/>
      <c r="BG1705" s="16"/>
      <c r="BH1705" s="16"/>
      <c r="BI1705" s="16"/>
      <c r="BJ1705" s="16"/>
      <c r="BK1705" s="16"/>
      <c r="BL1705" s="16"/>
      <c r="BM1705" s="16"/>
      <c r="BN1705" s="16"/>
      <c r="BO1705" s="16"/>
      <c r="BP1705" s="16"/>
      <c r="BQ1705" s="16"/>
      <c r="BR1705" s="16"/>
      <c r="BS1705" s="16"/>
      <c r="BT1705" s="16"/>
      <c r="BU1705" s="16"/>
      <c r="BV1705" s="16"/>
      <c r="BW1705" s="16"/>
      <c r="BX1705" s="16"/>
      <c r="BY1705" s="16"/>
      <c r="BZ1705" s="16"/>
      <c r="CA1705" s="16"/>
      <c r="CB1705" s="16"/>
      <c r="CC1705" s="16"/>
      <c r="CD1705" s="16"/>
      <c r="CE1705" s="16"/>
      <c r="CF1705" s="16"/>
      <c r="CG1705" s="16"/>
      <c r="CH1705" s="16"/>
      <c r="CI1705" s="16"/>
      <c r="CJ1705" s="16"/>
      <c r="CK1705" s="16"/>
      <c r="CL1705" s="16"/>
      <c r="CM1705" s="16"/>
      <c r="CN1705" s="16"/>
      <c r="CO1705" s="16"/>
      <c r="CP1705" s="16"/>
      <c r="CQ1705" s="16"/>
      <c r="CR1705" s="16"/>
      <c r="CS1705" s="16"/>
      <c r="CT1705" s="16"/>
      <c r="CU1705" s="16"/>
      <c r="CV1705" s="16"/>
      <c r="CW1705" s="16"/>
      <c r="CX1705" s="16"/>
      <c r="CY1705" s="16"/>
      <c r="CZ1705" s="16"/>
      <c r="DA1705" s="16"/>
      <c r="DB1705" s="16"/>
      <c r="DC1705" s="16"/>
      <c r="DD1705" s="16"/>
      <c r="DE1705" s="16"/>
      <c r="DF1705" s="16"/>
    </row>
    <row r="1706" spans="8:110" x14ac:dyDescent="0.3">
      <c r="H1706" s="10">
        <f t="shared" si="206"/>
        <v>0</v>
      </c>
      <c r="K1706" s="3"/>
      <c r="L1706" s="16"/>
      <c r="M1706" s="16"/>
      <c r="N1706" s="16"/>
      <c r="O1706" s="16"/>
      <c r="P1706" s="16"/>
      <c r="Q1706" s="16"/>
      <c r="R1706" s="16"/>
      <c r="S1706" s="16"/>
      <c r="T1706" s="16"/>
      <c r="U1706" s="16"/>
      <c r="V1706" s="16"/>
      <c r="W1706" s="16"/>
      <c r="X1706" s="16"/>
      <c r="Y1706" s="16"/>
      <c r="Z1706" s="16"/>
      <c r="AA1706" s="16"/>
      <c r="AB1706" s="16"/>
      <c r="AC1706" s="16"/>
      <c r="AD1706" s="16"/>
      <c r="AE1706" s="16"/>
      <c r="AF1706" s="16"/>
      <c r="AG1706" s="16"/>
      <c r="AH1706" s="16"/>
      <c r="AI1706" s="16"/>
      <c r="AJ1706" s="16"/>
      <c r="AK1706" s="16"/>
      <c r="AL1706" s="16"/>
      <c r="AM1706" s="16"/>
      <c r="AN1706" s="16"/>
      <c r="AO1706" s="16"/>
      <c r="AP1706" s="16"/>
      <c r="AQ1706" s="16"/>
      <c r="AR1706" s="16"/>
      <c r="AS1706" s="16"/>
      <c r="AT1706" s="16"/>
      <c r="AU1706" s="16"/>
      <c r="AV1706" s="16"/>
      <c r="AW1706" s="16"/>
      <c r="AX1706" s="16"/>
      <c r="AY1706" s="16"/>
      <c r="AZ1706" s="16"/>
      <c r="BA1706" s="16"/>
      <c r="BB1706" s="16"/>
      <c r="BC1706" s="16"/>
      <c r="BD1706" s="16"/>
      <c r="BE1706" s="16"/>
      <c r="BF1706" s="16"/>
      <c r="BG1706" s="16"/>
      <c r="BH1706" s="16"/>
      <c r="BI1706" s="16"/>
      <c r="BJ1706" s="16"/>
      <c r="BK1706" s="16"/>
      <c r="BL1706" s="16"/>
      <c r="BM1706" s="16"/>
      <c r="BN1706" s="16"/>
      <c r="BO1706" s="16"/>
      <c r="BP1706" s="16"/>
      <c r="BQ1706" s="16"/>
      <c r="BR1706" s="16"/>
      <c r="BS1706" s="16"/>
      <c r="BT1706" s="16"/>
      <c r="BU1706" s="16"/>
      <c r="BV1706" s="16"/>
      <c r="BW1706" s="16"/>
      <c r="BX1706" s="16"/>
      <c r="BY1706" s="16"/>
      <c r="BZ1706" s="16"/>
      <c r="CA1706" s="16"/>
      <c r="CB1706" s="16"/>
      <c r="CC1706" s="16"/>
      <c r="CD1706" s="16"/>
      <c r="CE1706" s="16"/>
      <c r="CF1706" s="16"/>
      <c r="CG1706" s="16"/>
      <c r="CH1706" s="16"/>
      <c r="CI1706" s="16"/>
      <c r="CJ1706" s="16"/>
      <c r="CK1706" s="16"/>
      <c r="CL1706" s="16"/>
      <c r="CM1706" s="16"/>
      <c r="CN1706" s="16"/>
      <c r="CO1706" s="16"/>
      <c r="CP1706" s="16"/>
      <c r="CQ1706" s="16"/>
      <c r="CR1706" s="16"/>
      <c r="CS1706" s="16"/>
      <c r="CT1706" s="16"/>
      <c r="CU1706" s="16"/>
      <c r="CV1706" s="16"/>
      <c r="CW1706" s="16"/>
      <c r="CX1706" s="16"/>
      <c r="CY1706" s="16"/>
      <c r="CZ1706" s="16"/>
      <c r="DA1706" s="16"/>
      <c r="DB1706" s="16"/>
      <c r="DC1706" s="16"/>
      <c r="DD1706" s="16"/>
      <c r="DE1706" s="16"/>
      <c r="DF1706" s="16"/>
    </row>
    <row r="1707" spans="8:110" x14ac:dyDescent="0.3">
      <c r="H1707" s="10">
        <f t="shared" si="206"/>
        <v>0</v>
      </c>
      <c r="K1707" s="3"/>
      <c r="L1707" s="16"/>
      <c r="M1707" s="16"/>
      <c r="N1707" s="16"/>
      <c r="O1707" s="16"/>
      <c r="P1707" s="16"/>
      <c r="Q1707" s="16"/>
      <c r="R1707" s="16"/>
      <c r="S1707" s="16"/>
      <c r="T1707" s="16"/>
      <c r="U1707" s="16"/>
      <c r="V1707" s="16"/>
      <c r="W1707" s="16"/>
      <c r="X1707" s="16"/>
      <c r="Y1707" s="16"/>
      <c r="Z1707" s="16"/>
      <c r="AA1707" s="16"/>
      <c r="AB1707" s="16"/>
      <c r="AC1707" s="16"/>
      <c r="AD1707" s="16"/>
      <c r="AE1707" s="16"/>
      <c r="AF1707" s="16"/>
      <c r="AG1707" s="16"/>
      <c r="AH1707" s="16"/>
      <c r="AI1707" s="16"/>
      <c r="AJ1707" s="16"/>
      <c r="AK1707" s="16"/>
      <c r="AL1707" s="16"/>
      <c r="AM1707" s="16"/>
      <c r="AN1707" s="16"/>
      <c r="AO1707" s="16"/>
      <c r="AP1707" s="16"/>
      <c r="AQ1707" s="16"/>
      <c r="AR1707" s="16"/>
      <c r="AS1707" s="16"/>
      <c r="AT1707" s="16"/>
      <c r="AU1707" s="16"/>
      <c r="AV1707" s="16"/>
      <c r="AW1707" s="16"/>
      <c r="AX1707" s="16"/>
      <c r="AY1707" s="16"/>
      <c r="AZ1707" s="16"/>
      <c r="BA1707" s="16"/>
      <c r="BB1707" s="16"/>
      <c r="BC1707" s="16"/>
      <c r="BD1707" s="16"/>
      <c r="BE1707" s="16"/>
      <c r="BF1707" s="16"/>
      <c r="BG1707" s="16"/>
      <c r="BH1707" s="16"/>
      <c r="BI1707" s="16"/>
      <c r="BJ1707" s="16"/>
      <c r="BK1707" s="16"/>
      <c r="BL1707" s="16"/>
      <c r="BM1707" s="16"/>
      <c r="BN1707" s="16"/>
      <c r="BO1707" s="16"/>
      <c r="BP1707" s="16"/>
      <c r="BQ1707" s="16"/>
      <c r="BR1707" s="16"/>
      <c r="BS1707" s="16"/>
      <c r="BT1707" s="16"/>
      <c r="BU1707" s="16"/>
      <c r="BV1707" s="16"/>
      <c r="BW1707" s="16"/>
      <c r="BX1707" s="16"/>
      <c r="BY1707" s="16"/>
      <c r="BZ1707" s="16"/>
      <c r="CA1707" s="16"/>
      <c r="CB1707" s="16"/>
      <c r="CC1707" s="16"/>
      <c r="CD1707" s="16"/>
      <c r="CE1707" s="16"/>
      <c r="CF1707" s="16"/>
      <c r="CG1707" s="16"/>
      <c r="CH1707" s="16"/>
      <c r="CI1707" s="16"/>
      <c r="CJ1707" s="16"/>
      <c r="CK1707" s="16"/>
      <c r="CL1707" s="16"/>
      <c r="CM1707" s="16"/>
      <c r="CN1707" s="16"/>
      <c r="CO1707" s="16"/>
      <c r="CP1707" s="16"/>
      <c r="CQ1707" s="16"/>
      <c r="CR1707" s="16"/>
      <c r="CS1707" s="16"/>
      <c r="CT1707" s="16"/>
      <c r="CU1707" s="16"/>
      <c r="CV1707" s="16"/>
      <c r="CW1707" s="16"/>
      <c r="CX1707" s="16"/>
      <c r="CY1707" s="16"/>
      <c r="CZ1707" s="16"/>
      <c r="DA1707" s="16"/>
      <c r="DB1707" s="16"/>
      <c r="DC1707" s="16"/>
      <c r="DD1707" s="16"/>
      <c r="DE1707" s="16"/>
      <c r="DF1707" s="16"/>
    </row>
    <row r="1708" spans="8:110" x14ac:dyDescent="0.3">
      <c r="H1708" s="10">
        <f t="shared" si="206"/>
        <v>0</v>
      </c>
      <c r="K1708" s="3"/>
      <c r="L1708" s="16"/>
      <c r="M1708" s="16"/>
      <c r="N1708" s="16"/>
      <c r="O1708" s="16"/>
      <c r="P1708" s="16"/>
      <c r="Q1708" s="16"/>
      <c r="R1708" s="16"/>
      <c r="S1708" s="16"/>
      <c r="T1708" s="16"/>
      <c r="U1708" s="16"/>
      <c r="V1708" s="16"/>
      <c r="W1708" s="16"/>
      <c r="X1708" s="16"/>
      <c r="Y1708" s="16"/>
      <c r="Z1708" s="16"/>
      <c r="AA1708" s="16"/>
      <c r="AB1708" s="16"/>
      <c r="AC1708" s="16"/>
      <c r="AD1708" s="16"/>
      <c r="AE1708" s="16"/>
      <c r="AF1708" s="16"/>
      <c r="AG1708" s="16"/>
      <c r="AH1708" s="16"/>
      <c r="AI1708" s="16"/>
      <c r="AJ1708" s="16"/>
      <c r="AK1708" s="16"/>
      <c r="AL1708" s="16"/>
      <c r="AM1708" s="16"/>
      <c r="AN1708" s="16"/>
      <c r="AO1708" s="16"/>
      <c r="AP1708" s="16"/>
      <c r="AQ1708" s="16"/>
      <c r="AR1708" s="16"/>
      <c r="AS1708" s="16"/>
      <c r="AT1708" s="16"/>
      <c r="AU1708" s="16"/>
      <c r="AV1708" s="16"/>
      <c r="AW1708" s="16"/>
      <c r="AX1708" s="16"/>
      <c r="AY1708" s="16"/>
      <c r="AZ1708" s="16"/>
      <c r="BA1708" s="16"/>
      <c r="BB1708" s="16"/>
      <c r="BC1708" s="16"/>
      <c r="BD1708" s="16"/>
      <c r="BE1708" s="16"/>
      <c r="BF1708" s="16"/>
      <c r="BG1708" s="16"/>
      <c r="BH1708" s="16"/>
      <c r="BI1708" s="16"/>
      <c r="BJ1708" s="16"/>
      <c r="BK1708" s="16"/>
      <c r="BL1708" s="16"/>
      <c r="BM1708" s="16"/>
      <c r="BN1708" s="16"/>
      <c r="BO1708" s="16"/>
      <c r="BP1708" s="16"/>
      <c r="BQ1708" s="16"/>
      <c r="BR1708" s="16"/>
      <c r="BS1708" s="16"/>
      <c r="BT1708" s="16"/>
      <c r="BU1708" s="16"/>
      <c r="BV1708" s="16"/>
      <c r="BW1708" s="16"/>
      <c r="BX1708" s="16"/>
      <c r="BY1708" s="16"/>
      <c r="BZ1708" s="16"/>
      <c r="CA1708" s="16"/>
      <c r="CB1708" s="16"/>
      <c r="CC1708" s="16"/>
      <c r="CD1708" s="16"/>
      <c r="CE1708" s="16"/>
      <c r="CF1708" s="16"/>
      <c r="CG1708" s="16"/>
      <c r="CH1708" s="16"/>
      <c r="CI1708" s="16"/>
      <c r="CJ1708" s="16"/>
      <c r="CK1708" s="16"/>
      <c r="CL1708" s="16"/>
      <c r="CM1708" s="16"/>
      <c r="CN1708" s="16"/>
      <c r="CO1708" s="16"/>
      <c r="CP1708" s="16"/>
      <c r="CQ1708" s="16"/>
      <c r="CR1708" s="16"/>
      <c r="CS1708" s="16"/>
      <c r="CT1708" s="16"/>
      <c r="CU1708" s="16"/>
      <c r="CV1708" s="16"/>
      <c r="CW1708" s="16"/>
      <c r="CX1708" s="16"/>
      <c r="CY1708" s="16"/>
      <c r="CZ1708" s="16"/>
      <c r="DA1708" s="16"/>
      <c r="DB1708" s="16"/>
      <c r="DC1708" s="16"/>
      <c r="DD1708" s="16"/>
      <c r="DE1708" s="16"/>
      <c r="DF1708" s="16"/>
    </row>
    <row r="1709" spans="8:110" x14ac:dyDescent="0.3">
      <c r="H1709" s="10">
        <f t="shared" si="206"/>
        <v>0</v>
      </c>
      <c r="K1709" s="3"/>
      <c r="L1709" s="16"/>
      <c r="M1709" s="16"/>
      <c r="N1709" s="16"/>
      <c r="O1709" s="16"/>
      <c r="P1709" s="16"/>
      <c r="Q1709" s="16"/>
      <c r="R1709" s="16"/>
      <c r="S1709" s="16"/>
      <c r="T1709" s="16"/>
      <c r="U1709" s="16"/>
      <c r="V1709" s="16"/>
      <c r="W1709" s="16"/>
      <c r="X1709" s="16"/>
      <c r="Y1709" s="16"/>
      <c r="Z1709" s="16"/>
      <c r="AA1709" s="16"/>
      <c r="AB1709" s="16"/>
      <c r="AC1709" s="16"/>
      <c r="AD1709" s="16"/>
      <c r="AE1709" s="16"/>
      <c r="AF1709" s="16"/>
      <c r="AG1709" s="16"/>
      <c r="AH1709" s="16"/>
      <c r="AI1709" s="16"/>
      <c r="AJ1709" s="16"/>
      <c r="AK1709" s="16"/>
      <c r="AL1709" s="16"/>
      <c r="AM1709" s="16"/>
      <c r="AN1709" s="16"/>
      <c r="AO1709" s="16"/>
      <c r="AP1709" s="16"/>
      <c r="AQ1709" s="16"/>
      <c r="AR1709" s="16"/>
      <c r="AS1709" s="16"/>
      <c r="AT1709" s="16"/>
      <c r="AU1709" s="16"/>
      <c r="AV1709" s="16"/>
      <c r="AW1709" s="16"/>
      <c r="AX1709" s="16"/>
      <c r="AY1709" s="16"/>
      <c r="AZ1709" s="16"/>
      <c r="BA1709" s="16"/>
      <c r="BB1709" s="16"/>
      <c r="BC1709" s="16"/>
      <c r="BD1709" s="16"/>
      <c r="BE1709" s="16"/>
      <c r="BF1709" s="16"/>
      <c r="BG1709" s="16"/>
      <c r="BH1709" s="16"/>
      <c r="BI1709" s="16"/>
      <c r="BJ1709" s="16"/>
      <c r="BK1709" s="16"/>
      <c r="BL1709" s="16"/>
      <c r="BM1709" s="16"/>
      <c r="BN1709" s="16"/>
      <c r="BO1709" s="16"/>
      <c r="BP1709" s="16"/>
      <c r="BQ1709" s="16"/>
      <c r="BR1709" s="16"/>
      <c r="BS1709" s="16"/>
      <c r="BT1709" s="16"/>
      <c r="BU1709" s="16"/>
      <c r="BV1709" s="16"/>
      <c r="BW1709" s="16"/>
      <c r="BX1709" s="16"/>
      <c r="BY1709" s="16"/>
      <c r="BZ1709" s="16"/>
      <c r="CA1709" s="16"/>
      <c r="CB1709" s="16"/>
      <c r="CC1709" s="16"/>
      <c r="CD1709" s="16"/>
      <c r="CE1709" s="16"/>
      <c r="CF1709" s="16"/>
      <c r="CG1709" s="16"/>
      <c r="CH1709" s="16"/>
      <c r="CI1709" s="16"/>
      <c r="CJ1709" s="16"/>
      <c r="CK1709" s="16"/>
      <c r="CL1709" s="16"/>
      <c r="CM1709" s="16"/>
      <c r="CN1709" s="16"/>
      <c r="CO1709" s="16"/>
      <c r="CP1709" s="16"/>
      <c r="CQ1709" s="16"/>
      <c r="CR1709" s="16"/>
      <c r="CS1709" s="16"/>
      <c r="CT1709" s="16"/>
      <c r="CU1709" s="16"/>
      <c r="CV1709" s="16"/>
      <c r="CW1709" s="16"/>
      <c r="CX1709" s="16"/>
      <c r="CY1709" s="16"/>
      <c r="CZ1709" s="16"/>
      <c r="DA1709" s="16"/>
      <c r="DB1709" s="16"/>
      <c r="DC1709" s="16"/>
      <c r="DD1709" s="16"/>
      <c r="DE1709" s="16"/>
      <c r="DF1709" s="16"/>
    </row>
    <row r="1710" spans="8:110" x14ac:dyDescent="0.3">
      <c r="H1710" s="10">
        <f t="shared" si="206"/>
        <v>0</v>
      </c>
      <c r="K1710" s="3"/>
      <c r="L1710" s="16"/>
      <c r="M1710" s="16"/>
      <c r="N1710" s="16"/>
      <c r="O1710" s="16"/>
      <c r="P1710" s="16"/>
      <c r="Q1710" s="16"/>
      <c r="R1710" s="16"/>
      <c r="S1710" s="16"/>
      <c r="T1710" s="16"/>
      <c r="U1710" s="16"/>
      <c r="V1710" s="16"/>
      <c r="W1710" s="16"/>
      <c r="X1710" s="16"/>
      <c r="Y1710" s="16"/>
      <c r="Z1710" s="16"/>
      <c r="AA1710" s="16"/>
      <c r="AB1710" s="16"/>
      <c r="AC1710" s="16"/>
      <c r="AD1710" s="16"/>
      <c r="AE1710" s="16"/>
      <c r="AF1710" s="16"/>
      <c r="AG1710" s="16"/>
      <c r="AH1710" s="16"/>
      <c r="AI1710" s="16"/>
      <c r="AJ1710" s="16"/>
      <c r="AK1710" s="16"/>
      <c r="AL1710" s="16"/>
      <c r="AM1710" s="16"/>
      <c r="AN1710" s="16"/>
      <c r="AO1710" s="16"/>
      <c r="AP1710" s="16"/>
      <c r="AQ1710" s="16"/>
      <c r="AR1710" s="16"/>
      <c r="AS1710" s="16"/>
      <c r="AT1710" s="16"/>
      <c r="AU1710" s="16"/>
      <c r="AV1710" s="16"/>
      <c r="AW1710" s="16"/>
      <c r="AX1710" s="16"/>
      <c r="AY1710" s="16"/>
      <c r="AZ1710" s="16"/>
      <c r="BA1710" s="16"/>
      <c r="BB1710" s="16"/>
      <c r="BC1710" s="16"/>
      <c r="BD1710" s="16"/>
      <c r="BE1710" s="16"/>
      <c r="BF1710" s="16"/>
      <c r="BG1710" s="16"/>
      <c r="BH1710" s="16"/>
      <c r="BI1710" s="16"/>
      <c r="BJ1710" s="16"/>
      <c r="BK1710" s="16"/>
      <c r="BL1710" s="16"/>
      <c r="BM1710" s="16"/>
      <c r="BN1710" s="16"/>
      <c r="BO1710" s="16"/>
      <c r="BP1710" s="16"/>
      <c r="BQ1710" s="16"/>
      <c r="BR1710" s="16"/>
      <c r="BS1710" s="16"/>
      <c r="BT1710" s="16"/>
      <c r="BU1710" s="16"/>
      <c r="BV1710" s="16"/>
      <c r="BW1710" s="16"/>
      <c r="BX1710" s="16"/>
      <c r="BY1710" s="16"/>
      <c r="BZ1710" s="16"/>
      <c r="CA1710" s="16"/>
      <c r="CB1710" s="16"/>
      <c r="CC1710" s="16"/>
      <c r="CD1710" s="16"/>
      <c r="CE1710" s="16"/>
      <c r="CF1710" s="16"/>
      <c r="CG1710" s="16"/>
      <c r="CH1710" s="16"/>
      <c r="CI1710" s="16"/>
      <c r="CJ1710" s="16"/>
      <c r="CK1710" s="16"/>
      <c r="CL1710" s="16"/>
      <c r="CM1710" s="16"/>
      <c r="CN1710" s="16"/>
      <c r="CO1710" s="16"/>
      <c r="CP1710" s="16"/>
      <c r="CQ1710" s="16"/>
      <c r="CR1710" s="16"/>
      <c r="CS1710" s="16"/>
      <c r="CT1710" s="16"/>
      <c r="CU1710" s="16"/>
      <c r="CV1710" s="16"/>
      <c r="CW1710" s="16"/>
      <c r="CX1710" s="16"/>
      <c r="CY1710" s="16"/>
      <c r="CZ1710" s="16"/>
      <c r="DA1710" s="16"/>
      <c r="DB1710" s="16"/>
      <c r="DC1710" s="16"/>
      <c r="DD1710" s="16"/>
      <c r="DE1710" s="16"/>
      <c r="DF1710" s="16"/>
    </row>
    <row r="1711" spans="8:110" x14ac:dyDescent="0.3">
      <c r="H1711" s="10">
        <f t="shared" si="206"/>
        <v>0</v>
      </c>
      <c r="K1711" s="3"/>
      <c r="L1711" s="16"/>
      <c r="M1711" s="16"/>
      <c r="N1711" s="16"/>
      <c r="O1711" s="16"/>
      <c r="P1711" s="16"/>
      <c r="Q1711" s="16"/>
      <c r="R1711" s="16"/>
      <c r="S1711" s="16"/>
      <c r="T1711" s="16"/>
      <c r="U1711" s="16"/>
      <c r="V1711" s="16"/>
      <c r="W1711" s="16"/>
      <c r="X1711" s="16"/>
      <c r="Y1711" s="16"/>
      <c r="Z1711" s="16"/>
      <c r="AA1711" s="16"/>
      <c r="AB1711" s="16"/>
      <c r="AC1711" s="16"/>
      <c r="AD1711" s="16"/>
      <c r="AE1711" s="16"/>
      <c r="AF1711" s="16"/>
      <c r="AG1711" s="16"/>
      <c r="AH1711" s="16"/>
      <c r="AI1711" s="16"/>
      <c r="AJ1711" s="16"/>
      <c r="AK1711" s="16"/>
      <c r="AL1711" s="16"/>
      <c r="AM1711" s="16"/>
      <c r="AN1711" s="16"/>
      <c r="AO1711" s="16"/>
      <c r="AP1711" s="16"/>
      <c r="AQ1711" s="16"/>
      <c r="AR1711" s="16"/>
      <c r="AS1711" s="16"/>
      <c r="AT1711" s="16"/>
      <c r="AU1711" s="16"/>
      <c r="AV1711" s="16"/>
      <c r="AW1711" s="16"/>
      <c r="AX1711" s="16"/>
      <c r="AY1711" s="16"/>
      <c r="AZ1711" s="16"/>
      <c r="BA1711" s="16"/>
      <c r="BB1711" s="16"/>
      <c r="BC1711" s="16"/>
      <c r="BD1711" s="16"/>
      <c r="BE1711" s="16"/>
      <c r="BF1711" s="16"/>
      <c r="BG1711" s="16"/>
      <c r="BH1711" s="16"/>
      <c r="BI1711" s="16"/>
      <c r="BJ1711" s="16"/>
      <c r="BK1711" s="16"/>
      <c r="BL1711" s="16"/>
      <c r="BM1711" s="16"/>
      <c r="BN1711" s="16"/>
      <c r="BO1711" s="16"/>
      <c r="BP1711" s="16"/>
      <c r="BQ1711" s="16"/>
      <c r="BR1711" s="16"/>
      <c r="BS1711" s="16"/>
      <c r="BT1711" s="16"/>
      <c r="BU1711" s="16"/>
      <c r="BV1711" s="16"/>
      <c r="BW1711" s="16"/>
      <c r="BX1711" s="16"/>
      <c r="BY1711" s="16"/>
      <c r="BZ1711" s="16"/>
      <c r="CA1711" s="16"/>
      <c r="CB1711" s="16"/>
      <c r="CC1711" s="16"/>
      <c r="CD1711" s="16"/>
      <c r="CE1711" s="16"/>
      <c r="CF1711" s="16"/>
      <c r="CG1711" s="16"/>
      <c r="CH1711" s="16"/>
      <c r="CI1711" s="16"/>
      <c r="CJ1711" s="16"/>
      <c r="CK1711" s="16"/>
      <c r="CL1711" s="16"/>
      <c r="CM1711" s="16"/>
      <c r="CN1711" s="16"/>
      <c r="CO1711" s="16"/>
      <c r="CP1711" s="16"/>
      <c r="CQ1711" s="16"/>
      <c r="CR1711" s="16"/>
      <c r="CS1711" s="16"/>
      <c r="CT1711" s="16"/>
      <c r="CU1711" s="16"/>
      <c r="CV1711" s="16"/>
      <c r="CW1711" s="16"/>
      <c r="CX1711" s="16"/>
      <c r="CY1711" s="16"/>
      <c r="CZ1711" s="16"/>
      <c r="DA1711" s="16"/>
      <c r="DB1711" s="16"/>
      <c r="DC1711" s="16"/>
      <c r="DD1711" s="16"/>
      <c r="DE1711" s="16"/>
      <c r="DF1711" s="16"/>
    </row>
    <row r="1712" spans="8:110" x14ac:dyDescent="0.3">
      <c r="H1712" s="10">
        <f t="shared" si="206"/>
        <v>0</v>
      </c>
      <c r="K1712" s="3"/>
      <c r="L1712" s="16"/>
      <c r="M1712" s="16"/>
      <c r="N1712" s="16"/>
      <c r="O1712" s="16"/>
      <c r="P1712" s="16"/>
      <c r="Q1712" s="16"/>
      <c r="R1712" s="16"/>
      <c r="S1712" s="16"/>
      <c r="T1712" s="16"/>
      <c r="U1712" s="16"/>
      <c r="V1712" s="16"/>
      <c r="W1712" s="16"/>
      <c r="X1712" s="16"/>
      <c r="Y1712" s="16"/>
      <c r="Z1712" s="16"/>
      <c r="AA1712" s="16"/>
      <c r="AB1712" s="16"/>
      <c r="AC1712" s="16"/>
      <c r="AD1712" s="16"/>
      <c r="AE1712" s="16"/>
      <c r="AF1712" s="16"/>
      <c r="AG1712" s="16"/>
      <c r="AH1712" s="16"/>
      <c r="AI1712" s="16"/>
      <c r="AJ1712" s="16"/>
      <c r="AK1712" s="16"/>
      <c r="AL1712" s="16"/>
      <c r="AM1712" s="16"/>
      <c r="AN1712" s="16"/>
      <c r="AO1712" s="16"/>
      <c r="AP1712" s="16"/>
      <c r="AQ1712" s="16"/>
      <c r="AR1712" s="16"/>
      <c r="AS1712" s="16"/>
      <c r="AT1712" s="16"/>
      <c r="AU1712" s="16"/>
      <c r="AV1712" s="16"/>
      <c r="AW1712" s="16"/>
      <c r="AX1712" s="16"/>
      <c r="AY1712" s="16"/>
      <c r="AZ1712" s="16"/>
      <c r="BA1712" s="16"/>
      <c r="BB1712" s="16"/>
      <c r="BC1712" s="16"/>
      <c r="BD1712" s="16"/>
      <c r="BE1712" s="16"/>
      <c r="BF1712" s="16"/>
      <c r="BG1712" s="16"/>
      <c r="BH1712" s="16"/>
      <c r="BI1712" s="16"/>
      <c r="BJ1712" s="16"/>
      <c r="BK1712" s="16"/>
      <c r="BL1712" s="16"/>
      <c r="BM1712" s="16"/>
      <c r="BN1712" s="16"/>
      <c r="BO1712" s="16"/>
      <c r="BP1712" s="16"/>
      <c r="BQ1712" s="16"/>
      <c r="BR1712" s="16"/>
      <c r="BS1712" s="16"/>
      <c r="BT1712" s="16"/>
      <c r="BU1712" s="16"/>
      <c r="BV1712" s="16"/>
      <c r="BW1712" s="16"/>
      <c r="BX1712" s="16"/>
      <c r="BY1712" s="16"/>
      <c r="BZ1712" s="16"/>
      <c r="CA1712" s="16"/>
      <c r="CB1712" s="16"/>
      <c r="CC1712" s="16"/>
      <c r="CD1712" s="16"/>
      <c r="CE1712" s="16"/>
      <c r="CF1712" s="16"/>
      <c r="CG1712" s="16"/>
      <c r="CH1712" s="16"/>
      <c r="CI1712" s="16"/>
      <c r="CJ1712" s="16"/>
      <c r="CK1712" s="16"/>
      <c r="CL1712" s="16"/>
      <c r="CM1712" s="16"/>
      <c r="CN1712" s="16"/>
      <c r="CO1712" s="16"/>
      <c r="CP1712" s="16"/>
      <c r="CQ1712" s="16"/>
      <c r="CR1712" s="16"/>
      <c r="CS1712" s="16"/>
      <c r="CT1712" s="16"/>
      <c r="CU1712" s="16"/>
      <c r="CV1712" s="16"/>
      <c r="CW1712" s="16"/>
      <c r="CX1712" s="16"/>
      <c r="CY1712" s="16"/>
      <c r="CZ1712" s="16"/>
      <c r="DA1712" s="16"/>
      <c r="DB1712" s="16"/>
      <c r="DC1712" s="16"/>
      <c r="DD1712" s="16"/>
      <c r="DE1712" s="16"/>
      <c r="DF1712" s="16"/>
    </row>
    <row r="1713" spans="8:110" x14ac:dyDescent="0.3">
      <c r="H1713" s="10">
        <f t="shared" si="206"/>
        <v>0</v>
      </c>
      <c r="K1713" s="3"/>
      <c r="L1713" s="16"/>
      <c r="M1713" s="16"/>
      <c r="N1713" s="16"/>
      <c r="O1713" s="16"/>
      <c r="P1713" s="16"/>
      <c r="Q1713" s="16"/>
      <c r="R1713" s="16"/>
      <c r="S1713" s="16"/>
      <c r="T1713" s="16"/>
      <c r="U1713" s="16"/>
      <c r="V1713" s="16"/>
      <c r="W1713" s="16"/>
      <c r="X1713" s="16"/>
      <c r="Y1713" s="16"/>
      <c r="Z1713" s="16"/>
      <c r="AA1713" s="16"/>
      <c r="AB1713" s="16"/>
      <c r="AC1713" s="16"/>
      <c r="AD1713" s="16"/>
      <c r="AE1713" s="16"/>
      <c r="AF1713" s="16"/>
      <c r="AG1713" s="16"/>
      <c r="AH1713" s="16"/>
      <c r="AI1713" s="16"/>
      <c r="AJ1713" s="16"/>
      <c r="AK1713" s="16"/>
      <c r="AL1713" s="16"/>
      <c r="AM1713" s="16"/>
      <c r="AN1713" s="16"/>
      <c r="AO1713" s="16"/>
      <c r="AP1713" s="16"/>
      <c r="AQ1713" s="16"/>
      <c r="AR1713" s="16"/>
      <c r="AS1713" s="16"/>
      <c r="AT1713" s="16"/>
      <c r="AU1713" s="16"/>
      <c r="AV1713" s="16"/>
      <c r="AW1713" s="16"/>
      <c r="AX1713" s="16"/>
      <c r="AY1713" s="16"/>
      <c r="AZ1713" s="16"/>
      <c r="BA1713" s="16"/>
      <c r="BB1713" s="16"/>
      <c r="BC1713" s="16"/>
      <c r="BD1713" s="16"/>
      <c r="BE1713" s="16"/>
      <c r="BF1713" s="16"/>
      <c r="BG1713" s="16"/>
      <c r="BH1713" s="16"/>
      <c r="BI1713" s="16"/>
      <c r="BJ1713" s="16"/>
      <c r="BK1713" s="16"/>
      <c r="BL1713" s="16"/>
      <c r="BM1713" s="16"/>
      <c r="BN1713" s="16"/>
      <c r="BO1713" s="16"/>
      <c r="BP1713" s="16"/>
      <c r="BQ1713" s="16"/>
      <c r="BR1713" s="16"/>
      <c r="BS1713" s="16"/>
      <c r="BT1713" s="16"/>
      <c r="BU1713" s="16"/>
      <c r="BV1713" s="16"/>
      <c r="BW1713" s="16"/>
      <c r="BX1713" s="16"/>
      <c r="BY1713" s="16"/>
      <c r="BZ1713" s="16"/>
      <c r="CA1713" s="16"/>
      <c r="CB1713" s="16"/>
      <c r="CC1713" s="16"/>
      <c r="CD1713" s="16"/>
      <c r="CE1713" s="16"/>
      <c r="CF1713" s="16"/>
      <c r="CG1713" s="16"/>
      <c r="CH1713" s="16"/>
      <c r="CI1713" s="16"/>
      <c r="CJ1713" s="16"/>
      <c r="CK1713" s="16"/>
      <c r="CL1713" s="16"/>
      <c r="CM1713" s="16"/>
      <c r="CN1713" s="16"/>
      <c r="CO1713" s="16"/>
      <c r="CP1713" s="16"/>
      <c r="CQ1713" s="16"/>
      <c r="CR1713" s="16"/>
      <c r="CS1713" s="16"/>
      <c r="CT1713" s="16"/>
      <c r="CU1713" s="16"/>
      <c r="CV1713" s="16"/>
      <c r="CW1713" s="16"/>
      <c r="CX1713" s="16"/>
      <c r="CY1713" s="16"/>
      <c r="CZ1713" s="16"/>
      <c r="DA1713" s="16"/>
      <c r="DB1713" s="16"/>
      <c r="DC1713" s="16"/>
      <c r="DD1713" s="16"/>
      <c r="DE1713" s="16"/>
      <c r="DF1713" s="16"/>
    </row>
    <row r="1714" spans="8:110" x14ac:dyDescent="0.3">
      <c r="H1714" s="10">
        <f t="shared" si="206"/>
        <v>0</v>
      </c>
      <c r="K1714" s="3"/>
      <c r="L1714" s="16"/>
      <c r="M1714" s="16"/>
      <c r="N1714" s="16"/>
      <c r="O1714" s="16"/>
      <c r="P1714" s="16"/>
      <c r="Q1714" s="16"/>
      <c r="R1714" s="16"/>
      <c r="S1714" s="16"/>
      <c r="T1714" s="16"/>
      <c r="U1714" s="16"/>
      <c r="V1714" s="16"/>
      <c r="W1714" s="16"/>
      <c r="X1714" s="16"/>
      <c r="Y1714" s="16"/>
      <c r="Z1714" s="16"/>
      <c r="AA1714" s="16"/>
      <c r="AB1714" s="16"/>
      <c r="AC1714" s="16"/>
      <c r="AD1714" s="16"/>
      <c r="AE1714" s="16"/>
      <c r="AF1714" s="16"/>
      <c r="AG1714" s="16"/>
      <c r="AH1714" s="16"/>
      <c r="AI1714" s="16"/>
      <c r="AJ1714" s="16"/>
      <c r="AK1714" s="16"/>
      <c r="AL1714" s="16"/>
      <c r="AM1714" s="16"/>
      <c r="AN1714" s="16"/>
      <c r="AO1714" s="16"/>
      <c r="AP1714" s="16"/>
      <c r="AQ1714" s="16"/>
      <c r="AR1714" s="16"/>
      <c r="AS1714" s="16"/>
      <c r="AT1714" s="16"/>
      <c r="AU1714" s="16"/>
      <c r="AV1714" s="16"/>
      <c r="AW1714" s="16"/>
      <c r="AX1714" s="16"/>
      <c r="AY1714" s="16"/>
      <c r="AZ1714" s="16"/>
      <c r="BA1714" s="16"/>
      <c r="BB1714" s="16"/>
      <c r="BC1714" s="16"/>
      <c r="BD1714" s="16"/>
      <c r="BE1714" s="16"/>
      <c r="BF1714" s="16"/>
      <c r="BG1714" s="16"/>
      <c r="BH1714" s="16"/>
      <c r="BI1714" s="16"/>
      <c r="BJ1714" s="16"/>
      <c r="BK1714" s="16"/>
      <c r="BL1714" s="16"/>
      <c r="BM1714" s="16"/>
      <c r="BN1714" s="16"/>
      <c r="BO1714" s="16"/>
      <c r="BP1714" s="16"/>
      <c r="BQ1714" s="16"/>
      <c r="BR1714" s="16"/>
      <c r="BS1714" s="16"/>
      <c r="BT1714" s="16"/>
      <c r="BU1714" s="16"/>
      <c r="BV1714" s="16"/>
      <c r="BW1714" s="16"/>
      <c r="BX1714" s="16"/>
      <c r="BY1714" s="16"/>
      <c r="BZ1714" s="16"/>
      <c r="CA1714" s="16"/>
      <c r="CB1714" s="16"/>
      <c r="CC1714" s="16"/>
      <c r="CD1714" s="16"/>
      <c r="CE1714" s="16"/>
      <c r="CF1714" s="16"/>
      <c r="CG1714" s="16"/>
      <c r="CH1714" s="16"/>
      <c r="CI1714" s="16"/>
      <c r="CJ1714" s="16"/>
      <c r="CK1714" s="16"/>
      <c r="CL1714" s="16"/>
      <c r="CM1714" s="16"/>
      <c r="CN1714" s="16"/>
      <c r="CO1714" s="16"/>
      <c r="CP1714" s="16"/>
      <c r="CQ1714" s="16"/>
      <c r="CR1714" s="16"/>
      <c r="CS1714" s="16"/>
      <c r="CT1714" s="16"/>
      <c r="CU1714" s="16"/>
      <c r="CV1714" s="16"/>
      <c r="CW1714" s="16"/>
      <c r="CX1714" s="16"/>
      <c r="CY1714" s="16"/>
      <c r="CZ1714" s="16"/>
      <c r="DA1714" s="16"/>
      <c r="DB1714" s="16"/>
      <c r="DC1714" s="16"/>
      <c r="DD1714" s="16"/>
      <c r="DE1714" s="16"/>
      <c r="DF1714" s="16"/>
    </row>
    <row r="1715" spans="8:110" x14ac:dyDescent="0.3">
      <c r="H1715" s="10">
        <f t="shared" si="206"/>
        <v>0</v>
      </c>
      <c r="K1715" s="3"/>
      <c r="L1715" s="16"/>
      <c r="M1715" s="16"/>
      <c r="N1715" s="16"/>
      <c r="O1715" s="16"/>
      <c r="P1715" s="16"/>
      <c r="Q1715" s="16"/>
      <c r="R1715" s="16"/>
      <c r="S1715" s="16"/>
      <c r="T1715" s="16"/>
      <c r="U1715" s="16"/>
      <c r="V1715" s="16"/>
      <c r="W1715" s="16"/>
      <c r="X1715" s="16"/>
      <c r="Y1715" s="16"/>
      <c r="Z1715" s="16"/>
      <c r="AA1715" s="16"/>
      <c r="AB1715" s="16"/>
      <c r="AC1715" s="16"/>
      <c r="AD1715" s="16"/>
      <c r="AE1715" s="16"/>
      <c r="AF1715" s="16"/>
      <c r="AG1715" s="16"/>
      <c r="AH1715" s="16"/>
      <c r="AI1715" s="16"/>
      <c r="AJ1715" s="16"/>
      <c r="AK1715" s="16"/>
      <c r="AL1715" s="16"/>
      <c r="AM1715" s="16"/>
      <c r="AN1715" s="16"/>
      <c r="AO1715" s="16"/>
      <c r="AP1715" s="16"/>
      <c r="AQ1715" s="16"/>
      <c r="AR1715" s="16"/>
      <c r="AS1715" s="16"/>
      <c r="AT1715" s="16"/>
      <c r="AU1715" s="16"/>
      <c r="AV1715" s="16"/>
      <c r="AW1715" s="16"/>
      <c r="AX1715" s="16"/>
      <c r="AY1715" s="16"/>
      <c r="AZ1715" s="16"/>
      <c r="BA1715" s="16"/>
      <c r="BB1715" s="16"/>
      <c r="BC1715" s="16"/>
      <c r="BD1715" s="16"/>
      <c r="BE1715" s="16"/>
      <c r="BF1715" s="16"/>
      <c r="BG1715" s="16"/>
      <c r="BH1715" s="16"/>
      <c r="BI1715" s="16"/>
      <c r="BJ1715" s="16"/>
      <c r="BK1715" s="16"/>
      <c r="BL1715" s="16"/>
      <c r="BM1715" s="16"/>
      <c r="BN1715" s="16"/>
      <c r="BO1715" s="16"/>
      <c r="BP1715" s="16"/>
      <c r="BQ1715" s="16"/>
      <c r="BR1715" s="16"/>
      <c r="BS1715" s="16"/>
      <c r="BT1715" s="16"/>
      <c r="BU1715" s="16"/>
      <c r="BV1715" s="16"/>
      <c r="BW1715" s="16"/>
      <c r="BX1715" s="16"/>
      <c r="BY1715" s="16"/>
      <c r="BZ1715" s="16"/>
      <c r="CA1715" s="16"/>
      <c r="CB1715" s="16"/>
      <c r="CC1715" s="16"/>
      <c r="CD1715" s="16"/>
      <c r="CE1715" s="16"/>
      <c r="CF1715" s="16"/>
      <c r="CG1715" s="16"/>
      <c r="CH1715" s="16"/>
      <c r="CI1715" s="16"/>
      <c r="CJ1715" s="16"/>
      <c r="CK1715" s="16"/>
      <c r="CL1715" s="16"/>
      <c r="CM1715" s="16"/>
      <c r="CN1715" s="16"/>
      <c r="CO1715" s="16"/>
      <c r="CP1715" s="16"/>
      <c r="CQ1715" s="16"/>
      <c r="CR1715" s="16"/>
      <c r="CS1715" s="16"/>
      <c r="CT1715" s="16"/>
      <c r="CU1715" s="16"/>
      <c r="CV1715" s="16"/>
      <c r="CW1715" s="16"/>
      <c r="CX1715" s="16"/>
      <c r="CY1715" s="16"/>
      <c r="CZ1715" s="16"/>
      <c r="DA1715" s="16"/>
      <c r="DB1715" s="16"/>
      <c r="DC1715" s="16"/>
      <c r="DD1715" s="16"/>
      <c r="DE1715" s="16"/>
      <c r="DF1715" s="16"/>
    </row>
    <row r="1716" spans="8:110" x14ac:dyDescent="0.3">
      <c r="H1716" s="10">
        <f t="shared" si="206"/>
        <v>0</v>
      </c>
      <c r="K1716" s="3"/>
      <c r="L1716" s="16"/>
      <c r="M1716" s="16"/>
      <c r="N1716" s="16"/>
      <c r="O1716" s="16"/>
      <c r="P1716" s="16"/>
      <c r="Q1716" s="16"/>
      <c r="R1716" s="16"/>
      <c r="S1716" s="16"/>
      <c r="T1716" s="16"/>
      <c r="U1716" s="16"/>
      <c r="V1716" s="16"/>
      <c r="W1716" s="16"/>
      <c r="X1716" s="16"/>
      <c r="Y1716" s="16"/>
      <c r="Z1716" s="16"/>
      <c r="AA1716" s="16"/>
      <c r="AB1716" s="16"/>
      <c r="AC1716" s="16"/>
      <c r="AD1716" s="16"/>
      <c r="AE1716" s="16"/>
      <c r="AF1716" s="16"/>
      <c r="AG1716" s="16"/>
      <c r="AH1716" s="16"/>
      <c r="AI1716" s="16"/>
      <c r="AJ1716" s="16"/>
      <c r="AK1716" s="16"/>
      <c r="AL1716" s="16"/>
      <c r="AM1716" s="16"/>
      <c r="AN1716" s="16"/>
      <c r="AO1716" s="16"/>
      <c r="AP1716" s="16"/>
      <c r="AQ1716" s="16"/>
      <c r="AR1716" s="16"/>
      <c r="AS1716" s="16"/>
      <c r="AT1716" s="16"/>
      <c r="AU1716" s="16"/>
      <c r="AV1716" s="16"/>
      <c r="AW1716" s="16"/>
      <c r="AX1716" s="16"/>
      <c r="AY1716" s="16"/>
      <c r="AZ1716" s="16"/>
      <c r="BA1716" s="16"/>
      <c r="BB1716" s="16"/>
      <c r="BC1716" s="16"/>
      <c r="BD1716" s="16"/>
      <c r="BE1716" s="16"/>
      <c r="BF1716" s="16"/>
      <c r="BG1716" s="16"/>
      <c r="BH1716" s="16"/>
      <c r="BI1716" s="16"/>
      <c r="BJ1716" s="16"/>
      <c r="BK1716" s="16"/>
      <c r="BL1716" s="16"/>
      <c r="BM1716" s="16"/>
      <c r="BN1716" s="16"/>
      <c r="BO1716" s="16"/>
      <c r="BP1716" s="16"/>
      <c r="BQ1716" s="16"/>
      <c r="BR1716" s="16"/>
      <c r="BS1716" s="16"/>
      <c r="BT1716" s="16"/>
      <c r="BU1716" s="16"/>
      <c r="BV1716" s="16"/>
      <c r="BW1716" s="16"/>
      <c r="BX1716" s="16"/>
      <c r="BY1716" s="16"/>
      <c r="BZ1716" s="16"/>
      <c r="CA1716" s="16"/>
      <c r="CB1716" s="16"/>
      <c r="CC1716" s="16"/>
      <c r="CD1716" s="16"/>
      <c r="CE1716" s="16"/>
      <c r="CF1716" s="16"/>
      <c r="CG1716" s="16"/>
      <c r="CH1716" s="16"/>
      <c r="CI1716" s="16"/>
      <c r="CJ1716" s="16"/>
      <c r="CK1716" s="16"/>
      <c r="CL1716" s="16"/>
      <c r="CM1716" s="16"/>
      <c r="CN1716" s="16"/>
      <c r="CO1716" s="16"/>
      <c r="CP1716" s="16"/>
      <c r="CQ1716" s="16"/>
      <c r="CR1716" s="16"/>
      <c r="CS1716" s="16"/>
      <c r="CT1716" s="16"/>
      <c r="CU1716" s="16"/>
      <c r="CV1716" s="16"/>
      <c r="CW1716" s="16"/>
      <c r="CX1716" s="16"/>
      <c r="CY1716" s="16"/>
      <c r="CZ1716" s="16"/>
      <c r="DA1716" s="16"/>
      <c r="DB1716" s="16"/>
      <c r="DC1716" s="16"/>
      <c r="DD1716" s="16"/>
      <c r="DE1716" s="16"/>
      <c r="DF1716" s="16"/>
    </row>
    <row r="1717" spans="8:110" x14ac:dyDescent="0.3">
      <c r="H1717" s="10">
        <f t="shared" si="206"/>
        <v>0</v>
      </c>
      <c r="K1717" s="3"/>
      <c r="L1717" s="16"/>
      <c r="M1717" s="16"/>
      <c r="N1717" s="16"/>
      <c r="O1717" s="16"/>
      <c r="P1717" s="16"/>
      <c r="Q1717" s="16"/>
      <c r="R1717" s="16"/>
      <c r="S1717" s="16"/>
      <c r="T1717" s="16"/>
      <c r="U1717" s="16"/>
      <c r="V1717" s="16"/>
      <c r="W1717" s="16"/>
      <c r="X1717" s="16"/>
      <c r="Y1717" s="16"/>
      <c r="Z1717" s="16"/>
      <c r="AA1717" s="16"/>
      <c r="AB1717" s="16"/>
      <c r="AC1717" s="16"/>
      <c r="AD1717" s="16"/>
      <c r="AE1717" s="16"/>
      <c r="AF1717" s="16"/>
      <c r="AG1717" s="16"/>
      <c r="AH1717" s="16"/>
      <c r="AI1717" s="16"/>
      <c r="AJ1717" s="16"/>
      <c r="AK1717" s="16"/>
      <c r="AL1717" s="16"/>
      <c r="AM1717" s="16"/>
      <c r="AN1717" s="16"/>
      <c r="AO1717" s="16"/>
      <c r="AP1717" s="16"/>
      <c r="AQ1717" s="16"/>
      <c r="AR1717" s="16"/>
      <c r="AS1717" s="16"/>
      <c r="AT1717" s="16"/>
      <c r="AU1717" s="16"/>
      <c r="AV1717" s="16"/>
      <c r="AW1717" s="16"/>
      <c r="AX1717" s="16"/>
      <c r="AY1717" s="16"/>
      <c r="AZ1717" s="16"/>
      <c r="BA1717" s="16"/>
      <c r="BB1717" s="16"/>
      <c r="BC1717" s="16"/>
      <c r="BD1717" s="16"/>
      <c r="BE1717" s="16"/>
      <c r="BF1717" s="16"/>
      <c r="BG1717" s="16"/>
      <c r="BH1717" s="16"/>
      <c r="BI1717" s="16"/>
      <c r="BJ1717" s="16"/>
      <c r="BK1717" s="16"/>
      <c r="BL1717" s="16"/>
      <c r="BM1717" s="16"/>
      <c r="BN1717" s="16"/>
      <c r="BO1717" s="16"/>
      <c r="BP1717" s="16"/>
      <c r="BQ1717" s="16"/>
      <c r="BR1717" s="16"/>
      <c r="BS1717" s="16"/>
      <c r="BT1717" s="16"/>
      <c r="BU1717" s="16"/>
      <c r="BV1717" s="16"/>
      <c r="BW1717" s="16"/>
      <c r="BX1717" s="16"/>
      <c r="BY1717" s="16"/>
      <c r="BZ1717" s="16"/>
      <c r="CA1717" s="16"/>
      <c r="CB1717" s="16"/>
      <c r="CC1717" s="16"/>
      <c r="CD1717" s="16"/>
      <c r="CE1717" s="16"/>
      <c r="CF1717" s="16"/>
      <c r="CG1717" s="16"/>
      <c r="CH1717" s="16"/>
      <c r="CI1717" s="16"/>
      <c r="CJ1717" s="16"/>
      <c r="CK1717" s="16"/>
      <c r="CL1717" s="16"/>
      <c r="CM1717" s="16"/>
      <c r="CN1717" s="16"/>
      <c r="CO1717" s="16"/>
      <c r="CP1717" s="16"/>
      <c r="CQ1717" s="16"/>
      <c r="CR1717" s="16"/>
      <c r="CS1717" s="16"/>
      <c r="CT1717" s="16"/>
      <c r="CU1717" s="16"/>
      <c r="CV1717" s="16"/>
      <c r="CW1717" s="16"/>
      <c r="CX1717" s="16"/>
      <c r="CY1717" s="16"/>
      <c r="CZ1717" s="16"/>
      <c r="DA1717" s="16"/>
      <c r="DB1717" s="16"/>
      <c r="DC1717" s="16"/>
      <c r="DD1717" s="16"/>
      <c r="DE1717" s="16"/>
      <c r="DF1717" s="16"/>
    </row>
    <row r="1718" spans="8:110" x14ac:dyDescent="0.3">
      <c r="H1718" s="10">
        <f t="shared" si="206"/>
        <v>0</v>
      </c>
      <c r="K1718" s="3"/>
      <c r="L1718" s="16"/>
      <c r="M1718" s="16"/>
      <c r="N1718" s="16"/>
      <c r="O1718" s="16"/>
      <c r="P1718" s="16"/>
      <c r="Q1718" s="16"/>
      <c r="R1718" s="16"/>
      <c r="S1718" s="16"/>
      <c r="T1718" s="16"/>
      <c r="U1718" s="16"/>
      <c r="V1718" s="16"/>
      <c r="W1718" s="16"/>
      <c r="X1718" s="16"/>
      <c r="Y1718" s="16"/>
      <c r="Z1718" s="16"/>
      <c r="AA1718" s="16"/>
      <c r="AB1718" s="16"/>
      <c r="AC1718" s="16"/>
      <c r="AD1718" s="16"/>
      <c r="AE1718" s="16"/>
      <c r="AF1718" s="16"/>
      <c r="AG1718" s="16"/>
      <c r="AH1718" s="16"/>
      <c r="AI1718" s="16"/>
      <c r="AJ1718" s="16"/>
      <c r="AK1718" s="16"/>
      <c r="AL1718" s="16"/>
      <c r="AM1718" s="16"/>
      <c r="AN1718" s="16"/>
      <c r="AO1718" s="16"/>
      <c r="AP1718" s="16"/>
      <c r="AQ1718" s="16"/>
      <c r="AR1718" s="16"/>
      <c r="AS1718" s="16"/>
      <c r="AT1718" s="16"/>
      <c r="AU1718" s="16"/>
      <c r="AV1718" s="16"/>
      <c r="AW1718" s="16"/>
      <c r="AX1718" s="16"/>
      <c r="AY1718" s="16"/>
      <c r="AZ1718" s="16"/>
      <c r="BA1718" s="16"/>
      <c r="BB1718" s="16"/>
      <c r="BC1718" s="16"/>
      <c r="BD1718" s="16"/>
      <c r="BE1718" s="16"/>
      <c r="BF1718" s="16"/>
      <c r="BG1718" s="16"/>
      <c r="BH1718" s="16"/>
      <c r="BI1718" s="16"/>
      <c r="BJ1718" s="16"/>
      <c r="BK1718" s="16"/>
      <c r="BL1718" s="16"/>
      <c r="BM1718" s="16"/>
      <c r="BN1718" s="16"/>
      <c r="BO1718" s="16"/>
      <c r="BP1718" s="16"/>
      <c r="BQ1718" s="16"/>
      <c r="BR1718" s="16"/>
      <c r="BS1718" s="16"/>
      <c r="BT1718" s="16"/>
      <c r="BU1718" s="16"/>
      <c r="BV1718" s="16"/>
      <c r="BW1718" s="16"/>
      <c r="BX1718" s="16"/>
      <c r="BY1718" s="16"/>
      <c r="BZ1718" s="16"/>
      <c r="CA1718" s="16"/>
      <c r="CB1718" s="16"/>
      <c r="CC1718" s="16"/>
      <c r="CD1718" s="16"/>
      <c r="CE1718" s="16"/>
      <c r="CF1718" s="16"/>
      <c r="CG1718" s="16"/>
      <c r="CH1718" s="16"/>
      <c r="CI1718" s="16"/>
      <c r="CJ1718" s="16"/>
      <c r="CK1718" s="16"/>
      <c r="CL1718" s="16"/>
      <c r="CM1718" s="16"/>
      <c r="CN1718" s="16"/>
      <c r="CO1718" s="16"/>
      <c r="CP1718" s="16"/>
      <c r="CQ1718" s="16"/>
      <c r="CR1718" s="16"/>
      <c r="CS1718" s="16"/>
      <c r="CT1718" s="16"/>
      <c r="CU1718" s="16"/>
      <c r="CV1718" s="16"/>
      <c r="CW1718" s="16"/>
      <c r="CX1718" s="16"/>
      <c r="CY1718" s="16"/>
      <c r="CZ1718" s="16"/>
      <c r="DA1718" s="16"/>
      <c r="DB1718" s="16"/>
      <c r="DC1718" s="16"/>
      <c r="DD1718" s="16"/>
      <c r="DE1718" s="16"/>
      <c r="DF1718" s="16"/>
    </row>
    <row r="1719" spans="8:110" x14ac:dyDescent="0.3">
      <c r="H1719" s="10">
        <f t="shared" si="206"/>
        <v>0</v>
      </c>
      <c r="K1719" s="3"/>
      <c r="L1719" s="16"/>
      <c r="M1719" s="16"/>
      <c r="N1719" s="16"/>
      <c r="O1719" s="16"/>
      <c r="P1719" s="16"/>
      <c r="Q1719" s="16"/>
      <c r="R1719" s="16"/>
      <c r="S1719" s="16"/>
      <c r="T1719" s="16"/>
      <c r="U1719" s="16"/>
      <c r="V1719" s="16"/>
      <c r="W1719" s="16"/>
      <c r="X1719" s="16"/>
      <c r="Y1719" s="16"/>
      <c r="Z1719" s="16"/>
      <c r="AA1719" s="16"/>
      <c r="AB1719" s="16"/>
      <c r="AC1719" s="16"/>
      <c r="AD1719" s="16"/>
      <c r="AE1719" s="16"/>
      <c r="AF1719" s="16"/>
      <c r="AG1719" s="16"/>
      <c r="AH1719" s="16"/>
      <c r="AI1719" s="16"/>
      <c r="AJ1719" s="16"/>
      <c r="AK1719" s="16"/>
      <c r="AL1719" s="16"/>
      <c r="AM1719" s="16"/>
      <c r="AN1719" s="16"/>
      <c r="AO1719" s="16"/>
      <c r="AP1719" s="16"/>
      <c r="AQ1719" s="16"/>
      <c r="AR1719" s="16"/>
      <c r="AS1719" s="16"/>
      <c r="AT1719" s="16"/>
      <c r="AU1719" s="16"/>
      <c r="AV1719" s="16"/>
      <c r="AW1719" s="16"/>
      <c r="AX1719" s="16"/>
      <c r="AY1719" s="16"/>
      <c r="AZ1719" s="16"/>
      <c r="BA1719" s="16"/>
      <c r="BB1719" s="16"/>
      <c r="BC1719" s="16"/>
      <c r="BD1719" s="16"/>
      <c r="BE1719" s="16"/>
      <c r="BF1719" s="16"/>
      <c r="BG1719" s="16"/>
      <c r="BH1719" s="16"/>
      <c r="BI1719" s="16"/>
      <c r="BJ1719" s="16"/>
      <c r="BK1719" s="16"/>
      <c r="BL1719" s="16"/>
      <c r="BM1719" s="16"/>
      <c r="BN1719" s="16"/>
      <c r="BO1719" s="16"/>
      <c r="BP1719" s="16"/>
      <c r="BQ1719" s="16"/>
      <c r="BR1719" s="16"/>
      <c r="BS1719" s="16"/>
      <c r="BT1719" s="16"/>
      <c r="BU1719" s="16"/>
      <c r="BV1719" s="16"/>
      <c r="BW1719" s="16"/>
      <c r="BX1719" s="16"/>
      <c r="BY1719" s="16"/>
      <c r="BZ1719" s="16"/>
      <c r="CA1719" s="16"/>
      <c r="CB1719" s="16"/>
      <c r="CC1719" s="16"/>
      <c r="CD1719" s="16"/>
      <c r="CE1719" s="16"/>
      <c r="CF1719" s="16"/>
      <c r="CG1719" s="16"/>
      <c r="CH1719" s="16"/>
      <c r="CI1719" s="16"/>
      <c r="CJ1719" s="16"/>
      <c r="CK1719" s="16"/>
      <c r="CL1719" s="16"/>
      <c r="CM1719" s="16"/>
      <c r="CN1719" s="16"/>
      <c r="CO1719" s="16"/>
      <c r="CP1719" s="16"/>
      <c r="CQ1719" s="16"/>
      <c r="CR1719" s="16"/>
      <c r="CS1719" s="16"/>
      <c r="CT1719" s="16"/>
      <c r="CU1719" s="16"/>
      <c r="CV1719" s="16"/>
      <c r="CW1719" s="16"/>
      <c r="CX1719" s="16"/>
      <c r="CY1719" s="16"/>
      <c r="CZ1719" s="16"/>
      <c r="DA1719" s="16"/>
      <c r="DB1719" s="16"/>
      <c r="DC1719" s="16"/>
      <c r="DD1719" s="16"/>
      <c r="DE1719" s="16"/>
      <c r="DF1719" s="16"/>
    </row>
    <row r="1720" spans="8:110" x14ac:dyDescent="0.3">
      <c r="H1720" s="10">
        <f t="shared" si="206"/>
        <v>0</v>
      </c>
      <c r="K1720" s="3"/>
      <c r="L1720" s="16"/>
      <c r="M1720" s="16"/>
      <c r="N1720" s="16"/>
      <c r="O1720" s="16"/>
      <c r="P1720" s="16"/>
      <c r="Q1720" s="16"/>
      <c r="R1720" s="16"/>
      <c r="S1720" s="16"/>
      <c r="T1720" s="16"/>
      <c r="U1720" s="16"/>
      <c r="V1720" s="16"/>
      <c r="W1720" s="16"/>
      <c r="X1720" s="16"/>
      <c r="Y1720" s="16"/>
      <c r="Z1720" s="16"/>
      <c r="AA1720" s="16"/>
      <c r="AB1720" s="16"/>
      <c r="AC1720" s="16"/>
      <c r="AD1720" s="16"/>
      <c r="AE1720" s="16"/>
      <c r="AF1720" s="16"/>
      <c r="AG1720" s="16"/>
      <c r="AH1720" s="16"/>
      <c r="AI1720" s="16"/>
      <c r="AJ1720" s="16"/>
      <c r="AK1720" s="16"/>
      <c r="AL1720" s="16"/>
      <c r="AM1720" s="16"/>
      <c r="AN1720" s="16"/>
      <c r="AO1720" s="16"/>
      <c r="AP1720" s="16"/>
      <c r="AQ1720" s="16"/>
      <c r="AR1720" s="16"/>
      <c r="AS1720" s="16"/>
      <c r="AT1720" s="16"/>
      <c r="AU1720" s="16"/>
      <c r="AV1720" s="16"/>
      <c r="AW1720" s="16"/>
      <c r="AX1720" s="16"/>
      <c r="AY1720" s="16"/>
      <c r="AZ1720" s="16"/>
      <c r="BA1720" s="16"/>
      <c r="BB1720" s="16"/>
      <c r="BC1720" s="16"/>
      <c r="BD1720" s="16"/>
      <c r="BE1720" s="16"/>
      <c r="BF1720" s="16"/>
      <c r="BG1720" s="16"/>
      <c r="BH1720" s="16"/>
      <c r="BI1720" s="16"/>
      <c r="BJ1720" s="16"/>
      <c r="BK1720" s="16"/>
      <c r="BL1720" s="16"/>
      <c r="BM1720" s="16"/>
      <c r="BN1720" s="16"/>
      <c r="BO1720" s="16"/>
      <c r="BP1720" s="16"/>
      <c r="BQ1720" s="16"/>
      <c r="BR1720" s="16"/>
      <c r="BS1720" s="16"/>
      <c r="BT1720" s="16"/>
      <c r="BU1720" s="16"/>
      <c r="BV1720" s="16"/>
      <c r="BW1720" s="16"/>
      <c r="BX1720" s="16"/>
      <c r="BY1720" s="16"/>
      <c r="BZ1720" s="16"/>
      <c r="CA1720" s="16"/>
      <c r="CB1720" s="16"/>
      <c r="CC1720" s="16"/>
      <c r="CD1720" s="16"/>
      <c r="CE1720" s="16"/>
      <c r="CF1720" s="16"/>
      <c r="CG1720" s="16"/>
      <c r="CH1720" s="16"/>
      <c r="CI1720" s="16"/>
      <c r="CJ1720" s="16"/>
      <c r="CK1720" s="16"/>
      <c r="CL1720" s="16"/>
      <c r="CM1720" s="16"/>
      <c r="CN1720" s="16"/>
      <c r="CO1720" s="16"/>
      <c r="CP1720" s="16"/>
      <c r="CQ1720" s="16"/>
      <c r="CR1720" s="16"/>
      <c r="CS1720" s="16"/>
      <c r="CT1720" s="16"/>
      <c r="CU1720" s="16"/>
      <c r="CV1720" s="16"/>
      <c r="CW1720" s="16"/>
      <c r="CX1720" s="16"/>
      <c r="CY1720" s="16"/>
      <c r="CZ1720" s="16"/>
      <c r="DA1720" s="16"/>
      <c r="DB1720" s="16"/>
      <c r="DC1720" s="16"/>
      <c r="DD1720" s="16"/>
      <c r="DE1720" s="16"/>
      <c r="DF1720" s="16"/>
    </row>
    <row r="1721" spans="8:110" x14ac:dyDescent="0.3">
      <c r="H1721" s="10">
        <f t="shared" si="206"/>
        <v>0</v>
      </c>
      <c r="K1721" s="3"/>
      <c r="L1721" s="16"/>
      <c r="M1721" s="16"/>
      <c r="N1721" s="16"/>
      <c r="O1721" s="16"/>
      <c r="P1721" s="16"/>
      <c r="Q1721" s="16"/>
      <c r="R1721" s="16"/>
      <c r="S1721" s="16"/>
      <c r="T1721" s="16"/>
      <c r="U1721" s="16"/>
      <c r="V1721" s="16"/>
      <c r="W1721" s="16"/>
      <c r="X1721" s="16"/>
      <c r="Y1721" s="16"/>
      <c r="Z1721" s="16"/>
      <c r="AA1721" s="16"/>
      <c r="AB1721" s="16"/>
      <c r="AC1721" s="16"/>
      <c r="AD1721" s="16"/>
      <c r="AE1721" s="16"/>
      <c r="AF1721" s="16"/>
      <c r="AG1721" s="16"/>
      <c r="AH1721" s="16"/>
      <c r="AI1721" s="16"/>
      <c r="AJ1721" s="16"/>
      <c r="AK1721" s="16"/>
      <c r="AL1721" s="16"/>
      <c r="AM1721" s="16"/>
      <c r="AN1721" s="16"/>
      <c r="AO1721" s="16"/>
      <c r="AP1721" s="16"/>
      <c r="AQ1721" s="16"/>
      <c r="AR1721" s="16"/>
      <c r="AS1721" s="16"/>
      <c r="AT1721" s="16"/>
      <c r="AU1721" s="16"/>
      <c r="AV1721" s="16"/>
      <c r="AW1721" s="16"/>
      <c r="AX1721" s="16"/>
      <c r="AY1721" s="16"/>
      <c r="AZ1721" s="16"/>
      <c r="BA1721" s="16"/>
      <c r="BB1721" s="16"/>
      <c r="BC1721" s="16"/>
      <c r="BD1721" s="16"/>
      <c r="BE1721" s="16"/>
      <c r="BF1721" s="16"/>
      <c r="BG1721" s="16"/>
      <c r="BH1721" s="16"/>
      <c r="BI1721" s="16"/>
      <c r="BJ1721" s="16"/>
      <c r="BK1721" s="16"/>
      <c r="BL1721" s="16"/>
      <c r="BM1721" s="16"/>
      <c r="BN1721" s="16"/>
      <c r="BO1721" s="16"/>
      <c r="BP1721" s="16"/>
      <c r="BQ1721" s="16"/>
      <c r="BR1721" s="16"/>
      <c r="BS1721" s="16"/>
      <c r="BT1721" s="16"/>
      <c r="BU1721" s="16"/>
      <c r="BV1721" s="16"/>
      <c r="BW1721" s="16"/>
      <c r="BX1721" s="16"/>
      <c r="BY1721" s="16"/>
      <c r="BZ1721" s="16"/>
      <c r="CA1721" s="16"/>
      <c r="CB1721" s="16"/>
      <c r="CC1721" s="16"/>
      <c r="CD1721" s="16"/>
      <c r="CE1721" s="16"/>
      <c r="CF1721" s="16"/>
      <c r="CG1721" s="16"/>
      <c r="CH1721" s="16"/>
      <c r="CI1721" s="16"/>
      <c r="CJ1721" s="16"/>
      <c r="CK1721" s="16"/>
      <c r="CL1721" s="16"/>
      <c r="CM1721" s="16"/>
      <c r="CN1721" s="16"/>
      <c r="CO1721" s="16"/>
      <c r="CP1721" s="16"/>
      <c r="CQ1721" s="16"/>
      <c r="CR1721" s="16"/>
      <c r="CS1721" s="16"/>
      <c r="CT1721" s="16"/>
      <c r="CU1721" s="16"/>
      <c r="CV1721" s="16"/>
      <c r="CW1721" s="16"/>
      <c r="CX1721" s="16"/>
      <c r="CY1721" s="16"/>
      <c r="CZ1721" s="16"/>
      <c r="DA1721" s="16"/>
      <c r="DB1721" s="16"/>
      <c r="DC1721" s="16"/>
      <c r="DD1721" s="16"/>
      <c r="DE1721" s="16"/>
      <c r="DF1721" s="16"/>
    </row>
    <row r="1722" spans="8:110" x14ac:dyDescent="0.3">
      <c r="H1722" s="10">
        <f t="shared" si="206"/>
        <v>0</v>
      </c>
      <c r="K1722" s="3"/>
      <c r="L1722" s="16"/>
      <c r="M1722" s="16"/>
      <c r="N1722" s="16"/>
      <c r="O1722" s="16"/>
      <c r="P1722" s="16"/>
      <c r="Q1722" s="16"/>
      <c r="R1722" s="16"/>
      <c r="S1722" s="16"/>
      <c r="T1722" s="16"/>
      <c r="U1722" s="16"/>
      <c r="V1722" s="16"/>
      <c r="W1722" s="16"/>
      <c r="X1722" s="16"/>
      <c r="Y1722" s="16"/>
      <c r="Z1722" s="16"/>
      <c r="AA1722" s="16"/>
      <c r="AB1722" s="16"/>
      <c r="AC1722" s="16"/>
      <c r="AD1722" s="16"/>
      <c r="AE1722" s="16"/>
      <c r="AF1722" s="16"/>
      <c r="AG1722" s="16"/>
      <c r="AH1722" s="16"/>
      <c r="AI1722" s="16"/>
      <c r="AJ1722" s="16"/>
      <c r="AK1722" s="16"/>
      <c r="AL1722" s="16"/>
      <c r="AM1722" s="16"/>
      <c r="AN1722" s="16"/>
      <c r="AO1722" s="16"/>
      <c r="AP1722" s="16"/>
      <c r="AQ1722" s="16"/>
      <c r="AR1722" s="16"/>
      <c r="AS1722" s="16"/>
      <c r="AT1722" s="16"/>
      <c r="AU1722" s="16"/>
      <c r="AV1722" s="16"/>
      <c r="AW1722" s="16"/>
      <c r="AX1722" s="16"/>
      <c r="AY1722" s="16"/>
      <c r="AZ1722" s="16"/>
      <c r="BA1722" s="16"/>
      <c r="BB1722" s="16"/>
      <c r="BC1722" s="16"/>
      <c r="BD1722" s="16"/>
      <c r="BE1722" s="16"/>
      <c r="BF1722" s="16"/>
      <c r="BG1722" s="16"/>
      <c r="BH1722" s="16"/>
      <c r="BI1722" s="16"/>
      <c r="BJ1722" s="16"/>
      <c r="BK1722" s="16"/>
      <c r="BL1722" s="16"/>
      <c r="BM1722" s="16"/>
      <c r="BN1722" s="16"/>
      <c r="BO1722" s="16"/>
      <c r="BP1722" s="16"/>
      <c r="BQ1722" s="16"/>
      <c r="BR1722" s="16"/>
      <c r="BS1722" s="16"/>
      <c r="BT1722" s="16"/>
      <c r="BU1722" s="16"/>
      <c r="BV1722" s="16"/>
      <c r="BW1722" s="16"/>
      <c r="BX1722" s="16"/>
      <c r="BY1722" s="16"/>
      <c r="BZ1722" s="16"/>
      <c r="CA1722" s="16"/>
      <c r="CB1722" s="16"/>
      <c r="CC1722" s="16"/>
      <c r="CD1722" s="16"/>
      <c r="CE1722" s="16"/>
      <c r="CF1722" s="16"/>
      <c r="CG1722" s="16"/>
      <c r="CH1722" s="16"/>
      <c r="CI1722" s="16"/>
      <c r="CJ1722" s="16"/>
      <c r="CK1722" s="16"/>
      <c r="CL1722" s="16"/>
      <c r="CM1722" s="16"/>
      <c r="CN1722" s="16"/>
      <c r="CO1722" s="16"/>
      <c r="CP1722" s="16"/>
      <c r="CQ1722" s="16"/>
      <c r="CR1722" s="16"/>
      <c r="CS1722" s="16"/>
      <c r="CT1722" s="16"/>
      <c r="CU1722" s="16"/>
      <c r="CV1722" s="16"/>
      <c r="CW1722" s="16"/>
      <c r="CX1722" s="16"/>
      <c r="CY1722" s="16"/>
      <c r="CZ1722" s="16"/>
      <c r="DA1722" s="16"/>
      <c r="DB1722" s="16"/>
      <c r="DC1722" s="16"/>
      <c r="DD1722" s="16"/>
      <c r="DE1722" s="16"/>
      <c r="DF1722" s="16"/>
    </row>
    <row r="1723" spans="8:110" x14ac:dyDescent="0.3">
      <c r="H1723" s="10">
        <f t="shared" si="206"/>
        <v>0</v>
      </c>
      <c r="K1723" s="3"/>
      <c r="L1723" s="16"/>
      <c r="M1723" s="16"/>
      <c r="N1723" s="16"/>
      <c r="O1723" s="16"/>
      <c r="P1723" s="16"/>
      <c r="Q1723" s="16"/>
      <c r="R1723" s="16"/>
      <c r="S1723" s="16"/>
      <c r="T1723" s="16"/>
      <c r="U1723" s="16"/>
      <c r="V1723" s="16"/>
      <c r="W1723" s="16"/>
      <c r="X1723" s="16"/>
      <c r="Y1723" s="16"/>
      <c r="Z1723" s="16"/>
      <c r="AA1723" s="16"/>
      <c r="AB1723" s="16"/>
      <c r="AC1723" s="16"/>
      <c r="AD1723" s="16"/>
      <c r="AE1723" s="16"/>
      <c r="AF1723" s="16"/>
      <c r="AG1723" s="16"/>
      <c r="AH1723" s="16"/>
      <c r="AI1723" s="16"/>
      <c r="AJ1723" s="16"/>
      <c r="AK1723" s="16"/>
      <c r="AL1723" s="16"/>
      <c r="AM1723" s="16"/>
      <c r="AN1723" s="16"/>
      <c r="AO1723" s="16"/>
      <c r="AP1723" s="16"/>
      <c r="AQ1723" s="16"/>
      <c r="AR1723" s="16"/>
      <c r="AS1723" s="16"/>
      <c r="AT1723" s="16"/>
      <c r="AU1723" s="16"/>
      <c r="AV1723" s="16"/>
      <c r="AW1723" s="16"/>
      <c r="AX1723" s="16"/>
      <c r="AY1723" s="16"/>
      <c r="AZ1723" s="16"/>
      <c r="BA1723" s="16"/>
      <c r="BB1723" s="16"/>
      <c r="BC1723" s="16"/>
      <c r="BD1723" s="16"/>
      <c r="BE1723" s="16"/>
      <c r="BF1723" s="16"/>
      <c r="BG1723" s="16"/>
      <c r="BH1723" s="16"/>
      <c r="BI1723" s="16"/>
      <c r="BJ1723" s="16"/>
      <c r="BK1723" s="16"/>
      <c r="BL1723" s="16"/>
      <c r="BM1723" s="16"/>
      <c r="BN1723" s="16"/>
      <c r="BO1723" s="16"/>
      <c r="BP1723" s="16"/>
      <c r="BQ1723" s="16"/>
      <c r="BR1723" s="16"/>
      <c r="BS1723" s="16"/>
      <c r="BT1723" s="16"/>
      <c r="BU1723" s="16"/>
      <c r="BV1723" s="16"/>
      <c r="BW1723" s="16"/>
      <c r="BX1723" s="16"/>
      <c r="BY1723" s="16"/>
      <c r="BZ1723" s="16"/>
      <c r="CA1723" s="16"/>
      <c r="CB1723" s="16"/>
      <c r="CC1723" s="16"/>
      <c r="CD1723" s="16"/>
      <c r="CE1723" s="16"/>
      <c r="CF1723" s="16"/>
      <c r="CG1723" s="16"/>
      <c r="CH1723" s="16"/>
      <c r="CI1723" s="16"/>
      <c r="CJ1723" s="16"/>
      <c r="CK1723" s="16"/>
      <c r="CL1723" s="16"/>
      <c r="CM1723" s="16"/>
      <c r="CN1723" s="16"/>
      <c r="CO1723" s="16"/>
      <c r="CP1723" s="16"/>
      <c r="CQ1723" s="16"/>
      <c r="CR1723" s="16"/>
      <c r="CS1723" s="16"/>
      <c r="CT1723" s="16"/>
      <c r="CU1723" s="16"/>
      <c r="CV1723" s="16"/>
      <c r="CW1723" s="16"/>
      <c r="CX1723" s="16"/>
      <c r="CY1723" s="16"/>
      <c r="CZ1723" s="16"/>
      <c r="DA1723" s="16"/>
      <c r="DB1723" s="16"/>
      <c r="DC1723" s="16"/>
      <c r="DD1723" s="16"/>
      <c r="DE1723" s="16"/>
      <c r="DF1723" s="16"/>
    </row>
    <row r="1724" spans="8:110" x14ac:dyDescent="0.3">
      <c r="H1724" s="10">
        <f t="shared" si="206"/>
        <v>0</v>
      </c>
      <c r="K1724" s="3"/>
      <c r="L1724" s="16"/>
      <c r="M1724" s="16"/>
      <c r="N1724" s="16"/>
      <c r="O1724" s="16"/>
      <c r="P1724" s="16"/>
      <c r="Q1724" s="16"/>
      <c r="R1724" s="16"/>
      <c r="S1724" s="16"/>
      <c r="T1724" s="16"/>
      <c r="U1724" s="16"/>
      <c r="V1724" s="16"/>
      <c r="W1724" s="16"/>
      <c r="X1724" s="16"/>
      <c r="Y1724" s="16"/>
      <c r="Z1724" s="16"/>
      <c r="AA1724" s="16"/>
      <c r="AB1724" s="16"/>
      <c r="AC1724" s="16"/>
      <c r="AD1724" s="16"/>
      <c r="AE1724" s="16"/>
      <c r="AF1724" s="16"/>
      <c r="AG1724" s="16"/>
      <c r="AH1724" s="16"/>
      <c r="AI1724" s="16"/>
      <c r="AJ1724" s="16"/>
      <c r="AK1724" s="16"/>
      <c r="AL1724" s="16"/>
      <c r="AM1724" s="16"/>
      <c r="AN1724" s="16"/>
      <c r="AO1724" s="16"/>
      <c r="AP1724" s="16"/>
      <c r="AQ1724" s="16"/>
      <c r="AR1724" s="16"/>
      <c r="AS1724" s="16"/>
      <c r="AT1724" s="16"/>
      <c r="AU1724" s="16"/>
      <c r="AV1724" s="16"/>
      <c r="AW1724" s="16"/>
      <c r="AX1724" s="16"/>
      <c r="AY1724" s="16"/>
      <c r="AZ1724" s="16"/>
      <c r="BA1724" s="16"/>
      <c r="BB1724" s="16"/>
      <c r="BC1724" s="16"/>
      <c r="BD1724" s="16"/>
      <c r="BE1724" s="16"/>
      <c r="BF1724" s="16"/>
      <c r="BG1724" s="16"/>
      <c r="BH1724" s="16"/>
      <c r="BI1724" s="16"/>
      <c r="BJ1724" s="16"/>
      <c r="BK1724" s="16"/>
      <c r="BL1724" s="16"/>
      <c r="BM1724" s="16"/>
      <c r="BN1724" s="16"/>
      <c r="BO1724" s="16"/>
      <c r="BP1724" s="16"/>
      <c r="BQ1724" s="16"/>
      <c r="BR1724" s="16"/>
      <c r="BS1724" s="16"/>
      <c r="BT1724" s="16"/>
      <c r="BU1724" s="16"/>
      <c r="BV1724" s="16"/>
      <c r="BW1724" s="16"/>
      <c r="BX1724" s="16"/>
      <c r="BY1724" s="16"/>
      <c r="BZ1724" s="16"/>
      <c r="CA1724" s="16"/>
      <c r="CB1724" s="16"/>
      <c r="CC1724" s="16"/>
      <c r="CD1724" s="16"/>
      <c r="CE1724" s="16"/>
      <c r="CF1724" s="16"/>
      <c r="CG1724" s="16"/>
      <c r="CH1724" s="16"/>
      <c r="CI1724" s="16"/>
      <c r="CJ1724" s="16"/>
      <c r="CK1724" s="16"/>
      <c r="CL1724" s="16"/>
      <c r="CM1724" s="16"/>
      <c r="CN1724" s="16"/>
      <c r="CO1724" s="16"/>
      <c r="CP1724" s="16"/>
      <c r="CQ1724" s="16"/>
      <c r="CR1724" s="16"/>
      <c r="CS1724" s="16"/>
      <c r="CT1724" s="16"/>
      <c r="CU1724" s="16"/>
      <c r="CV1724" s="16"/>
      <c r="CW1724" s="16"/>
      <c r="CX1724" s="16"/>
      <c r="CY1724" s="16"/>
      <c r="CZ1724" s="16"/>
      <c r="DA1724" s="16"/>
      <c r="DB1724" s="16"/>
      <c r="DC1724" s="16"/>
      <c r="DD1724" s="16"/>
      <c r="DE1724" s="16"/>
      <c r="DF1724" s="16"/>
    </row>
    <row r="1725" spans="8:110" x14ac:dyDescent="0.3">
      <c r="H1725" s="10">
        <f t="shared" si="206"/>
        <v>0</v>
      </c>
      <c r="K1725" s="3"/>
      <c r="L1725" s="16"/>
      <c r="M1725" s="16"/>
      <c r="N1725" s="16"/>
      <c r="O1725" s="16"/>
      <c r="P1725" s="16"/>
      <c r="Q1725" s="16"/>
      <c r="R1725" s="16"/>
      <c r="S1725" s="16"/>
      <c r="T1725" s="16"/>
      <c r="U1725" s="16"/>
      <c r="V1725" s="16"/>
      <c r="W1725" s="16"/>
      <c r="X1725" s="16"/>
      <c r="Y1725" s="16"/>
      <c r="Z1725" s="16"/>
      <c r="AA1725" s="16"/>
      <c r="AB1725" s="16"/>
      <c r="AC1725" s="16"/>
      <c r="AD1725" s="16"/>
      <c r="AE1725" s="16"/>
      <c r="AF1725" s="16"/>
      <c r="AG1725" s="16"/>
      <c r="AH1725" s="16"/>
      <c r="AI1725" s="16"/>
      <c r="AJ1725" s="16"/>
      <c r="AK1725" s="16"/>
      <c r="AL1725" s="16"/>
      <c r="AM1725" s="16"/>
      <c r="AN1725" s="16"/>
      <c r="AO1725" s="16"/>
      <c r="AP1725" s="16"/>
      <c r="AQ1725" s="16"/>
      <c r="AR1725" s="16"/>
      <c r="AS1725" s="16"/>
      <c r="AT1725" s="16"/>
      <c r="AU1725" s="16"/>
      <c r="AV1725" s="16"/>
      <c r="AW1725" s="16"/>
      <c r="AX1725" s="16"/>
      <c r="AY1725" s="16"/>
      <c r="AZ1725" s="16"/>
      <c r="BA1725" s="16"/>
      <c r="BB1725" s="16"/>
      <c r="BC1725" s="16"/>
      <c r="BD1725" s="16"/>
      <c r="BE1725" s="16"/>
      <c r="BF1725" s="16"/>
      <c r="BG1725" s="16"/>
      <c r="BH1725" s="16"/>
      <c r="BI1725" s="16"/>
      <c r="BJ1725" s="16"/>
      <c r="BK1725" s="16"/>
      <c r="BL1725" s="16"/>
      <c r="BM1725" s="16"/>
      <c r="BN1725" s="16"/>
      <c r="BO1725" s="16"/>
      <c r="BP1725" s="16"/>
      <c r="BQ1725" s="16"/>
      <c r="BR1725" s="16"/>
      <c r="BS1725" s="16"/>
      <c r="BT1725" s="16"/>
      <c r="BU1725" s="16"/>
      <c r="BV1725" s="16"/>
      <c r="BW1725" s="16"/>
      <c r="BX1725" s="16"/>
      <c r="BY1725" s="16"/>
      <c r="BZ1725" s="16"/>
      <c r="CA1725" s="16"/>
      <c r="CB1725" s="16"/>
      <c r="CC1725" s="16"/>
      <c r="CD1725" s="16"/>
      <c r="CE1725" s="16"/>
      <c r="CF1725" s="16"/>
      <c r="CG1725" s="16"/>
      <c r="CH1725" s="16"/>
      <c r="CI1725" s="16"/>
      <c r="CJ1725" s="16"/>
      <c r="CK1725" s="16"/>
      <c r="CL1725" s="16"/>
      <c r="CM1725" s="16"/>
      <c r="CN1725" s="16"/>
      <c r="CO1725" s="16"/>
      <c r="CP1725" s="16"/>
      <c r="CQ1725" s="16"/>
      <c r="CR1725" s="16"/>
      <c r="CS1725" s="16"/>
      <c r="CT1725" s="16"/>
      <c r="CU1725" s="16"/>
      <c r="CV1725" s="16"/>
      <c r="CW1725" s="16"/>
      <c r="CX1725" s="16"/>
      <c r="CY1725" s="16"/>
      <c r="CZ1725" s="16"/>
      <c r="DA1725" s="16"/>
      <c r="DB1725" s="16"/>
      <c r="DC1725" s="16"/>
      <c r="DD1725" s="16"/>
      <c r="DE1725" s="16"/>
      <c r="DF1725" s="16"/>
    </row>
    <row r="1726" spans="8:110" x14ac:dyDescent="0.3">
      <c r="H1726" s="10">
        <f t="shared" ref="H1726:H1789" si="207">D1726-C1726</f>
        <v>0</v>
      </c>
      <c r="K1726" s="3"/>
      <c r="L1726" s="16"/>
      <c r="M1726" s="16"/>
      <c r="N1726" s="16"/>
      <c r="O1726" s="16"/>
      <c r="P1726" s="16"/>
      <c r="Q1726" s="16"/>
      <c r="R1726" s="16"/>
      <c r="S1726" s="16"/>
      <c r="T1726" s="16"/>
      <c r="U1726" s="16"/>
      <c r="V1726" s="16"/>
      <c r="W1726" s="16"/>
      <c r="X1726" s="16"/>
      <c r="Y1726" s="16"/>
      <c r="Z1726" s="16"/>
      <c r="AA1726" s="16"/>
      <c r="AB1726" s="16"/>
      <c r="AC1726" s="16"/>
      <c r="AD1726" s="16"/>
      <c r="AE1726" s="16"/>
      <c r="AF1726" s="16"/>
      <c r="AG1726" s="16"/>
      <c r="AH1726" s="16"/>
      <c r="AI1726" s="16"/>
      <c r="AJ1726" s="16"/>
      <c r="AK1726" s="16"/>
      <c r="AL1726" s="16"/>
      <c r="AM1726" s="16"/>
      <c r="AN1726" s="16"/>
      <c r="AO1726" s="16"/>
      <c r="AP1726" s="16"/>
      <c r="AQ1726" s="16"/>
      <c r="AR1726" s="16"/>
      <c r="AS1726" s="16"/>
      <c r="AT1726" s="16"/>
      <c r="AU1726" s="16"/>
      <c r="AV1726" s="16"/>
      <c r="AW1726" s="16"/>
      <c r="AX1726" s="16"/>
      <c r="AY1726" s="16"/>
      <c r="AZ1726" s="16"/>
      <c r="BA1726" s="16"/>
      <c r="BB1726" s="16"/>
      <c r="BC1726" s="16"/>
      <c r="BD1726" s="16"/>
      <c r="BE1726" s="16"/>
      <c r="BF1726" s="16"/>
      <c r="BG1726" s="16"/>
      <c r="BH1726" s="16"/>
      <c r="BI1726" s="16"/>
      <c r="BJ1726" s="16"/>
      <c r="BK1726" s="16"/>
      <c r="BL1726" s="16"/>
      <c r="BM1726" s="16"/>
      <c r="BN1726" s="16"/>
      <c r="BO1726" s="16"/>
      <c r="BP1726" s="16"/>
      <c r="BQ1726" s="16"/>
      <c r="BR1726" s="16"/>
      <c r="BS1726" s="16"/>
      <c r="BT1726" s="16"/>
      <c r="BU1726" s="16"/>
      <c r="BV1726" s="16"/>
      <c r="BW1726" s="16"/>
      <c r="BX1726" s="16"/>
      <c r="BY1726" s="16"/>
      <c r="BZ1726" s="16"/>
      <c r="CA1726" s="16"/>
      <c r="CB1726" s="16"/>
      <c r="CC1726" s="16"/>
      <c r="CD1726" s="16"/>
      <c r="CE1726" s="16"/>
      <c r="CF1726" s="16"/>
      <c r="CG1726" s="16"/>
      <c r="CH1726" s="16"/>
      <c r="CI1726" s="16"/>
      <c r="CJ1726" s="16"/>
      <c r="CK1726" s="16"/>
      <c r="CL1726" s="16"/>
      <c r="CM1726" s="16"/>
      <c r="CN1726" s="16"/>
      <c r="CO1726" s="16"/>
      <c r="CP1726" s="16"/>
      <c r="CQ1726" s="16"/>
      <c r="CR1726" s="16"/>
      <c r="CS1726" s="16"/>
      <c r="CT1726" s="16"/>
      <c r="CU1726" s="16"/>
      <c r="CV1726" s="16"/>
      <c r="CW1726" s="16"/>
      <c r="CX1726" s="16"/>
      <c r="CY1726" s="16"/>
      <c r="CZ1726" s="16"/>
      <c r="DA1726" s="16"/>
      <c r="DB1726" s="16"/>
      <c r="DC1726" s="16"/>
      <c r="DD1726" s="16"/>
      <c r="DE1726" s="16"/>
      <c r="DF1726" s="16"/>
    </row>
    <row r="1727" spans="8:110" x14ac:dyDescent="0.3">
      <c r="H1727" s="10">
        <f t="shared" si="207"/>
        <v>0</v>
      </c>
      <c r="K1727" s="3"/>
      <c r="L1727" s="16"/>
      <c r="M1727" s="16"/>
      <c r="N1727" s="16"/>
      <c r="O1727" s="16"/>
      <c r="P1727" s="16"/>
      <c r="Q1727" s="16"/>
      <c r="R1727" s="16"/>
      <c r="S1727" s="16"/>
      <c r="T1727" s="16"/>
      <c r="U1727" s="16"/>
      <c r="V1727" s="16"/>
      <c r="W1727" s="16"/>
      <c r="X1727" s="16"/>
      <c r="Y1727" s="16"/>
      <c r="Z1727" s="16"/>
      <c r="AA1727" s="16"/>
      <c r="AB1727" s="16"/>
      <c r="AC1727" s="16"/>
      <c r="AD1727" s="16"/>
      <c r="AE1727" s="16"/>
      <c r="AF1727" s="16"/>
      <c r="AG1727" s="16"/>
      <c r="AH1727" s="16"/>
      <c r="AI1727" s="16"/>
      <c r="AJ1727" s="16"/>
      <c r="AK1727" s="16"/>
      <c r="AL1727" s="16"/>
      <c r="AM1727" s="16"/>
      <c r="AN1727" s="16"/>
      <c r="AO1727" s="16"/>
      <c r="AP1727" s="16"/>
      <c r="AQ1727" s="16"/>
      <c r="AR1727" s="16"/>
      <c r="AS1727" s="16"/>
      <c r="AT1727" s="16"/>
      <c r="AU1727" s="16"/>
      <c r="AV1727" s="16"/>
      <c r="AW1727" s="16"/>
      <c r="AX1727" s="16"/>
      <c r="AY1727" s="16"/>
      <c r="AZ1727" s="16"/>
      <c r="BA1727" s="16"/>
      <c r="BB1727" s="16"/>
      <c r="BC1727" s="16"/>
      <c r="BD1727" s="16"/>
      <c r="BE1727" s="16"/>
      <c r="BF1727" s="16"/>
      <c r="BG1727" s="16"/>
      <c r="BH1727" s="16"/>
      <c r="BI1727" s="16"/>
      <c r="BJ1727" s="16"/>
      <c r="BK1727" s="16"/>
      <c r="BL1727" s="16"/>
      <c r="BM1727" s="16"/>
      <c r="BN1727" s="16"/>
      <c r="BO1727" s="16"/>
      <c r="BP1727" s="16"/>
      <c r="BQ1727" s="16"/>
      <c r="BR1727" s="16"/>
      <c r="BS1727" s="16"/>
      <c r="BT1727" s="16"/>
      <c r="BU1727" s="16"/>
      <c r="BV1727" s="16"/>
      <c r="BW1727" s="16"/>
      <c r="BX1727" s="16"/>
      <c r="BY1727" s="16"/>
      <c r="BZ1727" s="16"/>
      <c r="CA1727" s="16"/>
      <c r="CB1727" s="16"/>
      <c r="CC1727" s="16"/>
      <c r="CD1727" s="16"/>
      <c r="CE1727" s="16"/>
      <c r="CF1727" s="16"/>
      <c r="CG1727" s="16"/>
      <c r="CH1727" s="16"/>
      <c r="CI1727" s="16"/>
      <c r="CJ1727" s="16"/>
      <c r="CK1727" s="16"/>
      <c r="CL1727" s="16"/>
      <c r="CM1727" s="16"/>
      <c r="CN1727" s="16"/>
      <c r="CO1727" s="16"/>
      <c r="CP1727" s="16"/>
      <c r="CQ1727" s="16"/>
      <c r="CR1727" s="16"/>
      <c r="CS1727" s="16"/>
      <c r="CT1727" s="16"/>
      <c r="CU1727" s="16"/>
      <c r="CV1727" s="16"/>
      <c r="CW1727" s="16"/>
      <c r="CX1727" s="16"/>
      <c r="CY1727" s="16"/>
      <c r="CZ1727" s="16"/>
      <c r="DA1727" s="16"/>
      <c r="DB1727" s="16"/>
      <c r="DC1727" s="16"/>
      <c r="DD1727" s="16"/>
      <c r="DE1727" s="16"/>
      <c r="DF1727" s="16"/>
    </row>
    <row r="1728" spans="8:110" x14ac:dyDescent="0.3">
      <c r="H1728" s="10">
        <f t="shared" si="207"/>
        <v>0</v>
      </c>
      <c r="K1728" s="3"/>
      <c r="L1728" s="16"/>
      <c r="M1728" s="16"/>
      <c r="N1728" s="16"/>
      <c r="O1728" s="16"/>
      <c r="P1728" s="16"/>
      <c r="Q1728" s="16"/>
      <c r="R1728" s="16"/>
      <c r="S1728" s="16"/>
      <c r="T1728" s="16"/>
      <c r="U1728" s="16"/>
      <c r="V1728" s="16"/>
      <c r="W1728" s="16"/>
      <c r="X1728" s="16"/>
      <c r="Y1728" s="16"/>
      <c r="Z1728" s="16"/>
      <c r="AA1728" s="16"/>
      <c r="AB1728" s="16"/>
      <c r="AC1728" s="16"/>
      <c r="AD1728" s="16"/>
      <c r="AE1728" s="16"/>
      <c r="AF1728" s="16"/>
      <c r="AG1728" s="16"/>
      <c r="AH1728" s="16"/>
      <c r="AI1728" s="16"/>
      <c r="AJ1728" s="16"/>
      <c r="AK1728" s="16"/>
      <c r="AL1728" s="16"/>
      <c r="AM1728" s="16"/>
      <c r="AN1728" s="16"/>
      <c r="AO1728" s="16"/>
      <c r="AP1728" s="16"/>
      <c r="AQ1728" s="16"/>
      <c r="AR1728" s="16"/>
      <c r="AS1728" s="16"/>
      <c r="AT1728" s="16"/>
      <c r="AU1728" s="16"/>
      <c r="AV1728" s="16"/>
      <c r="AW1728" s="16"/>
      <c r="AX1728" s="16"/>
      <c r="AY1728" s="16"/>
      <c r="AZ1728" s="16"/>
      <c r="BA1728" s="16"/>
      <c r="BB1728" s="16"/>
      <c r="BC1728" s="16"/>
      <c r="BD1728" s="16"/>
      <c r="BE1728" s="16"/>
      <c r="BF1728" s="16"/>
      <c r="BG1728" s="16"/>
      <c r="BH1728" s="16"/>
      <c r="BI1728" s="16"/>
      <c r="BJ1728" s="16"/>
      <c r="BK1728" s="16"/>
      <c r="BL1728" s="16"/>
      <c r="BM1728" s="16"/>
      <c r="BN1728" s="16"/>
      <c r="BO1728" s="16"/>
      <c r="BP1728" s="16"/>
      <c r="BQ1728" s="16"/>
      <c r="BR1728" s="16"/>
      <c r="BS1728" s="16"/>
      <c r="BT1728" s="16"/>
      <c r="BU1728" s="16"/>
      <c r="BV1728" s="16"/>
      <c r="BW1728" s="16"/>
      <c r="BX1728" s="16"/>
      <c r="BY1728" s="16"/>
      <c r="BZ1728" s="16"/>
      <c r="CA1728" s="16"/>
      <c r="CB1728" s="16"/>
      <c r="CC1728" s="16"/>
      <c r="CD1728" s="16"/>
      <c r="CE1728" s="16"/>
      <c r="CF1728" s="16"/>
      <c r="CG1728" s="16"/>
      <c r="CH1728" s="16"/>
      <c r="CI1728" s="16"/>
      <c r="CJ1728" s="16"/>
      <c r="CK1728" s="16"/>
      <c r="CL1728" s="16"/>
      <c r="CM1728" s="16"/>
      <c r="CN1728" s="16"/>
      <c r="CO1728" s="16"/>
      <c r="CP1728" s="16"/>
      <c r="CQ1728" s="16"/>
      <c r="CR1728" s="16"/>
      <c r="CS1728" s="16"/>
      <c r="CT1728" s="16"/>
      <c r="CU1728" s="16"/>
      <c r="CV1728" s="16"/>
      <c r="CW1728" s="16"/>
      <c r="CX1728" s="16"/>
      <c r="CY1728" s="16"/>
      <c r="CZ1728" s="16"/>
      <c r="DA1728" s="16"/>
      <c r="DB1728" s="16"/>
      <c r="DC1728" s="16"/>
      <c r="DD1728" s="16"/>
      <c r="DE1728" s="16"/>
      <c r="DF1728" s="16"/>
    </row>
    <row r="1729" spans="8:110" x14ac:dyDescent="0.3">
      <c r="H1729" s="10">
        <f t="shared" si="207"/>
        <v>0</v>
      </c>
      <c r="K1729" s="3"/>
      <c r="L1729" s="16"/>
      <c r="M1729" s="16"/>
      <c r="N1729" s="16"/>
      <c r="O1729" s="16"/>
      <c r="P1729" s="16"/>
      <c r="Q1729" s="16"/>
      <c r="R1729" s="16"/>
      <c r="S1729" s="16"/>
      <c r="T1729" s="16"/>
      <c r="U1729" s="16"/>
      <c r="V1729" s="16"/>
      <c r="W1729" s="16"/>
      <c r="X1729" s="16"/>
      <c r="Y1729" s="16"/>
      <c r="Z1729" s="16"/>
      <c r="AA1729" s="16"/>
      <c r="AB1729" s="16"/>
      <c r="AC1729" s="16"/>
      <c r="AD1729" s="16"/>
      <c r="AE1729" s="16"/>
      <c r="AF1729" s="16"/>
      <c r="AG1729" s="16"/>
      <c r="AH1729" s="16"/>
      <c r="AI1729" s="16"/>
      <c r="AJ1729" s="16"/>
      <c r="AK1729" s="16"/>
      <c r="AL1729" s="16"/>
      <c r="AM1729" s="16"/>
      <c r="AN1729" s="16"/>
      <c r="AO1729" s="16"/>
      <c r="AP1729" s="16"/>
      <c r="AQ1729" s="16"/>
      <c r="AR1729" s="16"/>
      <c r="AS1729" s="16"/>
      <c r="AT1729" s="16"/>
      <c r="AU1729" s="16"/>
      <c r="AV1729" s="16"/>
      <c r="AW1729" s="16"/>
      <c r="AX1729" s="16"/>
      <c r="AY1729" s="16"/>
      <c r="AZ1729" s="16"/>
      <c r="BA1729" s="16"/>
      <c r="BB1729" s="16"/>
      <c r="BC1729" s="16"/>
      <c r="BD1729" s="16"/>
      <c r="BE1729" s="16"/>
      <c r="BF1729" s="16"/>
      <c r="BG1729" s="16"/>
      <c r="BH1729" s="16"/>
      <c r="BI1729" s="16"/>
      <c r="BJ1729" s="16"/>
      <c r="BK1729" s="16"/>
      <c r="BL1729" s="16"/>
      <c r="BM1729" s="16"/>
      <c r="BN1729" s="16"/>
      <c r="BO1729" s="16"/>
      <c r="BP1729" s="16"/>
      <c r="BQ1729" s="16"/>
      <c r="BR1729" s="16"/>
      <c r="BS1729" s="16"/>
      <c r="BT1729" s="16"/>
      <c r="BU1729" s="16"/>
      <c r="BV1729" s="16"/>
      <c r="BW1729" s="16"/>
      <c r="BX1729" s="16"/>
      <c r="BY1729" s="16"/>
      <c r="BZ1729" s="16"/>
      <c r="CA1729" s="16"/>
      <c r="CB1729" s="16"/>
      <c r="CC1729" s="16"/>
      <c r="CD1729" s="16"/>
      <c r="CE1729" s="16"/>
      <c r="CF1729" s="16"/>
      <c r="CG1729" s="16"/>
      <c r="CH1729" s="16"/>
      <c r="CI1729" s="16"/>
      <c r="CJ1729" s="16"/>
      <c r="CK1729" s="16"/>
      <c r="CL1729" s="16"/>
      <c r="CM1729" s="16"/>
      <c r="CN1729" s="16"/>
      <c r="CO1729" s="16"/>
      <c r="CP1729" s="16"/>
      <c r="CQ1729" s="16"/>
      <c r="CR1729" s="16"/>
      <c r="CS1729" s="16"/>
      <c r="CT1729" s="16"/>
      <c r="CU1729" s="16"/>
      <c r="CV1729" s="16"/>
      <c r="CW1729" s="16"/>
      <c r="CX1729" s="16"/>
      <c r="CY1729" s="16"/>
      <c r="CZ1729" s="16"/>
      <c r="DA1729" s="16"/>
      <c r="DB1729" s="16"/>
      <c r="DC1729" s="16"/>
      <c r="DD1729" s="16"/>
      <c r="DE1729" s="16"/>
      <c r="DF1729" s="16"/>
    </row>
    <row r="1730" spans="8:110" x14ac:dyDescent="0.3">
      <c r="H1730" s="10">
        <f t="shared" si="207"/>
        <v>0</v>
      </c>
      <c r="K1730" s="3"/>
      <c r="L1730" s="16"/>
      <c r="M1730" s="16"/>
      <c r="N1730" s="16"/>
      <c r="O1730" s="16"/>
      <c r="P1730" s="16"/>
      <c r="Q1730" s="16"/>
      <c r="R1730" s="16"/>
      <c r="S1730" s="16"/>
      <c r="T1730" s="16"/>
      <c r="U1730" s="16"/>
      <c r="V1730" s="16"/>
      <c r="W1730" s="16"/>
      <c r="X1730" s="16"/>
      <c r="Y1730" s="16"/>
      <c r="Z1730" s="16"/>
      <c r="AA1730" s="16"/>
      <c r="AB1730" s="16"/>
      <c r="AC1730" s="16"/>
      <c r="AD1730" s="16"/>
      <c r="AE1730" s="16"/>
      <c r="AF1730" s="16"/>
      <c r="AG1730" s="16"/>
      <c r="AH1730" s="16"/>
      <c r="AI1730" s="16"/>
      <c r="AJ1730" s="16"/>
      <c r="AK1730" s="16"/>
      <c r="AL1730" s="16"/>
      <c r="AM1730" s="16"/>
      <c r="AN1730" s="16"/>
      <c r="AO1730" s="16"/>
      <c r="AP1730" s="16"/>
      <c r="AQ1730" s="16"/>
      <c r="AR1730" s="16"/>
      <c r="AS1730" s="16"/>
      <c r="AT1730" s="16"/>
      <c r="AU1730" s="16"/>
      <c r="AV1730" s="16"/>
      <c r="AW1730" s="16"/>
      <c r="AX1730" s="16"/>
      <c r="AY1730" s="16"/>
      <c r="AZ1730" s="16"/>
      <c r="BA1730" s="16"/>
      <c r="BB1730" s="16"/>
      <c r="BC1730" s="16"/>
      <c r="BD1730" s="16"/>
      <c r="BE1730" s="16"/>
      <c r="BF1730" s="16"/>
      <c r="BG1730" s="16"/>
      <c r="BH1730" s="16"/>
      <c r="BI1730" s="16"/>
      <c r="BJ1730" s="16"/>
      <c r="BK1730" s="16"/>
      <c r="BL1730" s="16"/>
      <c r="BM1730" s="16"/>
      <c r="BN1730" s="16"/>
      <c r="BO1730" s="16"/>
      <c r="BP1730" s="16"/>
      <c r="BQ1730" s="16"/>
      <c r="BR1730" s="16"/>
      <c r="BS1730" s="16"/>
      <c r="BT1730" s="16"/>
      <c r="BU1730" s="16"/>
      <c r="BV1730" s="16"/>
      <c r="BW1730" s="16"/>
      <c r="BX1730" s="16"/>
      <c r="BY1730" s="16"/>
      <c r="BZ1730" s="16"/>
      <c r="CA1730" s="16"/>
      <c r="CB1730" s="16"/>
      <c r="CC1730" s="16"/>
      <c r="CD1730" s="16"/>
      <c r="CE1730" s="16"/>
      <c r="CF1730" s="16"/>
      <c r="CG1730" s="16"/>
      <c r="CH1730" s="16"/>
      <c r="CI1730" s="16"/>
      <c r="CJ1730" s="16"/>
      <c r="CK1730" s="16"/>
      <c r="CL1730" s="16"/>
      <c r="CM1730" s="16"/>
      <c r="CN1730" s="16"/>
      <c r="CO1730" s="16"/>
      <c r="CP1730" s="16"/>
      <c r="CQ1730" s="16"/>
      <c r="CR1730" s="16"/>
      <c r="CS1730" s="16"/>
      <c r="CT1730" s="16"/>
      <c r="CU1730" s="16"/>
      <c r="CV1730" s="16"/>
      <c r="CW1730" s="16"/>
      <c r="CX1730" s="16"/>
      <c r="CY1730" s="16"/>
      <c r="CZ1730" s="16"/>
      <c r="DA1730" s="16"/>
      <c r="DB1730" s="16"/>
      <c r="DC1730" s="16"/>
      <c r="DD1730" s="16"/>
      <c r="DE1730" s="16"/>
      <c r="DF1730" s="16"/>
    </row>
    <row r="1731" spans="8:110" x14ac:dyDescent="0.3">
      <c r="H1731" s="10">
        <f t="shared" si="207"/>
        <v>0</v>
      </c>
      <c r="K1731" s="3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16"/>
      <c r="AA1731" s="16"/>
      <c r="AB1731" s="16"/>
      <c r="AC1731" s="16"/>
      <c r="AD1731" s="16"/>
      <c r="AE1731" s="16"/>
      <c r="AF1731" s="16"/>
      <c r="AG1731" s="16"/>
      <c r="AH1731" s="16"/>
      <c r="AI1731" s="16"/>
      <c r="AJ1731" s="16"/>
      <c r="AK1731" s="16"/>
      <c r="AL1731" s="16"/>
      <c r="AM1731" s="16"/>
      <c r="AN1731" s="16"/>
      <c r="AO1731" s="16"/>
      <c r="AP1731" s="16"/>
      <c r="AQ1731" s="16"/>
      <c r="AR1731" s="16"/>
      <c r="AS1731" s="16"/>
      <c r="AT1731" s="16"/>
      <c r="AU1731" s="16"/>
      <c r="AV1731" s="16"/>
      <c r="AW1731" s="16"/>
      <c r="AX1731" s="16"/>
      <c r="AY1731" s="16"/>
      <c r="AZ1731" s="16"/>
      <c r="BA1731" s="16"/>
      <c r="BB1731" s="16"/>
      <c r="BC1731" s="16"/>
      <c r="BD1731" s="16"/>
      <c r="BE1731" s="16"/>
      <c r="BF1731" s="16"/>
      <c r="BG1731" s="16"/>
      <c r="BH1731" s="16"/>
      <c r="BI1731" s="16"/>
      <c r="BJ1731" s="16"/>
      <c r="BK1731" s="16"/>
      <c r="BL1731" s="16"/>
      <c r="BM1731" s="16"/>
      <c r="BN1731" s="16"/>
      <c r="BO1731" s="16"/>
      <c r="BP1731" s="16"/>
      <c r="BQ1731" s="16"/>
      <c r="BR1731" s="16"/>
      <c r="BS1731" s="16"/>
      <c r="BT1731" s="16"/>
      <c r="BU1731" s="16"/>
      <c r="BV1731" s="16"/>
      <c r="BW1731" s="16"/>
      <c r="BX1731" s="16"/>
      <c r="BY1731" s="16"/>
      <c r="BZ1731" s="16"/>
      <c r="CA1731" s="16"/>
      <c r="CB1731" s="16"/>
      <c r="CC1731" s="16"/>
      <c r="CD1731" s="16"/>
      <c r="CE1731" s="16"/>
      <c r="CF1731" s="16"/>
      <c r="CG1731" s="16"/>
      <c r="CH1731" s="16"/>
      <c r="CI1731" s="16"/>
      <c r="CJ1731" s="16"/>
      <c r="CK1731" s="16"/>
      <c r="CL1731" s="16"/>
      <c r="CM1731" s="16"/>
      <c r="CN1731" s="16"/>
      <c r="CO1731" s="16"/>
      <c r="CP1731" s="16"/>
      <c r="CQ1731" s="16"/>
      <c r="CR1731" s="16"/>
      <c r="CS1731" s="16"/>
      <c r="CT1731" s="16"/>
      <c r="CU1731" s="16"/>
      <c r="CV1731" s="16"/>
      <c r="CW1731" s="16"/>
      <c r="CX1731" s="16"/>
      <c r="CY1731" s="16"/>
      <c r="CZ1731" s="16"/>
      <c r="DA1731" s="16"/>
      <c r="DB1731" s="16"/>
      <c r="DC1731" s="16"/>
      <c r="DD1731" s="16"/>
      <c r="DE1731" s="16"/>
      <c r="DF1731" s="16"/>
    </row>
    <row r="1732" spans="8:110" x14ac:dyDescent="0.3">
      <c r="H1732" s="10">
        <f t="shared" si="207"/>
        <v>0</v>
      </c>
      <c r="K1732" s="3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16"/>
      <c r="AA1732" s="16"/>
      <c r="AB1732" s="16"/>
      <c r="AC1732" s="16"/>
      <c r="AD1732" s="16"/>
      <c r="AE1732" s="16"/>
      <c r="AF1732" s="16"/>
      <c r="AG1732" s="16"/>
      <c r="AH1732" s="16"/>
      <c r="AI1732" s="16"/>
      <c r="AJ1732" s="16"/>
      <c r="AK1732" s="16"/>
      <c r="AL1732" s="16"/>
      <c r="AM1732" s="16"/>
      <c r="AN1732" s="16"/>
      <c r="AO1732" s="16"/>
      <c r="AP1732" s="16"/>
      <c r="AQ1732" s="16"/>
      <c r="AR1732" s="16"/>
      <c r="AS1732" s="16"/>
      <c r="AT1732" s="16"/>
      <c r="AU1732" s="16"/>
      <c r="AV1732" s="16"/>
      <c r="AW1732" s="16"/>
      <c r="AX1732" s="16"/>
      <c r="AY1732" s="16"/>
      <c r="AZ1732" s="16"/>
      <c r="BA1732" s="16"/>
      <c r="BB1732" s="16"/>
      <c r="BC1732" s="16"/>
      <c r="BD1732" s="16"/>
      <c r="BE1732" s="16"/>
      <c r="BF1732" s="16"/>
      <c r="BG1732" s="16"/>
      <c r="BH1732" s="16"/>
      <c r="BI1732" s="16"/>
      <c r="BJ1732" s="16"/>
      <c r="BK1732" s="16"/>
      <c r="BL1732" s="16"/>
      <c r="BM1732" s="16"/>
      <c r="BN1732" s="16"/>
      <c r="BO1732" s="16"/>
      <c r="BP1732" s="16"/>
      <c r="BQ1732" s="16"/>
      <c r="BR1732" s="16"/>
      <c r="BS1732" s="16"/>
      <c r="BT1732" s="16"/>
      <c r="BU1732" s="16"/>
      <c r="BV1732" s="16"/>
      <c r="BW1732" s="16"/>
      <c r="BX1732" s="16"/>
      <c r="BY1732" s="16"/>
      <c r="BZ1732" s="16"/>
      <c r="CA1732" s="16"/>
      <c r="CB1732" s="16"/>
      <c r="CC1732" s="16"/>
      <c r="CD1732" s="16"/>
      <c r="CE1732" s="16"/>
      <c r="CF1732" s="16"/>
      <c r="CG1732" s="16"/>
      <c r="CH1732" s="16"/>
      <c r="CI1732" s="16"/>
      <c r="CJ1732" s="16"/>
      <c r="CK1732" s="16"/>
      <c r="CL1732" s="16"/>
      <c r="CM1732" s="16"/>
      <c r="CN1732" s="16"/>
      <c r="CO1732" s="16"/>
      <c r="CP1732" s="16"/>
      <c r="CQ1732" s="16"/>
      <c r="CR1732" s="16"/>
      <c r="CS1732" s="16"/>
      <c r="CT1732" s="16"/>
      <c r="CU1732" s="16"/>
      <c r="CV1732" s="16"/>
      <c r="CW1732" s="16"/>
      <c r="CX1732" s="16"/>
      <c r="CY1732" s="16"/>
      <c r="CZ1732" s="16"/>
      <c r="DA1732" s="16"/>
      <c r="DB1732" s="16"/>
      <c r="DC1732" s="16"/>
      <c r="DD1732" s="16"/>
      <c r="DE1732" s="16"/>
      <c r="DF1732" s="16"/>
    </row>
    <row r="1733" spans="8:110" x14ac:dyDescent="0.3">
      <c r="H1733" s="10">
        <f t="shared" si="207"/>
        <v>0</v>
      </c>
      <c r="K1733" s="3"/>
      <c r="L1733" s="16"/>
      <c r="M1733" s="16"/>
      <c r="N1733" s="16"/>
      <c r="O1733" s="16"/>
      <c r="P1733" s="16"/>
      <c r="Q1733" s="16"/>
      <c r="R1733" s="16"/>
      <c r="S1733" s="16"/>
      <c r="T1733" s="16"/>
      <c r="U1733" s="16"/>
      <c r="V1733" s="16"/>
      <c r="W1733" s="16"/>
      <c r="X1733" s="16"/>
      <c r="Y1733" s="16"/>
      <c r="Z1733" s="16"/>
      <c r="AA1733" s="16"/>
      <c r="AB1733" s="16"/>
      <c r="AC1733" s="16"/>
      <c r="AD1733" s="16"/>
      <c r="AE1733" s="16"/>
      <c r="AF1733" s="16"/>
      <c r="AG1733" s="16"/>
      <c r="AH1733" s="16"/>
      <c r="AI1733" s="16"/>
      <c r="AJ1733" s="16"/>
      <c r="AK1733" s="16"/>
      <c r="AL1733" s="16"/>
      <c r="AM1733" s="16"/>
      <c r="AN1733" s="16"/>
      <c r="AO1733" s="16"/>
      <c r="AP1733" s="16"/>
      <c r="AQ1733" s="16"/>
      <c r="AR1733" s="16"/>
      <c r="AS1733" s="16"/>
      <c r="AT1733" s="16"/>
      <c r="AU1733" s="16"/>
      <c r="AV1733" s="16"/>
      <c r="AW1733" s="16"/>
      <c r="AX1733" s="16"/>
      <c r="AY1733" s="16"/>
      <c r="AZ1733" s="16"/>
      <c r="BA1733" s="16"/>
      <c r="BB1733" s="16"/>
      <c r="BC1733" s="16"/>
      <c r="BD1733" s="16"/>
      <c r="BE1733" s="16"/>
      <c r="BF1733" s="16"/>
      <c r="BG1733" s="16"/>
      <c r="BH1733" s="16"/>
      <c r="BI1733" s="16"/>
      <c r="BJ1733" s="16"/>
      <c r="BK1733" s="16"/>
      <c r="BL1733" s="16"/>
      <c r="BM1733" s="16"/>
      <c r="BN1733" s="16"/>
      <c r="BO1733" s="16"/>
      <c r="BP1733" s="16"/>
      <c r="BQ1733" s="16"/>
      <c r="BR1733" s="16"/>
      <c r="BS1733" s="16"/>
      <c r="BT1733" s="16"/>
      <c r="BU1733" s="16"/>
      <c r="BV1733" s="16"/>
      <c r="BW1733" s="16"/>
      <c r="BX1733" s="16"/>
      <c r="BY1733" s="16"/>
      <c r="BZ1733" s="16"/>
      <c r="CA1733" s="16"/>
      <c r="CB1733" s="16"/>
      <c r="CC1733" s="16"/>
      <c r="CD1733" s="16"/>
      <c r="CE1733" s="16"/>
      <c r="CF1733" s="16"/>
      <c r="CG1733" s="16"/>
      <c r="CH1733" s="16"/>
      <c r="CI1733" s="16"/>
      <c r="CJ1733" s="16"/>
      <c r="CK1733" s="16"/>
      <c r="CL1733" s="16"/>
      <c r="CM1733" s="16"/>
      <c r="CN1733" s="16"/>
      <c r="CO1733" s="16"/>
      <c r="CP1733" s="16"/>
      <c r="CQ1733" s="16"/>
      <c r="CR1733" s="16"/>
      <c r="CS1733" s="16"/>
      <c r="CT1733" s="16"/>
      <c r="CU1733" s="16"/>
      <c r="CV1733" s="16"/>
      <c r="CW1733" s="16"/>
      <c r="CX1733" s="16"/>
      <c r="CY1733" s="16"/>
      <c r="CZ1733" s="16"/>
      <c r="DA1733" s="16"/>
      <c r="DB1733" s="16"/>
      <c r="DC1733" s="16"/>
      <c r="DD1733" s="16"/>
      <c r="DE1733" s="16"/>
      <c r="DF1733" s="16"/>
    </row>
    <row r="1734" spans="8:110" x14ac:dyDescent="0.3">
      <c r="H1734" s="10">
        <f t="shared" si="207"/>
        <v>0</v>
      </c>
      <c r="K1734" s="3"/>
      <c r="L1734" s="16"/>
      <c r="M1734" s="16"/>
      <c r="N1734" s="16"/>
      <c r="O1734" s="16"/>
      <c r="P1734" s="16"/>
      <c r="Q1734" s="16"/>
      <c r="R1734" s="16"/>
      <c r="S1734" s="16"/>
      <c r="T1734" s="16"/>
      <c r="U1734" s="16"/>
      <c r="V1734" s="16"/>
      <c r="W1734" s="16"/>
      <c r="X1734" s="16"/>
      <c r="Y1734" s="16"/>
      <c r="Z1734" s="16"/>
      <c r="AA1734" s="16"/>
      <c r="AB1734" s="16"/>
      <c r="AC1734" s="16"/>
      <c r="AD1734" s="16"/>
      <c r="AE1734" s="16"/>
      <c r="AF1734" s="16"/>
      <c r="AG1734" s="16"/>
      <c r="AH1734" s="16"/>
      <c r="AI1734" s="16"/>
      <c r="AJ1734" s="16"/>
      <c r="AK1734" s="16"/>
      <c r="AL1734" s="16"/>
      <c r="AM1734" s="16"/>
      <c r="AN1734" s="16"/>
      <c r="AO1734" s="16"/>
      <c r="AP1734" s="16"/>
      <c r="AQ1734" s="16"/>
      <c r="AR1734" s="16"/>
      <c r="AS1734" s="16"/>
      <c r="AT1734" s="16"/>
      <c r="AU1734" s="16"/>
      <c r="AV1734" s="16"/>
      <c r="AW1734" s="16"/>
      <c r="AX1734" s="16"/>
      <c r="AY1734" s="16"/>
      <c r="AZ1734" s="16"/>
      <c r="BA1734" s="16"/>
      <c r="BB1734" s="16"/>
      <c r="BC1734" s="16"/>
      <c r="BD1734" s="16"/>
      <c r="BE1734" s="16"/>
      <c r="BF1734" s="16"/>
      <c r="BG1734" s="16"/>
      <c r="BH1734" s="16"/>
      <c r="BI1734" s="16"/>
      <c r="BJ1734" s="16"/>
      <c r="BK1734" s="16"/>
      <c r="BL1734" s="16"/>
      <c r="BM1734" s="16"/>
      <c r="BN1734" s="16"/>
      <c r="BO1734" s="16"/>
      <c r="BP1734" s="16"/>
      <c r="BQ1734" s="16"/>
      <c r="BR1734" s="16"/>
      <c r="BS1734" s="16"/>
      <c r="BT1734" s="16"/>
      <c r="BU1734" s="16"/>
      <c r="BV1734" s="16"/>
      <c r="BW1734" s="16"/>
      <c r="BX1734" s="16"/>
      <c r="BY1734" s="16"/>
      <c r="BZ1734" s="16"/>
      <c r="CA1734" s="16"/>
      <c r="CB1734" s="16"/>
      <c r="CC1734" s="16"/>
      <c r="CD1734" s="16"/>
      <c r="CE1734" s="16"/>
      <c r="CF1734" s="16"/>
      <c r="CG1734" s="16"/>
      <c r="CH1734" s="16"/>
      <c r="CI1734" s="16"/>
      <c r="CJ1734" s="16"/>
      <c r="CK1734" s="16"/>
      <c r="CL1734" s="16"/>
      <c r="CM1734" s="16"/>
      <c r="CN1734" s="16"/>
      <c r="CO1734" s="16"/>
      <c r="CP1734" s="16"/>
      <c r="CQ1734" s="16"/>
      <c r="CR1734" s="16"/>
      <c r="CS1734" s="16"/>
      <c r="CT1734" s="16"/>
      <c r="CU1734" s="16"/>
      <c r="CV1734" s="16"/>
      <c r="CW1734" s="16"/>
      <c r="CX1734" s="16"/>
      <c r="CY1734" s="16"/>
      <c r="CZ1734" s="16"/>
      <c r="DA1734" s="16"/>
      <c r="DB1734" s="16"/>
      <c r="DC1734" s="16"/>
      <c r="DD1734" s="16"/>
      <c r="DE1734" s="16"/>
      <c r="DF1734" s="16"/>
    </row>
    <row r="1735" spans="8:110" x14ac:dyDescent="0.3">
      <c r="H1735" s="10">
        <f t="shared" si="207"/>
        <v>0</v>
      </c>
      <c r="K1735" s="3"/>
      <c r="L1735" s="16"/>
      <c r="M1735" s="16"/>
      <c r="N1735" s="16"/>
      <c r="O1735" s="16"/>
      <c r="P1735" s="16"/>
      <c r="Q1735" s="16"/>
      <c r="R1735" s="16"/>
      <c r="S1735" s="16"/>
      <c r="T1735" s="16"/>
      <c r="U1735" s="16"/>
      <c r="V1735" s="16"/>
      <c r="W1735" s="16"/>
      <c r="X1735" s="16"/>
      <c r="Y1735" s="16"/>
      <c r="Z1735" s="16"/>
      <c r="AA1735" s="16"/>
      <c r="AB1735" s="16"/>
      <c r="AC1735" s="16"/>
      <c r="AD1735" s="16"/>
      <c r="AE1735" s="16"/>
      <c r="AF1735" s="16"/>
      <c r="AG1735" s="16"/>
      <c r="AH1735" s="16"/>
      <c r="AI1735" s="16"/>
      <c r="AJ1735" s="16"/>
      <c r="AK1735" s="16"/>
      <c r="AL1735" s="16"/>
      <c r="AM1735" s="16"/>
      <c r="AN1735" s="16"/>
      <c r="AO1735" s="16"/>
      <c r="AP1735" s="16"/>
      <c r="AQ1735" s="16"/>
      <c r="AR1735" s="16"/>
      <c r="AS1735" s="16"/>
      <c r="AT1735" s="16"/>
      <c r="AU1735" s="16"/>
      <c r="AV1735" s="16"/>
      <c r="AW1735" s="16"/>
      <c r="AX1735" s="16"/>
      <c r="AY1735" s="16"/>
      <c r="AZ1735" s="16"/>
      <c r="BA1735" s="16"/>
      <c r="BB1735" s="16"/>
      <c r="BC1735" s="16"/>
      <c r="BD1735" s="16"/>
      <c r="BE1735" s="16"/>
      <c r="BF1735" s="16"/>
      <c r="BG1735" s="16"/>
      <c r="BH1735" s="16"/>
      <c r="BI1735" s="16"/>
      <c r="BJ1735" s="16"/>
      <c r="BK1735" s="16"/>
      <c r="BL1735" s="16"/>
      <c r="BM1735" s="16"/>
      <c r="BN1735" s="16"/>
      <c r="BO1735" s="16"/>
      <c r="BP1735" s="16"/>
      <c r="BQ1735" s="16"/>
      <c r="BR1735" s="16"/>
      <c r="BS1735" s="16"/>
      <c r="BT1735" s="16"/>
      <c r="BU1735" s="16"/>
      <c r="BV1735" s="16"/>
      <c r="BW1735" s="16"/>
      <c r="BX1735" s="16"/>
      <c r="BY1735" s="16"/>
      <c r="BZ1735" s="16"/>
      <c r="CA1735" s="16"/>
      <c r="CB1735" s="16"/>
      <c r="CC1735" s="16"/>
      <c r="CD1735" s="16"/>
      <c r="CE1735" s="16"/>
      <c r="CF1735" s="16"/>
      <c r="CG1735" s="16"/>
      <c r="CH1735" s="16"/>
      <c r="CI1735" s="16"/>
      <c r="CJ1735" s="16"/>
      <c r="CK1735" s="16"/>
      <c r="CL1735" s="16"/>
      <c r="CM1735" s="16"/>
      <c r="CN1735" s="16"/>
      <c r="CO1735" s="16"/>
      <c r="CP1735" s="16"/>
      <c r="CQ1735" s="16"/>
      <c r="CR1735" s="16"/>
      <c r="CS1735" s="16"/>
      <c r="CT1735" s="16"/>
      <c r="CU1735" s="16"/>
      <c r="CV1735" s="16"/>
      <c r="CW1735" s="16"/>
      <c r="CX1735" s="16"/>
      <c r="CY1735" s="16"/>
      <c r="CZ1735" s="16"/>
      <c r="DA1735" s="16"/>
      <c r="DB1735" s="16"/>
      <c r="DC1735" s="16"/>
      <c r="DD1735" s="16"/>
      <c r="DE1735" s="16"/>
      <c r="DF1735" s="16"/>
    </row>
    <row r="1736" spans="8:110" x14ac:dyDescent="0.3">
      <c r="H1736" s="10">
        <f t="shared" si="207"/>
        <v>0</v>
      </c>
      <c r="K1736" s="3"/>
      <c r="L1736" s="16"/>
      <c r="M1736" s="16"/>
      <c r="N1736" s="16"/>
      <c r="O1736" s="16"/>
      <c r="P1736" s="16"/>
      <c r="Q1736" s="16"/>
      <c r="R1736" s="16"/>
      <c r="S1736" s="16"/>
      <c r="T1736" s="16"/>
      <c r="U1736" s="16"/>
      <c r="V1736" s="16"/>
      <c r="W1736" s="16"/>
      <c r="X1736" s="16"/>
      <c r="Y1736" s="16"/>
      <c r="Z1736" s="16"/>
      <c r="AA1736" s="16"/>
      <c r="AB1736" s="16"/>
      <c r="AC1736" s="16"/>
      <c r="AD1736" s="16"/>
      <c r="AE1736" s="16"/>
      <c r="AF1736" s="16"/>
      <c r="AG1736" s="16"/>
      <c r="AH1736" s="16"/>
      <c r="AI1736" s="16"/>
      <c r="AJ1736" s="16"/>
      <c r="AK1736" s="16"/>
      <c r="AL1736" s="16"/>
      <c r="AM1736" s="16"/>
      <c r="AN1736" s="16"/>
      <c r="AO1736" s="16"/>
      <c r="AP1736" s="16"/>
      <c r="AQ1736" s="16"/>
      <c r="AR1736" s="16"/>
      <c r="AS1736" s="16"/>
      <c r="AT1736" s="16"/>
      <c r="AU1736" s="16"/>
      <c r="AV1736" s="16"/>
      <c r="AW1736" s="16"/>
      <c r="AX1736" s="16"/>
      <c r="AY1736" s="16"/>
      <c r="AZ1736" s="16"/>
      <c r="BA1736" s="16"/>
      <c r="BB1736" s="16"/>
      <c r="BC1736" s="16"/>
      <c r="BD1736" s="16"/>
      <c r="BE1736" s="16"/>
      <c r="BF1736" s="16"/>
      <c r="BG1736" s="16"/>
      <c r="BH1736" s="16"/>
      <c r="BI1736" s="16"/>
      <c r="BJ1736" s="16"/>
      <c r="BK1736" s="16"/>
      <c r="BL1736" s="16"/>
      <c r="BM1736" s="16"/>
      <c r="BN1736" s="16"/>
      <c r="BO1736" s="16"/>
      <c r="BP1736" s="16"/>
      <c r="BQ1736" s="16"/>
      <c r="BR1736" s="16"/>
      <c r="BS1736" s="16"/>
      <c r="BT1736" s="16"/>
      <c r="BU1736" s="16"/>
      <c r="BV1736" s="16"/>
      <c r="BW1736" s="16"/>
      <c r="BX1736" s="16"/>
      <c r="BY1736" s="16"/>
      <c r="BZ1736" s="16"/>
      <c r="CA1736" s="16"/>
      <c r="CB1736" s="16"/>
      <c r="CC1736" s="16"/>
      <c r="CD1736" s="16"/>
      <c r="CE1736" s="16"/>
      <c r="CF1736" s="16"/>
      <c r="CG1736" s="16"/>
      <c r="CH1736" s="16"/>
      <c r="CI1736" s="16"/>
      <c r="CJ1736" s="16"/>
      <c r="CK1736" s="16"/>
      <c r="CL1736" s="16"/>
      <c r="CM1736" s="16"/>
      <c r="CN1736" s="16"/>
      <c r="CO1736" s="16"/>
      <c r="CP1736" s="16"/>
      <c r="CQ1736" s="16"/>
      <c r="CR1736" s="16"/>
      <c r="CS1736" s="16"/>
      <c r="CT1736" s="16"/>
      <c r="CU1736" s="16"/>
      <c r="CV1736" s="16"/>
      <c r="CW1736" s="16"/>
      <c r="CX1736" s="16"/>
      <c r="CY1736" s="16"/>
      <c r="CZ1736" s="16"/>
      <c r="DA1736" s="16"/>
      <c r="DB1736" s="16"/>
      <c r="DC1736" s="16"/>
      <c r="DD1736" s="16"/>
      <c r="DE1736" s="16"/>
      <c r="DF1736" s="16"/>
    </row>
    <row r="1737" spans="8:110" x14ac:dyDescent="0.3">
      <c r="H1737" s="10">
        <f t="shared" si="207"/>
        <v>0</v>
      </c>
      <c r="K1737" s="3"/>
      <c r="L1737" s="16"/>
      <c r="M1737" s="16"/>
      <c r="N1737" s="16"/>
      <c r="O1737" s="16"/>
      <c r="P1737" s="16"/>
      <c r="Q1737" s="16"/>
      <c r="R1737" s="16"/>
      <c r="S1737" s="16"/>
      <c r="T1737" s="16"/>
      <c r="U1737" s="16"/>
      <c r="V1737" s="16"/>
      <c r="W1737" s="16"/>
      <c r="X1737" s="16"/>
      <c r="Y1737" s="16"/>
      <c r="Z1737" s="16"/>
      <c r="AA1737" s="16"/>
      <c r="AB1737" s="16"/>
      <c r="AC1737" s="16"/>
      <c r="AD1737" s="16"/>
      <c r="AE1737" s="16"/>
      <c r="AF1737" s="16"/>
      <c r="AG1737" s="16"/>
      <c r="AH1737" s="16"/>
      <c r="AI1737" s="16"/>
      <c r="AJ1737" s="16"/>
      <c r="AK1737" s="16"/>
      <c r="AL1737" s="16"/>
      <c r="AM1737" s="16"/>
      <c r="AN1737" s="16"/>
      <c r="AO1737" s="16"/>
      <c r="AP1737" s="16"/>
      <c r="AQ1737" s="16"/>
      <c r="AR1737" s="16"/>
      <c r="AS1737" s="16"/>
      <c r="AT1737" s="16"/>
      <c r="AU1737" s="16"/>
      <c r="AV1737" s="16"/>
      <c r="AW1737" s="16"/>
      <c r="AX1737" s="16"/>
      <c r="AY1737" s="16"/>
      <c r="AZ1737" s="16"/>
      <c r="BA1737" s="16"/>
      <c r="BB1737" s="16"/>
      <c r="BC1737" s="16"/>
      <c r="BD1737" s="16"/>
      <c r="BE1737" s="16"/>
      <c r="BF1737" s="16"/>
      <c r="BG1737" s="16"/>
      <c r="BH1737" s="16"/>
      <c r="BI1737" s="16"/>
      <c r="BJ1737" s="16"/>
      <c r="BK1737" s="16"/>
      <c r="BL1737" s="16"/>
      <c r="BM1737" s="16"/>
      <c r="BN1737" s="16"/>
      <c r="BO1737" s="16"/>
      <c r="BP1737" s="16"/>
      <c r="BQ1737" s="16"/>
      <c r="BR1737" s="16"/>
      <c r="BS1737" s="16"/>
      <c r="BT1737" s="16"/>
      <c r="BU1737" s="16"/>
      <c r="BV1737" s="16"/>
      <c r="BW1737" s="16"/>
      <c r="BX1737" s="16"/>
      <c r="BY1737" s="16"/>
      <c r="BZ1737" s="16"/>
      <c r="CA1737" s="16"/>
      <c r="CB1737" s="16"/>
      <c r="CC1737" s="16"/>
      <c r="CD1737" s="16"/>
      <c r="CE1737" s="16"/>
      <c r="CF1737" s="16"/>
      <c r="CG1737" s="16"/>
      <c r="CH1737" s="16"/>
      <c r="CI1737" s="16"/>
      <c r="CJ1737" s="16"/>
      <c r="CK1737" s="16"/>
      <c r="CL1737" s="16"/>
      <c r="CM1737" s="16"/>
      <c r="CN1737" s="16"/>
      <c r="CO1737" s="16"/>
      <c r="CP1737" s="16"/>
      <c r="CQ1737" s="16"/>
      <c r="CR1737" s="16"/>
      <c r="CS1737" s="16"/>
      <c r="CT1737" s="16"/>
      <c r="CU1737" s="16"/>
      <c r="CV1737" s="16"/>
      <c r="CW1737" s="16"/>
      <c r="CX1737" s="16"/>
      <c r="CY1737" s="16"/>
      <c r="CZ1737" s="16"/>
      <c r="DA1737" s="16"/>
      <c r="DB1737" s="16"/>
      <c r="DC1737" s="16"/>
      <c r="DD1737" s="16"/>
      <c r="DE1737" s="16"/>
      <c r="DF1737" s="16"/>
    </row>
    <row r="1738" spans="8:110" x14ac:dyDescent="0.3">
      <c r="H1738" s="10">
        <f t="shared" si="207"/>
        <v>0</v>
      </c>
      <c r="K1738" s="3"/>
      <c r="L1738" s="16"/>
      <c r="M1738" s="16"/>
      <c r="N1738" s="16"/>
      <c r="O1738" s="16"/>
      <c r="P1738" s="16"/>
      <c r="Q1738" s="16"/>
      <c r="R1738" s="16"/>
      <c r="S1738" s="16"/>
      <c r="T1738" s="16"/>
      <c r="U1738" s="16"/>
      <c r="V1738" s="16"/>
      <c r="W1738" s="16"/>
      <c r="X1738" s="16"/>
      <c r="Y1738" s="16"/>
      <c r="Z1738" s="16"/>
      <c r="AA1738" s="16"/>
      <c r="AB1738" s="16"/>
      <c r="AC1738" s="16"/>
      <c r="AD1738" s="16"/>
      <c r="AE1738" s="16"/>
      <c r="AF1738" s="16"/>
      <c r="AG1738" s="16"/>
      <c r="AH1738" s="16"/>
      <c r="AI1738" s="16"/>
      <c r="AJ1738" s="16"/>
      <c r="AK1738" s="16"/>
      <c r="AL1738" s="16"/>
      <c r="AM1738" s="16"/>
      <c r="AN1738" s="16"/>
      <c r="AO1738" s="16"/>
      <c r="AP1738" s="16"/>
      <c r="AQ1738" s="16"/>
      <c r="AR1738" s="16"/>
      <c r="AS1738" s="16"/>
      <c r="AT1738" s="16"/>
      <c r="AU1738" s="16"/>
      <c r="AV1738" s="16"/>
      <c r="AW1738" s="16"/>
      <c r="AX1738" s="16"/>
      <c r="AY1738" s="16"/>
      <c r="AZ1738" s="16"/>
      <c r="BA1738" s="16"/>
      <c r="BB1738" s="16"/>
      <c r="BC1738" s="16"/>
      <c r="BD1738" s="16"/>
      <c r="BE1738" s="16"/>
      <c r="BF1738" s="16"/>
      <c r="BG1738" s="16"/>
      <c r="BH1738" s="16"/>
      <c r="BI1738" s="16"/>
      <c r="BJ1738" s="16"/>
      <c r="BK1738" s="16"/>
      <c r="BL1738" s="16"/>
      <c r="BM1738" s="16"/>
      <c r="BN1738" s="16"/>
      <c r="BO1738" s="16"/>
      <c r="BP1738" s="16"/>
      <c r="BQ1738" s="16"/>
      <c r="BR1738" s="16"/>
      <c r="BS1738" s="16"/>
      <c r="BT1738" s="16"/>
      <c r="BU1738" s="16"/>
      <c r="BV1738" s="16"/>
      <c r="BW1738" s="16"/>
      <c r="BX1738" s="16"/>
      <c r="BY1738" s="16"/>
      <c r="BZ1738" s="16"/>
      <c r="CA1738" s="16"/>
      <c r="CB1738" s="16"/>
      <c r="CC1738" s="16"/>
      <c r="CD1738" s="16"/>
      <c r="CE1738" s="16"/>
      <c r="CF1738" s="16"/>
      <c r="CG1738" s="16"/>
      <c r="CH1738" s="16"/>
      <c r="CI1738" s="16"/>
      <c r="CJ1738" s="16"/>
      <c r="CK1738" s="16"/>
      <c r="CL1738" s="16"/>
      <c r="CM1738" s="16"/>
      <c r="CN1738" s="16"/>
      <c r="CO1738" s="16"/>
      <c r="CP1738" s="16"/>
      <c r="CQ1738" s="16"/>
      <c r="CR1738" s="16"/>
      <c r="CS1738" s="16"/>
      <c r="CT1738" s="16"/>
      <c r="CU1738" s="16"/>
      <c r="CV1738" s="16"/>
      <c r="CW1738" s="16"/>
      <c r="CX1738" s="16"/>
      <c r="CY1738" s="16"/>
      <c r="CZ1738" s="16"/>
      <c r="DA1738" s="16"/>
      <c r="DB1738" s="16"/>
      <c r="DC1738" s="16"/>
      <c r="DD1738" s="16"/>
      <c r="DE1738" s="16"/>
      <c r="DF1738" s="16"/>
    </row>
    <row r="1739" spans="8:110" x14ac:dyDescent="0.3">
      <c r="H1739" s="10">
        <f t="shared" si="207"/>
        <v>0</v>
      </c>
      <c r="K1739" s="3"/>
      <c r="L1739" s="16"/>
      <c r="M1739" s="16"/>
      <c r="N1739" s="16"/>
      <c r="O1739" s="16"/>
      <c r="P1739" s="16"/>
      <c r="Q1739" s="16"/>
      <c r="R1739" s="16"/>
      <c r="S1739" s="16"/>
      <c r="T1739" s="16"/>
      <c r="U1739" s="16"/>
      <c r="V1739" s="16"/>
      <c r="W1739" s="16"/>
      <c r="X1739" s="16"/>
      <c r="Y1739" s="16"/>
      <c r="Z1739" s="16"/>
      <c r="AA1739" s="16"/>
      <c r="AB1739" s="16"/>
      <c r="AC1739" s="16"/>
      <c r="AD1739" s="16"/>
      <c r="AE1739" s="16"/>
      <c r="AF1739" s="16"/>
      <c r="AG1739" s="16"/>
      <c r="AH1739" s="16"/>
      <c r="AI1739" s="16"/>
      <c r="AJ1739" s="16"/>
      <c r="AK1739" s="16"/>
      <c r="AL1739" s="16"/>
      <c r="AM1739" s="16"/>
      <c r="AN1739" s="16"/>
      <c r="AO1739" s="16"/>
      <c r="AP1739" s="16"/>
      <c r="AQ1739" s="16"/>
      <c r="AR1739" s="16"/>
      <c r="AS1739" s="16"/>
      <c r="AT1739" s="16"/>
      <c r="AU1739" s="16"/>
      <c r="AV1739" s="16"/>
      <c r="AW1739" s="16"/>
      <c r="AX1739" s="16"/>
      <c r="AY1739" s="16"/>
      <c r="AZ1739" s="16"/>
      <c r="BA1739" s="16"/>
      <c r="BB1739" s="16"/>
      <c r="BC1739" s="16"/>
      <c r="BD1739" s="16"/>
      <c r="BE1739" s="16"/>
      <c r="BF1739" s="16"/>
      <c r="BG1739" s="16"/>
      <c r="BH1739" s="16"/>
      <c r="BI1739" s="16"/>
      <c r="BJ1739" s="16"/>
      <c r="BK1739" s="16"/>
      <c r="BL1739" s="16"/>
      <c r="BM1739" s="16"/>
      <c r="BN1739" s="16"/>
      <c r="BO1739" s="16"/>
      <c r="BP1739" s="16"/>
      <c r="BQ1739" s="16"/>
      <c r="BR1739" s="16"/>
      <c r="BS1739" s="16"/>
      <c r="BT1739" s="16"/>
      <c r="BU1739" s="16"/>
      <c r="BV1739" s="16"/>
      <c r="BW1739" s="16"/>
      <c r="BX1739" s="16"/>
      <c r="BY1739" s="16"/>
      <c r="BZ1739" s="16"/>
      <c r="CA1739" s="16"/>
      <c r="CB1739" s="16"/>
      <c r="CC1739" s="16"/>
      <c r="CD1739" s="16"/>
      <c r="CE1739" s="16"/>
      <c r="CF1739" s="16"/>
      <c r="CG1739" s="16"/>
      <c r="CH1739" s="16"/>
      <c r="CI1739" s="16"/>
      <c r="CJ1739" s="16"/>
      <c r="CK1739" s="16"/>
      <c r="CL1739" s="16"/>
      <c r="CM1739" s="16"/>
      <c r="CN1739" s="16"/>
      <c r="CO1739" s="16"/>
      <c r="CP1739" s="16"/>
      <c r="CQ1739" s="16"/>
      <c r="CR1739" s="16"/>
      <c r="CS1739" s="16"/>
      <c r="CT1739" s="16"/>
      <c r="CU1739" s="16"/>
      <c r="CV1739" s="16"/>
      <c r="CW1739" s="16"/>
      <c r="CX1739" s="16"/>
      <c r="CY1739" s="16"/>
      <c r="CZ1739" s="16"/>
      <c r="DA1739" s="16"/>
      <c r="DB1739" s="16"/>
      <c r="DC1739" s="16"/>
      <c r="DD1739" s="16"/>
      <c r="DE1739" s="16"/>
      <c r="DF1739" s="16"/>
    </row>
    <row r="1740" spans="8:110" x14ac:dyDescent="0.3">
      <c r="H1740" s="10">
        <f t="shared" si="207"/>
        <v>0</v>
      </c>
      <c r="K1740" s="3"/>
      <c r="L1740" s="16"/>
      <c r="M1740" s="16"/>
      <c r="N1740" s="16"/>
      <c r="O1740" s="16"/>
      <c r="P1740" s="16"/>
      <c r="Q1740" s="16"/>
      <c r="R1740" s="16"/>
      <c r="S1740" s="16"/>
      <c r="T1740" s="16"/>
      <c r="U1740" s="16"/>
      <c r="V1740" s="16"/>
      <c r="W1740" s="16"/>
      <c r="X1740" s="16"/>
      <c r="Y1740" s="16"/>
      <c r="Z1740" s="16"/>
      <c r="AA1740" s="16"/>
      <c r="AB1740" s="16"/>
      <c r="AC1740" s="16"/>
      <c r="AD1740" s="16"/>
      <c r="AE1740" s="16"/>
      <c r="AF1740" s="16"/>
      <c r="AG1740" s="16"/>
      <c r="AH1740" s="16"/>
      <c r="AI1740" s="16"/>
      <c r="AJ1740" s="16"/>
      <c r="AK1740" s="16"/>
      <c r="AL1740" s="16"/>
      <c r="AM1740" s="16"/>
      <c r="AN1740" s="16"/>
      <c r="AO1740" s="16"/>
      <c r="AP1740" s="16"/>
      <c r="AQ1740" s="16"/>
      <c r="AR1740" s="16"/>
      <c r="AS1740" s="16"/>
      <c r="AT1740" s="16"/>
      <c r="AU1740" s="16"/>
      <c r="AV1740" s="16"/>
      <c r="AW1740" s="16"/>
      <c r="AX1740" s="16"/>
      <c r="AY1740" s="16"/>
      <c r="AZ1740" s="16"/>
      <c r="BA1740" s="16"/>
      <c r="BB1740" s="16"/>
      <c r="BC1740" s="16"/>
      <c r="BD1740" s="16"/>
      <c r="BE1740" s="16"/>
      <c r="BF1740" s="16"/>
      <c r="BG1740" s="16"/>
      <c r="BH1740" s="16"/>
      <c r="BI1740" s="16"/>
      <c r="BJ1740" s="16"/>
      <c r="BK1740" s="16"/>
      <c r="BL1740" s="16"/>
      <c r="BM1740" s="16"/>
      <c r="BN1740" s="16"/>
      <c r="BO1740" s="16"/>
      <c r="BP1740" s="16"/>
      <c r="BQ1740" s="16"/>
      <c r="BR1740" s="16"/>
      <c r="BS1740" s="16"/>
      <c r="BT1740" s="16"/>
      <c r="BU1740" s="16"/>
      <c r="BV1740" s="16"/>
      <c r="BW1740" s="16"/>
      <c r="BX1740" s="16"/>
      <c r="BY1740" s="16"/>
      <c r="BZ1740" s="16"/>
      <c r="CA1740" s="16"/>
      <c r="CB1740" s="16"/>
      <c r="CC1740" s="16"/>
      <c r="CD1740" s="16"/>
      <c r="CE1740" s="16"/>
      <c r="CF1740" s="16"/>
      <c r="CG1740" s="16"/>
      <c r="CH1740" s="16"/>
      <c r="CI1740" s="16"/>
      <c r="CJ1740" s="16"/>
      <c r="CK1740" s="16"/>
      <c r="CL1740" s="16"/>
      <c r="CM1740" s="16"/>
      <c r="CN1740" s="16"/>
      <c r="CO1740" s="16"/>
      <c r="CP1740" s="16"/>
      <c r="CQ1740" s="16"/>
      <c r="CR1740" s="16"/>
      <c r="CS1740" s="16"/>
      <c r="CT1740" s="16"/>
      <c r="CU1740" s="16"/>
      <c r="CV1740" s="16"/>
      <c r="CW1740" s="16"/>
      <c r="CX1740" s="16"/>
      <c r="CY1740" s="16"/>
      <c r="CZ1740" s="16"/>
      <c r="DA1740" s="16"/>
      <c r="DB1740" s="16"/>
      <c r="DC1740" s="16"/>
      <c r="DD1740" s="16"/>
      <c r="DE1740" s="16"/>
      <c r="DF1740" s="16"/>
    </row>
    <row r="1741" spans="8:110" x14ac:dyDescent="0.3">
      <c r="H1741" s="10">
        <f t="shared" si="207"/>
        <v>0</v>
      </c>
      <c r="K1741" s="3"/>
      <c r="L1741" s="16"/>
      <c r="M1741" s="16"/>
      <c r="N1741" s="16"/>
      <c r="O1741" s="16"/>
      <c r="P1741" s="16"/>
      <c r="Q1741" s="16"/>
      <c r="R1741" s="16"/>
      <c r="S1741" s="16"/>
      <c r="T1741" s="16"/>
      <c r="U1741" s="16"/>
      <c r="V1741" s="16"/>
      <c r="W1741" s="16"/>
      <c r="X1741" s="16"/>
      <c r="Y1741" s="16"/>
      <c r="Z1741" s="16"/>
      <c r="AA1741" s="16"/>
      <c r="AB1741" s="16"/>
      <c r="AC1741" s="16"/>
      <c r="AD1741" s="16"/>
      <c r="AE1741" s="16"/>
      <c r="AF1741" s="16"/>
      <c r="AG1741" s="16"/>
      <c r="AH1741" s="16"/>
      <c r="AI1741" s="16"/>
      <c r="AJ1741" s="16"/>
      <c r="AK1741" s="16"/>
      <c r="AL1741" s="16"/>
      <c r="AM1741" s="16"/>
      <c r="AN1741" s="16"/>
      <c r="AO1741" s="16"/>
      <c r="AP1741" s="16"/>
      <c r="AQ1741" s="16"/>
      <c r="AR1741" s="16"/>
      <c r="AS1741" s="16"/>
      <c r="AT1741" s="16"/>
      <c r="AU1741" s="16"/>
      <c r="AV1741" s="16"/>
      <c r="AW1741" s="16"/>
      <c r="AX1741" s="16"/>
      <c r="AY1741" s="16"/>
      <c r="AZ1741" s="16"/>
      <c r="BA1741" s="16"/>
      <c r="BB1741" s="16"/>
      <c r="BC1741" s="16"/>
      <c r="BD1741" s="16"/>
      <c r="BE1741" s="16"/>
      <c r="BF1741" s="16"/>
      <c r="BG1741" s="16"/>
      <c r="BH1741" s="16"/>
      <c r="BI1741" s="16"/>
      <c r="BJ1741" s="16"/>
      <c r="BK1741" s="16"/>
      <c r="BL1741" s="16"/>
      <c r="BM1741" s="16"/>
      <c r="BN1741" s="16"/>
      <c r="BO1741" s="16"/>
      <c r="BP1741" s="16"/>
      <c r="BQ1741" s="16"/>
      <c r="BR1741" s="16"/>
      <c r="BS1741" s="16"/>
      <c r="BT1741" s="16"/>
      <c r="BU1741" s="16"/>
      <c r="BV1741" s="16"/>
      <c r="BW1741" s="16"/>
      <c r="BX1741" s="16"/>
      <c r="BY1741" s="16"/>
      <c r="BZ1741" s="16"/>
      <c r="CA1741" s="16"/>
      <c r="CB1741" s="16"/>
      <c r="CC1741" s="16"/>
      <c r="CD1741" s="16"/>
      <c r="CE1741" s="16"/>
      <c r="CF1741" s="16"/>
      <c r="CG1741" s="16"/>
      <c r="CH1741" s="16"/>
      <c r="CI1741" s="16"/>
      <c r="CJ1741" s="16"/>
      <c r="CK1741" s="16"/>
      <c r="CL1741" s="16"/>
      <c r="CM1741" s="16"/>
      <c r="CN1741" s="16"/>
      <c r="CO1741" s="16"/>
      <c r="CP1741" s="16"/>
      <c r="CQ1741" s="16"/>
      <c r="CR1741" s="16"/>
      <c r="CS1741" s="16"/>
      <c r="CT1741" s="16"/>
      <c r="CU1741" s="16"/>
      <c r="CV1741" s="16"/>
      <c r="CW1741" s="16"/>
      <c r="CX1741" s="16"/>
      <c r="CY1741" s="16"/>
      <c r="CZ1741" s="16"/>
      <c r="DA1741" s="16"/>
      <c r="DB1741" s="16"/>
      <c r="DC1741" s="16"/>
      <c r="DD1741" s="16"/>
      <c r="DE1741" s="16"/>
      <c r="DF1741" s="16"/>
    </row>
    <row r="1742" spans="8:110" x14ac:dyDescent="0.3">
      <c r="H1742" s="10">
        <f t="shared" si="207"/>
        <v>0</v>
      </c>
      <c r="K1742" s="3"/>
      <c r="L1742" s="16"/>
      <c r="M1742" s="16"/>
      <c r="N1742" s="16"/>
      <c r="O1742" s="16"/>
      <c r="P1742" s="16"/>
      <c r="Q1742" s="16"/>
      <c r="R1742" s="16"/>
      <c r="S1742" s="16"/>
      <c r="T1742" s="16"/>
      <c r="U1742" s="16"/>
      <c r="V1742" s="16"/>
      <c r="W1742" s="16"/>
      <c r="X1742" s="16"/>
      <c r="Y1742" s="16"/>
      <c r="Z1742" s="16"/>
      <c r="AA1742" s="16"/>
      <c r="AB1742" s="16"/>
      <c r="AC1742" s="16"/>
      <c r="AD1742" s="16"/>
      <c r="AE1742" s="16"/>
      <c r="AF1742" s="16"/>
      <c r="AG1742" s="16"/>
      <c r="AH1742" s="16"/>
      <c r="AI1742" s="16"/>
      <c r="AJ1742" s="16"/>
      <c r="AK1742" s="16"/>
      <c r="AL1742" s="16"/>
      <c r="AM1742" s="16"/>
      <c r="AN1742" s="16"/>
      <c r="AO1742" s="16"/>
      <c r="AP1742" s="16"/>
      <c r="AQ1742" s="16"/>
      <c r="AR1742" s="16"/>
      <c r="AS1742" s="16"/>
      <c r="AT1742" s="16"/>
      <c r="AU1742" s="16"/>
      <c r="AV1742" s="16"/>
      <c r="AW1742" s="16"/>
      <c r="AX1742" s="16"/>
      <c r="AY1742" s="16"/>
      <c r="AZ1742" s="16"/>
      <c r="BA1742" s="16"/>
      <c r="BB1742" s="16"/>
      <c r="BC1742" s="16"/>
      <c r="BD1742" s="16"/>
      <c r="BE1742" s="16"/>
      <c r="BF1742" s="16"/>
      <c r="BG1742" s="16"/>
      <c r="BH1742" s="16"/>
      <c r="BI1742" s="16"/>
      <c r="BJ1742" s="16"/>
      <c r="BK1742" s="16"/>
      <c r="BL1742" s="16"/>
      <c r="BM1742" s="16"/>
      <c r="BN1742" s="16"/>
      <c r="BO1742" s="16"/>
      <c r="BP1742" s="16"/>
      <c r="BQ1742" s="16"/>
      <c r="BR1742" s="16"/>
      <c r="BS1742" s="16"/>
      <c r="BT1742" s="16"/>
      <c r="BU1742" s="16"/>
      <c r="BV1742" s="16"/>
      <c r="BW1742" s="16"/>
      <c r="BX1742" s="16"/>
      <c r="BY1742" s="16"/>
      <c r="BZ1742" s="16"/>
      <c r="CA1742" s="16"/>
      <c r="CB1742" s="16"/>
      <c r="CC1742" s="16"/>
      <c r="CD1742" s="16"/>
      <c r="CE1742" s="16"/>
      <c r="CF1742" s="16"/>
      <c r="CG1742" s="16"/>
      <c r="CH1742" s="16"/>
      <c r="CI1742" s="16"/>
      <c r="CJ1742" s="16"/>
      <c r="CK1742" s="16"/>
      <c r="CL1742" s="16"/>
      <c r="CM1742" s="16"/>
      <c r="CN1742" s="16"/>
      <c r="CO1742" s="16"/>
      <c r="CP1742" s="16"/>
      <c r="CQ1742" s="16"/>
      <c r="CR1742" s="16"/>
      <c r="CS1742" s="16"/>
      <c r="CT1742" s="16"/>
      <c r="CU1742" s="16"/>
      <c r="CV1742" s="16"/>
      <c r="CW1742" s="16"/>
      <c r="CX1742" s="16"/>
      <c r="CY1742" s="16"/>
      <c r="CZ1742" s="16"/>
      <c r="DA1742" s="16"/>
      <c r="DB1742" s="16"/>
      <c r="DC1742" s="16"/>
      <c r="DD1742" s="16"/>
      <c r="DE1742" s="16"/>
      <c r="DF1742" s="16"/>
    </row>
    <row r="1743" spans="8:110" x14ac:dyDescent="0.3">
      <c r="H1743" s="10">
        <f t="shared" si="207"/>
        <v>0</v>
      </c>
      <c r="K1743" s="3"/>
      <c r="L1743" s="16"/>
      <c r="M1743" s="16"/>
      <c r="N1743" s="16"/>
      <c r="O1743" s="16"/>
      <c r="P1743" s="16"/>
      <c r="Q1743" s="16"/>
      <c r="R1743" s="16"/>
      <c r="S1743" s="16"/>
      <c r="T1743" s="16"/>
      <c r="U1743" s="16"/>
      <c r="V1743" s="16"/>
      <c r="W1743" s="16"/>
      <c r="X1743" s="16"/>
      <c r="Y1743" s="16"/>
      <c r="Z1743" s="16"/>
      <c r="AA1743" s="16"/>
      <c r="AB1743" s="16"/>
      <c r="AC1743" s="16"/>
      <c r="AD1743" s="16"/>
      <c r="AE1743" s="16"/>
      <c r="AF1743" s="16"/>
      <c r="AG1743" s="16"/>
      <c r="AH1743" s="16"/>
      <c r="AI1743" s="16"/>
      <c r="AJ1743" s="16"/>
      <c r="AK1743" s="16"/>
      <c r="AL1743" s="16"/>
      <c r="AM1743" s="16"/>
      <c r="AN1743" s="16"/>
      <c r="AO1743" s="16"/>
      <c r="AP1743" s="16"/>
      <c r="AQ1743" s="16"/>
      <c r="AR1743" s="16"/>
      <c r="AS1743" s="16"/>
      <c r="AT1743" s="16"/>
      <c r="AU1743" s="16"/>
      <c r="AV1743" s="16"/>
      <c r="AW1743" s="16"/>
      <c r="AX1743" s="16"/>
      <c r="AY1743" s="16"/>
      <c r="AZ1743" s="16"/>
      <c r="BA1743" s="16"/>
      <c r="BB1743" s="16"/>
      <c r="BC1743" s="16"/>
      <c r="BD1743" s="16"/>
      <c r="BE1743" s="16"/>
      <c r="BF1743" s="16"/>
      <c r="BG1743" s="16"/>
      <c r="BH1743" s="16"/>
      <c r="BI1743" s="16"/>
      <c r="BJ1743" s="16"/>
      <c r="BK1743" s="16"/>
      <c r="BL1743" s="16"/>
      <c r="BM1743" s="16"/>
      <c r="BN1743" s="16"/>
      <c r="BO1743" s="16"/>
      <c r="BP1743" s="16"/>
      <c r="BQ1743" s="16"/>
      <c r="BR1743" s="16"/>
      <c r="BS1743" s="16"/>
      <c r="BT1743" s="16"/>
      <c r="BU1743" s="16"/>
      <c r="BV1743" s="16"/>
      <c r="BW1743" s="16"/>
      <c r="BX1743" s="16"/>
      <c r="BY1743" s="16"/>
      <c r="BZ1743" s="16"/>
      <c r="CA1743" s="16"/>
      <c r="CB1743" s="16"/>
      <c r="CC1743" s="16"/>
      <c r="CD1743" s="16"/>
      <c r="CE1743" s="16"/>
      <c r="CF1743" s="16"/>
      <c r="CG1743" s="16"/>
      <c r="CH1743" s="16"/>
      <c r="CI1743" s="16"/>
      <c r="CJ1743" s="16"/>
      <c r="CK1743" s="16"/>
      <c r="CL1743" s="16"/>
      <c r="CM1743" s="16"/>
      <c r="CN1743" s="16"/>
      <c r="CO1743" s="16"/>
      <c r="CP1743" s="16"/>
      <c r="CQ1743" s="16"/>
      <c r="CR1743" s="16"/>
      <c r="CS1743" s="16"/>
      <c r="CT1743" s="16"/>
      <c r="CU1743" s="16"/>
      <c r="CV1743" s="16"/>
      <c r="CW1743" s="16"/>
      <c r="CX1743" s="16"/>
      <c r="CY1743" s="16"/>
      <c r="CZ1743" s="16"/>
      <c r="DA1743" s="16"/>
      <c r="DB1743" s="16"/>
      <c r="DC1743" s="16"/>
      <c r="DD1743" s="16"/>
      <c r="DE1743" s="16"/>
      <c r="DF1743" s="16"/>
    </row>
    <row r="1744" spans="8:110" x14ac:dyDescent="0.3">
      <c r="H1744" s="10">
        <f t="shared" si="207"/>
        <v>0</v>
      </c>
      <c r="K1744" s="3"/>
      <c r="L1744" s="16"/>
      <c r="M1744" s="16"/>
      <c r="N1744" s="16"/>
      <c r="O1744" s="16"/>
      <c r="P1744" s="16"/>
      <c r="Q1744" s="16"/>
      <c r="R1744" s="16"/>
      <c r="S1744" s="16"/>
      <c r="T1744" s="16"/>
      <c r="U1744" s="16"/>
      <c r="V1744" s="16"/>
      <c r="W1744" s="16"/>
      <c r="X1744" s="16"/>
      <c r="Y1744" s="16"/>
      <c r="Z1744" s="16"/>
      <c r="AA1744" s="16"/>
      <c r="AB1744" s="16"/>
      <c r="AC1744" s="16"/>
      <c r="AD1744" s="16"/>
      <c r="AE1744" s="16"/>
      <c r="AF1744" s="16"/>
      <c r="AG1744" s="16"/>
      <c r="AH1744" s="16"/>
      <c r="AI1744" s="16"/>
      <c r="AJ1744" s="16"/>
      <c r="AK1744" s="16"/>
      <c r="AL1744" s="16"/>
      <c r="AM1744" s="16"/>
      <c r="AN1744" s="16"/>
      <c r="AO1744" s="16"/>
      <c r="AP1744" s="16"/>
      <c r="AQ1744" s="16"/>
      <c r="AR1744" s="16"/>
      <c r="AS1744" s="16"/>
      <c r="AT1744" s="16"/>
      <c r="AU1744" s="16"/>
      <c r="AV1744" s="16"/>
      <c r="AW1744" s="16"/>
      <c r="AX1744" s="16"/>
      <c r="AY1744" s="16"/>
      <c r="AZ1744" s="16"/>
      <c r="BA1744" s="16"/>
      <c r="BB1744" s="16"/>
      <c r="BC1744" s="16"/>
      <c r="BD1744" s="16"/>
      <c r="BE1744" s="16"/>
      <c r="BF1744" s="16"/>
      <c r="BG1744" s="16"/>
      <c r="BH1744" s="16"/>
      <c r="BI1744" s="16"/>
      <c r="BJ1744" s="16"/>
      <c r="BK1744" s="16"/>
      <c r="BL1744" s="16"/>
      <c r="BM1744" s="16"/>
      <c r="BN1744" s="16"/>
      <c r="BO1744" s="16"/>
      <c r="BP1744" s="16"/>
      <c r="BQ1744" s="16"/>
      <c r="BR1744" s="16"/>
      <c r="BS1744" s="16"/>
      <c r="BT1744" s="16"/>
      <c r="BU1744" s="16"/>
      <c r="BV1744" s="16"/>
      <c r="BW1744" s="16"/>
      <c r="BX1744" s="16"/>
      <c r="BY1744" s="16"/>
      <c r="BZ1744" s="16"/>
      <c r="CA1744" s="16"/>
      <c r="CB1744" s="16"/>
      <c r="CC1744" s="16"/>
      <c r="CD1744" s="16"/>
      <c r="CE1744" s="16"/>
      <c r="CF1744" s="16"/>
      <c r="CG1744" s="16"/>
      <c r="CH1744" s="16"/>
      <c r="CI1744" s="16"/>
      <c r="CJ1744" s="16"/>
      <c r="CK1744" s="16"/>
      <c r="CL1744" s="16"/>
      <c r="CM1744" s="16"/>
      <c r="CN1744" s="16"/>
      <c r="CO1744" s="16"/>
      <c r="CP1744" s="16"/>
      <c r="CQ1744" s="16"/>
      <c r="CR1744" s="16"/>
      <c r="CS1744" s="16"/>
      <c r="CT1744" s="16"/>
      <c r="CU1744" s="16"/>
      <c r="CV1744" s="16"/>
      <c r="CW1744" s="16"/>
      <c r="CX1744" s="16"/>
      <c r="CY1744" s="16"/>
      <c r="CZ1744" s="16"/>
      <c r="DA1744" s="16"/>
      <c r="DB1744" s="16"/>
      <c r="DC1744" s="16"/>
      <c r="DD1744" s="16"/>
      <c r="DE1744" s="16"/>
      <c r="DF1744" s="16"/>
    </row>
    <row r="1745" spans="8:110" x14ac:dyDescent="0.3">
      <c r="H1745" s="10">
        <f t="shared" si="207"/>
        <v>0</v>
      </c>
      <c r="K1745" s="3"/>
      <c r="L1745" s="16"/>
      <c r="M1745" s="16"/>
      <c r="N1745" s="16"/>
      <c r="O1745" s="16"/>
      <c r="P1745" s="16"/>
      <c r="Q1745" s="16"/>
      <c r="R1745" s="16"/>
      <c r="S1745" s="16"/>
      <c r="T1745" s="16"/>
      <c r="U1745" s="16"/>
      <c r="V1745" s="16"/>
      <c r="W1745" s="16"/>
      <c r="X1745" s="16"/>
      <c r="Y1745" s="16"/>
      <c r="Z1745" s="16"/>
      <c r="AA1745" s="16"/>
      <c r="AB1745" s="16"/>
      <c r="AC1745" s="16"/>
      <c r="AD1745" s="16"/>
      <c r="AE1745" s="16"/>
      <c r="AF1745" s="16"/>
      <c r="AG1745" s="16"/>
      <c r="AH1745" s="16"/>
      <c r="AI1745" s="16"/>
      <c r="AJ1745" s="16"/>
      <c r="AK1745" s="16"/>
      <c r="AL1745" s="16"/>
      <c r="AM1745" s="16"/>
      <c r="AN1745" s="16"/>
      <c r="AO1745" s="16"/>
      <c r="AP1745" s="16"/>
      <c r="AQ1745" s="16"/>
      <c r="AR1745" s="16"/>
      <c r="AS1745" s="16"/>
      <c r="AT1745" s="16"/>
      <c r="AU1745" s="16"/>
      <c r="AV1745" s="16"/>
      <c r="AW1745" s="16"/>
      <c r="AX1745" s="16"/>
      <c r="AY1745" s="16"/>
      <c r="AZ1745" s="16"/>
      <c r="BA1745" s="16"/>
      <c r="BB1745" s="16"/>
      <c r="BC1745" s="16"/>
      <c r="BD1745" s="16"/>
      <c r="BE1745" s="16"/>
      <c r="BF1745" s="16"/>
      <c r="BG1745" s="16"/>
      <c r="BH1745" s="16"/>
      <c r="BI1745" s="16"/>
      <c r="BJ1745" s="16"/>
      <c r="BK1745" s="16"/>
      <c r="BL1745" s="16"/>
      <c r="BM1745" s="16"/>
      <c r="BN1745" s="16"/>
      <c r="BO1745" s="16"/>
      <c r="BP1745" s="16"/>
      <c r="BQ1745" s="16"/>
      <c r="BR1745" s="16"/>
      <c r="BS1745" s="16"/>
      <c r="BT1745" s="16"/>
      <c r="BU1745" s="16"/>
      <c r="BV1745" s="16"/>
      <c r="BW1745" s="16"/>
      <c r="BX1745" s="16"/>
      <c r="BY1745" s="16"/>
      <c r="BZ1745" s="16"/>
      <c r="CA1745" s="16"/>
      <c r="CB1745" s="16"/>
      <c r="CC1745" s="16"/>
      <c r="CD1745" s="16"/>
      <c r="CE1745" s="16"/>
      <c r="CF1745" s="16"/>
      <c r="CG1745" s="16"/>
      <c r="CH1745" s="16"/>
      <c r="CI1745" s="16"/>
      <c r="CJ1745" s="16"/>
      <c r="CK1745" s="16"/>
      <c r="CL1745" s="16"/>
      <c r="CM1745" s="16"/>
      <c r="CN1745" s="16"/>
      <c r="CO1745" s="16"/>
      <c r="CP1745" s="16"/>
      <c r="CQ1745" s="16"/>
      <c r="CR1745" s="16"/>
      <c r="CS1745" s="16"/>
      <c r="CT1745" s="16"/>
      <c r="CU1745" s="16"/>
      <c r="CV1745" s="16"/>
      <c r="CW1745" s="16"/>
      <c r="CX1745" s="16"/>
      <c r="CY1745" s="16"/>
      <c r="CZ1745" s="16"/>
      <c r="DA1745" s="16"/>
      <c r="DB1745" s="16"/>
      <c r="DC1745" s="16"/>
      <c r="DD1745" s="16"/>
      <c r="DE1745" s="16"/>
      <c r="DF1745" s="16"/>
    </row>
    <row r="1746" spans="8:110" x14ac:dyDescent="0.3">
      <c r="H1746" s="10">
        <f t="shared" si="207"/>
        <v>0</v>
      </c>
      <c r="K1746" s="3"/>
      <c r="L1746" s="16"/>
      <c r="M1746" s="16"/>
      <c r="N1746" s="16"/>
      <c r="O1746" s="16"/>
      <c r="P1746" s="16"/>
      <c r="Q1746" s="16"/>
      <c r="R1746" s="16"/>
      <c r="S1746" s="16"/>
      <c r="T1746" s="16"/>
      <c r="U1746" s="16"/>
      <c r="V1746" s="16"/>
      <c r="W1746" s="16"/>
      <c r="X1746" s="16"/>
      <c r="Y1746" s="16"/>
      <c r="Z1746" s="16"/>
      <c r="AA1746" s="16"/>
      <c r="AB1746" s="16"/>
      <c r="AC1746" s="16"/>
      <c r="AD1746" s="16"/>
      <c r="AE1746" s="16"/>
      <c r="AF1746" s="16"/>
      <c r="AG1746" s="16"/>
      <c r="AH1746" s="16"/>
      <c r="AI1746" s="16"/>
      <c r="AJ1746" s="16"/>
      <c r="AK1746" s="16"/>
      <c r="AL1746" s="16"/>
      <c r="AM1746" s="16"/>
      <c r="AN1746" s="16"/>
      <c r="AO1746" s="16"/>
      <c r="AP1746" s="16"/>
      <c r="AQ1746" s="16"/>
      <c r="AR1746" s="16"/>
      <c r="AS1746" s="16"/>
      <c r="AT1746" s="16"/>
      <c r="AU1746" s="16"/>
      <c r="AV1746" s="16"/>
      <c r="AW1746" s="16"/>
      <c r="AX1746" s="16"/>
      <c r="AY1746" s="16"/>
      <c r="AZ1746" s="16"/>
      <c r="BA1746" s="16"/>
      <c r="BB1746" s="16"/>
      <c r="BC1746" s="16"/>
      <c r="BD1746" s="16"/>
      <c r="BE1746" s="16"/>
      <c r="BF1746" s="16"/>
      <c r="BG1746" s="16"/>
      <c r="BH1746" s="16"/>
      <c r="BI1746" s="16"/>
      <c r="BJ1746" s="16"/>
      <c r="BK1746" s="16"/>
      <c r="BL1746" s="16"/>
      <c r="BM1746" s="16"/>
      <c r="BN1746" s="16"/>
      <c r="BO1746" s="16"/>
      <c r="BP1746" s="16"/>
      <c r="BQ1746" s="16"/>
      <c r="BR1746" s="16"/>
      <c r="BS1746" s="16"/>
      <c r="BT1746" s="16"/>
      <c r="BU1746" s="16"/>
      <c r="BV1746" s="16"/>
      <c r="BW1746" s="16"/>
      <c r="BX1746" s="16"/>
      <c r="BY1746" s="16"/>
      <c r="BZ1746" s="16"/>
      <c r="CA1746" s="16"/>
      <c r="CB1746" s="16"/>
      <c r="CC1746" s="16"/>
      <c r="CD1746" s="16"/>
      <c r="CE1746" s="16"/>
      <c r="CF1746" s="16"/>
      <c r="CG1746" s="16"/>
      <c r="CH1746" s="16"/>
      <c r="CI1746" s="16"/>
      <c r="CJ1746" s="16"/>
      <c r="CK1746" s="16"/>
      <c r="CL1746" s="16"/>
      <c r="CM1746" s="16"/>
      <c r="CN1746" s="16"/>
      <c r="CO1746" s="16"/>
      <c r="CP1746" s="16"/>
      <c r="CQ1746" s="16"/>
      <c r="CR1746" s="16"/>
      <c r="CS1746" s="16"/>
      <c r="CT1746" s="16"/>
      <c r="CU1746" s="16"/>
      <c r="CV1746" s="16"/>
      <c r="CW1746" s="16"/>
      <c r="CX1746" s="16"/>
      <c r="CY1746" s="16"/>
      <c r="CZ1746" s="16"/>
      <c r="DA1746" s="16"/>
      <c r="DB1746" s="16"/>
      <c r="DC1746" s="16"/>
      <c r="DD1746" s="16"/>
      <c r="DE1746" s="16"/>
      <c r="DF1746" s="16"/>
    </row>
    <row r="1747" spans="8:110" x14ac:dyDescent="0.3">
      <c r="H1747" s="10">
        <f t="shared" si="207"/>
        <v>0</v>
      </c>
      <c r="K1747" s="3"/>
      <c r="L1747" s="16"/>
      <c r="M1747" s="16"/>
      <c r="N1747" s="16"/>
      <c r="O1747" s="16"/>
      <c r="P1747" s="16"/>
      <c r="Q1747" s="16"/>
      <c r="R1747" s="16"/>
      <c r="S1747" s="16"/>
      <c r="T1747" s="16"/>
      <c r="U1747" s="16"/>
      <c r="V1747" s="16"/>
      <c r="W1747" s="16"/>
      <c r="X1747" s="16"/>
      <c r="Y1747" s="16"/>
      <c r="Z1747" s="16"/>
      <c r="AA1747" s="16"/>
      <c r="AB1747" s="16"/>
      <c r="AC1747" s="16"/>
      <c r="AD1747" s="16"/>
      <c r="AE1747" s="16"/>
      <c r="AF1747" s="16"/>
      <c r="AG1747" s="16"/>
      <c r="AH1747" s="16"/>
      <c r="AI1747" s="16"/>
      <c r="AJ1747" s="16"/>
      <c r="AK1747" s="16"/>
      <c r="AL1747" s="16"/>
      <c r="AM1747" s="16"/>
      <c r="AN1747" s="16"/>
      <c r="AO1747" s="16"/>
      <c r="AP1747" s="16"/>
      <c r="AQ1747" s="16"/>
      <c r="AR1747" s="16"/>
      <c r="AS1747" s="16"/>
      <c r="AT1747" s="16"/>
      <c r="AU1747" s="16"/>
      <c r="AV1747" s="16"/>
      <c r="AW1747" s="16"/>
      <c r="AX1747" s="16"/>
      <c r="AY1747" s="16"/>
      <c r="AZ1747" s="16"/>
      <c r="BA1747" s="16"/>
      <c r="BB1747" s="16"/>
      <c r="BC1747" s="16"/>
      <c r="BD1747" s="16"/>
      <c r="BE1747" s="16"/>
      <c r="BF1747" s="16"/>
      <c r="BG1747" s="16"/>
      <c r="BH1747" s="16"/>
      <c r="BI1747" s="16"/>
      <c r="BJ1747" s="16"/>
      <c r="BK1747" s="16"/>
      <c r="BL1747" s="16"/>
      <c r="BM1747" s="16"/>
      <c r="BN1747" s="16"/>
      <c r="BO1747" s="16"/>
      <c r="BP1747" s="16"/>
      <c r="BQ1747" s="16"/>
      <c r="BR1747" s="16"/>
      <c r="BS1747" s="16"/>
      <c r="BT1747" s="16"/>
      <c r="BU1747" s="16"/>
      <c r="BV1747" s="16"/>
      <c r="BW1747" s="16"/>
      <c r="BX1747" s="16"/>
      <c r="BY1747" s="16"/>
      <c r="BZ1747" s="16"/>
      <c r="CA1747" s="16"/>
      <c r="CB1747" s="16"/>
      <c r="CC1747" s="16"/>
      <c r="CD1747" s="16"/>
      <c r="CE1747" s="16"/>
      <c r="CF1747" s="16"/>
      <c r="CG1747" s="16"/>
      <c r="CH1747" s="16"/>
      <c r="CI1747" s="16"/>
      <c r="CJ1747" s="16"/>
      <c r="CK1747" s="16"/>
      <c r="CL1747" s="16"/>
      <c r="CM1747" s="16"/>
      <c r="CN1747" s="16"/>
      <c r="CO1747" s="16"/>
      <c r="CP1747" s="16"/>
      <c r="CQ1747" s="16"/>
      <c r="CR1747" s="16"/>
      <c r="CS1747" s="16"/>
      <c r="CT1747" s="16"/>
      <c r="CU1747" s="16"/>
      <c r="CV1747" s="16"/>
      <c r="CW1747" s="16"/>
      <c r="CX1747" s="16"/>
      <c r="CY1747" s="16"/>
      <c r="CZ1747" s="16"/>
      <c r="DA1747" s="16"/>
      <c r="DB1747" s="16"/>
      <c r="DC1747" s="16"/>
      <c r="DD1747" s="16"/>
      <c r="DE1747" s="16"/>
      <c r="DF1747" s="16"/>
    </row>
    <row r="1748" spans="8:110" x14ac:dyDescent="0.3">
      <c r="H1748" s="10">
        <f t="shared" si="207"/>
        <v>0</v>
      </c>
      <c r="K1748" s="3"/>
      <c r="L1748" s="16"/>
      <c r="M1748" s="16"/>
      <c r="N1748" s="16"/>
      <c r="O1748" s="16"/>
      <c r="P1748" s="16"/>
      <c r="Q1748" s="16"/>
      <c r="R1748" s="16"/>
      <c r="S1748" s="16"/>
      <c r="T1748" s="16"/>
      <c r="U1748" s="16"/>
      <c r="V1748" s="16"/>
      <c r="W1748" s="16"/>
      <c r="X1748" s="16"/>
      <c r="Y1748" s="16"/>
      <c r="Z1748" s="16"/>
      <c r="AA1748" s="16"/>
      <c r="AB1748" s="16"/>
      <c r="AC1748" s="16"/>
      <c r="AD1748" s="16"/>
      <c r="AE1748" s="16"/>
      <c r="AF1748" s="16"/>
      <c r="AG1748" s="16"/>
      <c r="AH1748" s="16"/>
      <c r="AI1748" s="16"/>
      <c r="AJ1748" s="16"/>
      <c r="AK1748" s="16"/>
      <c r="AL1748" s="16"/>
      <c r="AM1748" s="16"/>
      <c r="AN1748" s="16"/>
      <c r="AO1748" s="16"/>
      <c r="AP1748" s="16"/>
      <c r="AQ1748" s="16"/>
      <c r="AR1748" s="16"/>
      <c r="AS1748" s="16"/>
      <c r="AT1748" s="16"/>
      <c r="AU1748" s="16"/>
      <c r="AV1748" s="16"/>
      <c r="AW1748" s="16"/>
      <c r="AX1748" s="16"/>
      <c r="AY1748" s="16"/>
      <c r="AZ1748" s="16"/>
      <c r="BA1748" s="16"/>
      <c r="BB1748" s="16"/>
      <c r="BC1748" s="16"/>
      <c r="BD1748" s="16"/>
      <c r="BE1748" s="16"/>
      <c r="BF1748" s="16"/>
      <c r="BG1748" s="16"/>
      <c r="BH1748" s="16"/>
      <c r="BI1748" s="16"/>
      <c r="BJ1748" s="16"/>
      <c r="BK1748" s="16"/>
      <c r="BL1748" s="16"/>
      <c r="BM1748" s="16"/>
      <c r="BN1748" s="16"/>
      <c r="BO1748" s="16"/>
      <c r="BP1748" s="16"/>
      <c r="BQ1748" s="16"/>
      <c r="BR1748" s="16"/>
      <c r="BS1748" s="16"/>
      <c r="BT1748" s="16"/>
      <c r="BU1748" s="16"/>
      <c r="BV1748" s="16"/>
      <c r="BW1748" s="16"/>
      <c r="BX1748" s="16"/>
      <c r="BY1748" s="16"/>
      <c r="BZ1748" s="16"/>
      <c r="CA1748" s="16"/>
      <c r="CB1748" s="16"/>
      <c r="CC1748" s="16"/>
      <c r="CD1748" s="16"/>
      <c r="CE1748" s="16"/>
      <c r="CF1748" s="16"/>
      <c r="CG1748" s="16"/>
      <c r="CH1748" s="16"/>
      <c r="CI1748" s="16"/>
      <c r="CJ1748" s="16"/>
      <c r="CK1748" s="16"/>
      <c r="CL1748" s="16"/>
      <c r="CM1748" s="16"/>
      <c r="CN1748" s="16"/>
      <c r="CO1748" s="16"/>
      <c r="CP1748" s="16"/>
      <c r="CQ1748" s="16"/>
      <c r="CR1748" s="16"/>
      <c r="CS1748" s="16"/>
      <c r="CT1748" s="16"/>
      <c r="CU1748" s="16"/>
      <c r="CV1748" s="16"/>
      <c r="CW1748" s="16"/>
      <c r="CX1748" s="16"/>
      <c r="CY1748" s="16"/>
      <c r="CZ1748" s="16"/>
      <c r="DA1748" s="16"/>
      <c r="DB1748" s="16"/>
      <c r="DC1748" s="16"/>
      <c r="DD1748" s="16"/>
      <c r="DE1748" s="16"/>
      <c r="DF1748" s="16"/>
    </row>
    <row r="1749" spans="8:110" x14ac:dyDescent="0.3">
      <c r="H1749" s="10">
        <f t="shared" si="207"/>
        <v>0</v>
      </c>
      <c r="K1749" s="3"/>
      <c r="L1749" s="16"/>
      <c r="M1749" s="16"/>
      <c r="N1749" s="16"/>
      <c r="O1749" s="16"/>
      <c r="P1749" s="16"/>
      <c r="Q1749" s="16"/>
      <c r="R1749" s="16"/>
      <c r="S1749" s="16"/>
      <c r="T1749" s="16"/>
      <c r="U1749" s="16"/>
      <c r="V1749" s="16"/>
      <c r="W1749" s="16"/>
      <c r="X1749" s="16"/>
      <c r="Y1749" s="16"/>
      <c r="Z1749" s="16"/>
      <c r="AA1749" s="16"/>
      <c r="AB1749" s="16"/>
      <c r="AC1749" s="16"/>
      <c r="AD1749" s="16"/>
      <c r="AE1749" s="16"/>
      <c r="AF1749" s="16"/>
      <c r="AG1749" s="16"/>
      <c r="AH1749" s="16"/>
      <c r="AI1749" s="16"/>
      <c r="AJ1749" s="16"/>
      <c r="AK1749" s="16"/>
      <c r="AL1749" s="16"/>
      <c r="AM1749" s="16"/>
      <c r="AN1749" s="16"/>
      <c r="AO1749" s="16"/>
      <c r="AP1749" s="16"/>
      <c r="AQ1749" s="16"/>
      <c r="AR1749" s="16"/>
      <c r="AS1749" s="16"/>
      <c r="AT1749" s="16"/>
      <c r="AU1749" s="16"/>
      <c r="AV1749" s="16"/>
      <c r="AW1749" s="16"/>
      <c r="AX1749" s="16"/>
      <c r="AY1749" s="16"/>
      <c r="AZ1749" s="16"/>
      <c r="BA1749" s="16"/>
      <c r="BB1749" s="16"/>
      <c r="BC1749" s="16"/>
      <c r="BD1749" s="16"/>
      <c r="BE1749" s="16"/>
      <c r="BF1749" s="16"/>
      <c r="BG1749" s="16"/>
      <c r="BH1749" s="16"/>
      <c r="BI1749" s="16"/>
      <c r="BJ1749" s="16"/>
      <c r="BK1749" s="16"/>
      <c r="BL1749" s="16"/>
      <c r="BM1749" s="16"/>
      <c r="BN1749" s="16"/>
      <c r="BO1749" s="16"/>
      <c r="BP1749" s="16"/>
      <c r="BQ1749" s="16"/>
      <c r="BR1749" s="16"/>
      <c r="BS1749" s="16"/>
      <c r="BT1749" s="16"/>
      <c r="BU1749" s="16"/>
      <c r="BV1749" s="16"/>
      <c r="BW1749" s="16"/>
      <c r="BX1749" s="16"/>
      <c r="BY1749" s="16"/>
      <c r="BZ1749" s="16"/>
      <c r="CA1749" s="16"/>
      <c r="CB1749" s="16"/>
      <c r="CC1749" s="16"/>
      <c r="CD1749" s="16"/>
      <c r="CE1749" s="16"/>
      <c r="CF1749" s="16"/>
      <c r="CG1749" s="16"/>
      <c r="CH1749" s="16"/>
      <c r="CI1749" s="16"/>
      <c r="CJ1749" s="16"/>
      <c r="CK1749" s="16"/>
      <c r="CL1749" s="16"/>
      <c r="CM1749" s="16"/>
      <c r="CN1749" s="16"/>
      <c r="CO1749" s="16"/>
      <c r="CP1749" s="16"/>
      <c r="CQ1749" s="16"/>
      <c r="CR1749" s="16"/>
      <c r="CS1749" s="16"/>
      <c r="CT1749" s="16"/>
      <c r="CU1749" s="16"/>
      <c r="CV1749" s="16"/>
      <c r="CW1749" s="16"/>
      <c r="CX1749" s="16"/>
      <c r="CY1749" s="16"/>
      <c r="CZ1749" s="16"/>
      <c r="DA1749" s="16"/>
      <c r="DB1749" s="16"/>
      <c r="DC1749" s="16"/>
      <c r="DD1749" s="16"/>
      <c r="DE1749" s="16"/>
      <c r="DF1749" s="16"/>
    </row>
    <row r="1750" spans="8:110" x14ac:dyDescent="0.3">
      <c r="H1750" s="10">
        <f t="shared" si="207"/>
        <v>0</v>
      </c>
      <c r="K1750" s="3"/>
      <c r="L1750" s="16"/>
      <c r="M1750" s="16"/>
      <c r="N1750" s="16"/>
      <c r="O1750" s="16"/>
      <c r="P1750" s="16"/>
      <c r="Q1750" s="16"/>
      <c r="R1750" s="16"/>
      <c r="S1750" s="16"/>
      <c r="T1750" s="16"/>
      <c r="U1750" s="16"/>
      <c r="V1750" s="16"/>
      <c r="W1750" s="16"/>
      <c r="X1750" s="16"/>
      <c r="Y1750" s="16"/>
      <c r="Z1750" s="16"/>
      <c r="AA1750" s="16"/>
      <c r="AB1750" s="16"/>
      <c r="AC1750" s="16"/>
      <c r="AD1750" s="16"/>
      <c r="AE1750" s="16"/>
      <c r="AF1750" s="16"/>
      <c r="AG1750" s="16"/>
      <c r="AH1750" s="16"/>
      <c r="AI1750" s="16"/>
      <c r="AJ1750" s="16"/>
      <c r="AK1750" s="16"/>
      <c r="AL1750" s="16"/>
      <c r="AM1750" s="16"/>
      <c r="AN1750" s="16"/>
      <c r="AO1750" s="16"/>
      <c r="AP1750" s="16"/>
      <c r="AQ1750" s="16"/>
      <c r="AR1750" s="16"/>
      <c r="AS1750" s="16"/>
      <c r="AT1750" s="16"/>
      <c r="AU1750" s="16"/>
      <c r="AV1750" s="16"/>
      <c r="AW1750" s="16"/>
      <c r="AX1750" s="16"/>
      <c r="AY1750" s="16"/>
      <c r="AZ1750" s="16"/>
      <c r="BA1750" s="16"/>
      <c r="BB1750" s="16"/>
      <c r="BC1750" s="16"/>
      <c r="BD1750" s="16"/>
      <c r="BE1750" s="16"/>
      <c r="BF1750" s="16"/>
      <c r="BG1750" s="16"/>
      <c r="BH1750" s="16"/>
      <c r="BI1750" s="16"/>
      <c r="BJ1750" s="16"/>
      <c r="BK1750" s="16"/>
      <c r="BL1750" s="16"/>
      <c r="BM1750" s="16"/>
      <c r="BN1750" s="16"/>
      <c r="BO1750" s="16"/>
      <c r="BP1750" s="16"/>
      <c r="BQ1750" s="16"/>
      <c r="BR1750" s="16"/>
      <c r="BS1750" s="16"/>
      <c r="BT1750" s="16"/>
      <c r="BU1750" s="16"/>
      <c r="BV1750" s="16"/>
      <c r="BW1750" s="16"/>
      <c r="BX1750" s="16"/>
      <c r="BY1750" s="16"/>
      <c r="BZ1750" s="16"/>
      <c r="CA1750" s="16"/>
      <c r="CB1750" s="16"/>
      <c r="CC1750" s="16"/>
      <c r="CD1750" s="16"/>
      <c r="CE1750" s="16"/>
      <c r="CF1750" s="16"/>
      <c r="CG1750" s="16"/>
      <c r="CH1750" s="16"/>
      <c r="CI1750" s="16"/>
      <c r="CJ1750" s="16"/>
      <c r="CK1750" s="16"/>
      <c r="CL1750" s="16"/>
      <c r="CM1750" s="16"/>
      <c r="CN1750" s="16"/>
      <c r="CO1750" s="16"/>
      <c r="CP1750" s="16"/>
      <c r="CQ1750" s="16"/>
      <c r="CR1750" s="16"/>
      <c r="CS1750" s="16"/>
      <c r="CT1750" s="16"/>
      <c r="CU1750" s="16"/>
      <c r="CV1750" s="16"/>
      <c r="CW1750" s="16"/>
      <c r="CX1750" s="16"/>
      <c r="CY1750" s="16"/>
      <c r="CZ1750" s="16"/>
      <c r="DA1750" s="16"/>
      <c r="DB1750" s="16"/>
      <c r="DC1750" s="16"/>
      <c r="DD1750" s="16"/>
      <c r="DE1750" s="16"/>
      <c r="DF1750" s="16"/>
    </row>
    <row r="1751" spans="8:110" x14ac:dyDescent="0.3">
      <c r="H1751" s="10">
        <f t="shared" si="207"/>
        <v>0</v>
      </c>
      <c r="K1751" s="3"/>
      <c r="L1751" s="16"/>
      <c r="M1751" s="16"/>
      <c r="N1751" s="16"/>
      <c r="O1751" s="16"/>
      <c r="P1751" s="16"/>
      <c r="Q1751" s="16"/>
      <c r="R1751" s="16"/>
      <c r="S1751" s="16"/>
      <c r="T1751" s="16"/>
      <c r="U1751" s="16"/>
      <c r="V1751" s="16"/>
      <c r="W1751" s="16"/>
      <c r="X1751" s="16"/>
      <c r="Y1751" s="16"/>
      <c r="Z1751" s="16"/>
      <c r="AA1751" s="16"/>
      <c r="AB1751" s="16"/>
      <c r="AC1751" s="16"/>
      <c r="AD1751" s="16"/>
      <c r="AE1751" s="16"/>
      <c r="AF1751" s="16"/>
      <c r="AG1751" s="16"/>
      <c r="AH1751" s="16"/>
      <c r="AI1751" s="16"/>
      <c r="AJ1751" s="16"/>
      <c r="AK1751" s="16"/>
      <c r="AL1751" s="16"/>
      <c r="AM1751" s="16"/>
      <c r="AN1751" s="16"/>
      <c r="AO1751" s="16"/>
      <c r="AP1751" s="16"/>
      <c r="AQ1751" s="16"/>
      <c r="AR1751" s="16"/>
      <c r="AS1751" s="16"/>
      <c r="AT1751" s="16"/>
      <c r="AU1751" s="16"/>
      <c r="AV1751" s="16"/>
      <c r="AW1751" s="16"/>
      <c r="AX1751" s="16"/>
      <c r="AY1751" s="16"/>
      <c r="AZ1751" s="16"/>
      <c r="BA1751" s="16"/>
      <c r="BB1751" s="16"/>
      <c r="BC1751" s="16"/>
      <c r="BD1751" s="16"/>
      <c r="BE1751" s="16"/>
      <c r="BF1751" s="16"/>
      <c r="BG1751" s="16"/>
      <c r="BH1751" s="16"/>
      <c r="BI1751" s="16"/>
      <c r="BJ1751" s="16"/>
      <c r="BK1751" s="16"/>
      <c r="BL1751" s="16"/>
      <c r="BM1751" s="16"/>
      <c r="BN1751" s="16"/>
      <c r="BO1751" s="16"/>
      <c r="BP1751" s="16"/>
      <c r="BQ1751" s="16"/>
      <c r="BR1751" s="16"/>
      <c r="BS1751" s="16"/>
      <c r="BT1751" s="16"/>
      <c r="BU1751" s="16"/>
      <c r="BV1751" s="16"/>
      <c r="BW1751" s="16"/>
      <c r="BX1751" s="16"/>
      <c r="BY1751" s="16"/>
      <c r="BZ1751" s="16"/>
      <c r="CA1751" s="16"/>
      <c r="CB1751" s="16"/>
      <c r="CC1751" s="16"/>
      <c r="CD1751" s="16"/>
      <c r="CE1751" s="16"/>
      <c r="CF1751" s="16"/>
      <c r="CG1751" s="16"/>
      <c r="CH1751" s="16"/>
      <c r="CI1751" s="16"/>
      <c r="CJ1751" s="16"/>
      <c r="CK1751" s="16"/>
      <c r="CL1751" s="16"/>
      <c r="CM1751" s="16"/>
      <c r="CN1751" s="16"/>
      <c r="CO1751" s="16"/>
      <c r="CP1751" s="16"/>
      <c r="CQ1751" s="16"/>
      <c r="CR1751" s="16"/>
      <c r="CS1751" s="16"/>
      <c r="CT1751" s="16"/>
      <c r="CU1751" s="16"/>
      <c r="CV1751" s="16"/>
      <c r="CW1751" s="16"/>
      <c r="CX1751" s="16"/>
      <c r="CY1751" s="16"/>
      <c r="CZ1751" s="16"/>
      <c r="DA1751" s="16"/>
      <c r="DB1751" s="16"/>
      <c r="DC1751" s="16"/>
      <c r="DD1751" s="16"/>
      <c r="DE1751" s="16"/>
      <c r="DF1751" s="16"/>
    </row>
    <row r="1752" spans="8:110" x14ac:dyDescent="0.3">
      <c r="H1752" s="10">
        <f t="shared" si="207"/>
        <v>0</v>
      </c>
      <c r="K1752" s="3"/>
      <c r="L1752" s="16"/>
      <c r="M1752" s="16"/>
      <c r="N1752" s="16"/>
      <c r="O1752" s="16"/>
      <c r="P1752" s="16"/>
      <c r="Q1752" s="16"/>
      <c r="R1752" s="16"/>
      <c r="S1752" s="16"/>
      <c r="T1752" s="16"/>
      <c r="U1752" s="16"/>
      <c r="V1752" s="16"/>
      <c r="W1752" s="16"/>
      <c r="X1752" s="16"/>
      <c r="Y1752" s="16"/>
      <c r="Z1752" s="16"/>
      <c r="AA1752" s="16"/>
      <c r="AB1752" s="16"/>
      <c r="AC1752" s="16"/>
      <c r="AD1752" s="16"/>
      <c r="AE1752" s="16"/>
      <c r="AF1752" s="16"/>
      <c r="AG1752" s="16"/>
      <c r="AH1752" s="16"/>
      <c r="AI1752" s="16"/>
      <c r="AJ1752" s="16"/>
      <c r="AK1752" s="16"/>
      <c r="AL1752" s="16"/>
      <c r="AM1752" s="16"/>
      <c r="AN1752" s="16"/>
      <c r="AO1752" s="16"/>
      <c r="AP1752" s="16"/>
      <c r="AQ1752" s="16"/>
      <c r="AR1752" s="16"/>
      <c r="AS1752" s="16"/>
      <c r="AT1752" s="16"/>
      <c r="AU1752" s="16"/>
      <c r="AV1752" s="16"/>
      <c r="AW1752" s="16"/>
      <c r="AX1752" s="16"/>
      <c r="AY1752" s="16"/>
      <c r="AZ1752" s="16"/>
      <c r="BA1752" s="16"/>
      <c r="BB1752" s="16"/>
      <c r="BC1752" s="16"/>
      <c r="BD1752" s="16"/>
      <c r="BE1752" s="16"/>
      <c r="BF1752" s="16"/>
      <c r="BG1752" s="16"/>
      <c r="BH1752" s="16"/>
      <c r="BI1752" s="16"/>
      <c r="BJ1752" s="16"/>
      <c r="BK1752" s="16"/>
      <c r="BL1752" s="16"/>
      <c r="BM1752" s="16"/>
      <c r="BN1752" s="16"/>
      <c r="BO1752" s="16"/>
      <c r="BP1752" s="16"/>
      <c r="BQ1752" s="16"/>
      <c r="BR1752" s="16"/>
      <c r="BS1752" s="16"/>
      <c r="BT1752" s="16"/>
      <c r="BU1752" s="16"/>
      <c r="BV1752" s="16"/>
      <c r="BW1752" s="16"/>
      <c r="BX1752" s="16"/>
      <c r="BY1752" s="16"/>
      <c r="BZ1752" s="16"/>
      <c r="CA1752" s="16"/>
      <c r="CB1752" s="16"/>
      <c r="CC1752" s="16"/>
      <c r="CD1752" s="16"/>
      <c r="CE1752" s="16"/>
      <c r="CF1752" s="16"/>
      <c r="CG1752" s="16"/>
      <c r="CH1752" s="16"/>
      <c r="CI1752" s="16"/>
      <c r="CJ1752" s="16"/>
      <c r="CK1752" s="16"/>
      <c r="CL1752" s="16"/>
      <c r="CM1752" s="16"/>
      <c r="CN1752" s="16"/>
      <c r="CO1752" s="16"/>
      <c r="CP1752" s="16"/>
      <c r="CQ1752" s="16"/>
      <c r="CR1752" s="16"/>
      <c r="CS1752" s="16"/>
      <c r="CT1752" s="16"/>
      <c r="CU1752" s="16"/>
      <c r="CV1752" s="16"/>
      <c r="CW1752" s="16"/>
      <c r="CX1752" s="16"/>
      <c r="CY1752" s="16"/>
      <c r="CZ1752" s="16"/>
      <c r="DA1752" s="16"/>
      <c r="DB1752" s="16"/>
      <c r="DC1752" s="16"/>
      <c r="DD1752" s="16"/>
      <c r="DE1752" s="16"/>
      <c r="DF1752" s="16"/>
    </row>
    <row r="1753" spans="8:110" x14ac:dyDescent="0.3">
      <c r="H1753" s="10">
        <f t="shared" si="207"/>
        <v>0</v>
      </c>
      <c r="K1753" s="3"/>
      <c r="L1753" s="16"/>
      <c r="M1753" s="16"/>
      <c r="N1753" s="16"/>
      <c r="O1753" s="16"/>
      <c r="P1753" s="16"/>
      <c r="Q1753" s="16"/>
      <c r="R1753" s="16"/>
      <c r="S1753" s="16"/>
      <c r="T1753" s="16"/>
      <c r="U1753" s="16"/>
      <c r="V1753" s="16"/>
      <c r="W1753" s="16"/>
      <c r="X1753" s="16"/>
      <c r="Y1753" s="16"/>
      <c r="Z1753" s="16"/>
      <c r="AA1753" s="16"/>
      <c r="AB1753" s="16"/>
      <c r="AC1753" s="16"/>
      <c r="AD1753" s="16"/>
      <c r="AE1753" s="16"/>
      <c r="AF1753" s="16"/>
      <c r="AG1753" s="16"/>
      <c r="AH1753" s="16"/>
      <c r="AI1753" s="16"/>
      <c r="AJ1753" s="16"/>
      <c r="AK1753" s="16"/>
      <c r="AL1753" s="16"/>
      <c r="AM1753" s="16"/>
      <c r="AN1753" s="16"/>
      <c r="AO1753" s="16"/>
      <c r="AP1753" s="16"/>
      <c r="AQ1753" s="16"/>
      <c r="AR1753" s="16"/>
      <c r="AS1753" s="16"/>
      <c r="AT1753" s="16"/>
      <c r="AU1753" s="16"/>
      <c r="AV1753" s="16"/>
      <c r="AW1753" s="16"/>
      <c r="AX1753" s="16"/>
      <c r="AY1753" s="16"/>
      <c r="AZ1753" s="16"/>
      <c r="BA1753" s="16"/>
      <c r="BB1753" s="16"/>
      <c r="BC1753" s="16"/>
      <c r="BD1753" s="16"/>
      <c r="BE1753" s="16"/>
      <c r="BF1753" s="16"/>
      <c r="BG1753" s="16"/>
      <c r="BH1753" s="16"/>
      <c r="BI1753" s="16"/>
      <c r="BJ1753" s="16"/>
      <c r="BK1753" s="16"/>
      <c r="BL1753" s="16"/>
      <c r="BM1753" s="16"/>
      <c r="BN1753" s="16"/>
      <c r="BO1753" s="16"/>
      <c r="BP1753" s="16"/>
      <c r="BQ1753" s="16"/>
      <c r="BR1753" s="16"/>
      <c r="BS1753" s="16"/>
      <c r="BT1753" s="16"/>
      <c r="BU1753" s="16"/>
      <c r="BV1753" s="16"/>
      <c r="BW1753" s="16"/>
      <c r="BX1753" s="16"/>
      <c r="BY1753" s="16"/>
      <c r="BZ1753" s="16"/>
      <c r="CA1753" s="16"/>
      <c r="CB1753" s="16"/>
      <c r="CC1753" s="16"/>
      <c r="CD1753" s="16"/>
      <c r="CE1753" s="16"/>
      <c r="CF1753" s="16"/>
      <c r="CG1753" s="16"/>
      <c r="CH1753" s="16"/>
      <c r="CI1753" s="16"/>
      <c r="CJ1753" s="16"/>
      <c r="CK1753" s="16"/>
      <c r="CL1753" s="16"/>
      <c r="CM1753" s="16"/>
      <c r="CN1753" s="16"/>
      <c r="CO1753" s="16"/>
      <c r="CP1753" s="16"/>
      <c r="CQ1753" s="16"/>
      <c r="CR1753" s="16"/>
      <c r="CS1753" s="16"/>
      <c r="CT1753" s="16"/>
      <c r="CU1753" s="16"/>
      <c r="CV1753" s="16"/>
      <c r="CW1753" s="16"/>
      <c r="CX1753" s="16"/>
      <c r="CY1753" s="16"/>
      <c r="CZ1753" s="16"/>
      <c r="DA1753" s="16"/>
      <c r="DB1753" s="16"/>
      <c r="DC1753" s="16"/>
      <c r="DD1753" s="16"/>
      <c r="DE1753" s="16"/>
      <c r="DF1753" s="16"/>
    </row>
    <row r="1754" spans="8:110" x14ac:dyDescent="0.3">
      <c r="H1754" s="10">
        <f t="shared" si="207"/>
        <v>0</v>
      </c>
      <c r="K1754" s="3"/>
      <c r="L1754" s="16"/>
      <c r="M1754" s="16"/>
      <c r="N1754" s="16"/>
      <c r="O1754" s="16"/>
      <c r="P1754" s="16"/>
      <c r="Q1754" s="16"/>
      <c r="R1754" s="16"/>
      <c r="S1754" s="16"/>
      <c r="T1754" s="16"/>
      <c r="U1754" s="16"/>
      <c r="V1754" s="16"/>
      <c r="W1754" s="16"/>
      <c r="X1754" s="16"/>
      <c r="Y1754" s="16"/>
      <c r="Z1754" s="16"/>
      <c r="AA1754" s="16"/>
      <c r="AB1754" s="16"/>
      <c r="AC1754" s="16"/>
      <c r="AD1754" s="16"/>
      <c r="AE1754" s="16"/>
      <c r="AF1754" s="16"/>
      <c r="AG1754" s="16"/>
      <c r="AH1754" s="16"/>
      <c r="AI1754" s="16"/>
      <c r="AJ1754" s="16"/>
      <c r="AK1754" s="16"/>
      <c r="AL1754" s="16"/>
      <c r="AM1754" s="16"/>
      <c r="AN1754" s="16"/>
      <c r="AO1754" s="16"/>
      <c r="AP1754" s="16"/>
      <c r="AQ1754" s="16"/>
      <c r="AR1754" s="16"/>
      <c r="AS1754" s="16"/>
      <c r="AT1754" s="16"/>
      <c r="AU1754" s="16"/>
      <c r="AV1754" s="16"/>
      <c r="AW1754" s="16"/>
      <c r="AX1754" s="16"/>
      <c r="AY1754" s="16"/>
      <c r="AZ1754" s="16"/>
      <c r="BA1754" s="16"/>
      <c r="BB1754" s="16"/>
      <c r="BC1754" s="16"/>
      <c r="BD1754" s="16"/>
      <c r="BE1754" s="16"/>
      <c r="BF1754" s="16"/>
      <c r="BG1754" s="16"/>
      <c r="BH1754" s="16"/>
      <c r="BI1754" s="16"/>
      <c r="BJ1754" s="16"/>
      <c r="BK1754" s="16"/>
      <c r="BL1754" s="16"/>
      <c r="BM1754" s="16"/>
      <c r="BN1754" s="16"/>
      <c r="BO1754" s="16"/>
      <c r="BP1754" s="16"/>
      <c r="BQ1754" s="16"/>
      <c r="BR1754" s="16"/>
      <c r="BS1754" s="16"/>
      <c r="BT1754" s="16"/>
      <c r="BU1754" s="16"/>
      <c r="BV1754" s="16"/>
      <c r="BW1754" s="16"/>
      <c r="BX1754" s="16"/>
      <c r="BY1754" s="16"/>
      <c r="BZ1754" s="16"/>
      <c r="CA1754" s="16"/>
      <c r="CB1754" s="16"/>
      <c r="CC1754" s="16"/>
      <c r="CD1754" s="16"/>
      <c r="CE1754" s="16"/>
      <c r="CF1754" s="16"/>
      <c r="CG1754" s="16"/>
      <c r="CH1754" s="16"/>
      <c r="CI1754" s="16"/>
      <c r="CJ1754" s="16"/>
      <c r="CK1754" s="16"/>
      <c r="CL1754" s="16"/>
      <c r="CM1754" s="16"/>
      <c r="CN1754" s="16"/>
      <c r="CO1754" s="16"/>
      <c r="CP1754" s="16"/>
      <c r="CQ1754" s="16"/>
      <c r="CR1754" s="16"/>
      <c r="CS1754" s="16"/>
      <c r="CT1754" s="16"/>
      <c r="CU1754" s="16"/>
      <c r="CV1754" s="16"/>
      <c r="CW1754" s="16"/>
      <c r="CX1754" s="16"/>
      <c r="CY1754" s="16"/>
      <c r="CZ1754" s="16"/>
      <c r="DA1754" s="16"/>
      <c r="DB1754" s="16"/>
      <c r="DC1754" s="16"/>
      <c r="DD1754" s="16"/>
      <c r="DE1754" s="16"/>
      <c r="DF1754" s="16"/>
    </row>
    <row r="1755" spans="8:110" x14ac:dyDescent="0.3">
      <c r="H1755" s="10">
        <f t="shared" si="207"/>
        <v>0</v>
      </c>
      <c r="K1755" s="3"/>
      <c r="L1755" s="16"/>
      <c r="M1755" s="16"/>
      <c r="N1755" s="16"/>
      <c r="O1755" s="16"/>
      <c r="P1755" s="16"/>
      <c r="Q1755" s="16"/>
      <c r="R1755" s="16"/>
      <c r="S1755" s="16"/>
      <c r="T1755" s="16"/>
      <c r="U1755" s="16"/>
      <c r="V1755" s="16"/>
      <c r="W1755" s="16"/>
      <c r="X1755" s="16"/>
      <c r="Y1755" s="16"/>
      <c r="Z1755" s="16"/>
      <c r="AA1755" s="16"/>
      <c r="AB1755" s="16"/>
      <c r="AC1755" s="16"/>
      <c r="AD1755" s="16"/>
      <c r="AE1755" s="16"/>
      <c r="AF1755" s="16"/>
      <c r="AG1755" s="16"/>
      <c r="AH1755" s="16"/>
      <c r="AI1755" s="16"/>
      <c r="AJ1755" s="16"/>
      <c r="AK1755" s="16"/>
      <c r="AL1755" s="16"/>
      <c r="AM1755" s="16"/>
      <c r="AN1755" s="16"/>
      <c r="AO1755" s="16"/>
      <c r="AP1755" s="16"/>
      <c r="AQ1755" s="16"/>
      <c r="AR1755" s="16"/>
      <c r="AS1755" s="16"/>
      <c r="AT1755" s="16"/>
      <c r="AU1755" s="16"/>
      <c r="AV1755" s="16"/>
      <c r="AW1755" s="16"/>
      <c r="AX1755" s="16"/>
      <c r="AY1755" s="16"/>
      <c r="AZ1755" s="16"/>
      <c r="BA1755" s="16"/>
      <c r="BB1755" s="16"/>
      <c r="BC1755" s="16"/>
      <c r="BD1755" s="16"/>
      <c r="BE1755" s="16"/>
      <c r="BF1755" s="16"/>
      <c r="BG1755" s="16"/>
      <c r="BH1755" s="16"/>
      <c r="BI1755" s="16"/>
      <c r="BJ1755" s="16"/>
      <c r="BK1755" s="16"/>
      <c r="BL1755" s="16"/>
      <c r="BM1755" s="16"/>
      <c r="BN1755" s="16"/>
      <c r="BO1755" s="16"/>
      <c r="BP1755" s="16"/>
      <c r="BQ1755" s="16"/>
      <c r="BR1755" s="16"/>
      <c r="BS1755" s="16"/>
      <c r="BT1755" s="16"/>
      <c r="BU1755" s="16"/>
      <c r="BV1755" s="16"/>
      <c r="BW1755" s="16"/>
      <c r="BX1755" s="16"/>
      <c r="BY1755" s="16"/>
      <c r="BZ1755" s="16"/>
      <c r="CA1755" s="16"/>
      <c r="CB1755" s="16"/>
      <c r="CC1755" s="16"/>
      <c r="CD1755" s="16"/>
      <c r="CE1755" s="16"/>
      <c r="CF1755" s="16"/>
      <c r="CG1755" s="16"/>
      <c r="CH1755" s="16"/>
      <c r="CI1755" s="16"/>
      <c r="CJ1755" s="16"/>
      <c r="CK1755" s="16"/>
      <c r="CL1755" s="16"/>
      <c r="CM1755" s="16"/>
      <c r="CN1755" s="16"/>
      <c r="CO1755" s="16"/>
      <c r="CP1755" s="16"/>
      <c r="CQ1755" s="16"/>
      <c r="CR1755" s="16"/>
      <c r="CS1755" s="16"/>
      <c r="CT1755" s="16"/>
      <c r="CU1755" s="16"/>
      <c r="CV1755" s="16"/>
      <c r="CW1755" s="16"/>
      <c r="CX1755" s="16"/>
      <c r="CY1755" s="16"/>
      <c r="CZ1755" s="16"/>
      <c r="DA1755" s="16"/>
      <c r="DB1755" s="16"/>
      <c r="DC1755" s="16"/>
      <c r="DD1755" s="16"/>
      <c r="DE1755" s="16"/>
      <c r="DF1755" s="16"/>
    </row>
    <row r="1756" spans="8:110" x14ac:dyDescent="0.3">
      <c r="H1756" s="10">
        <f t="shared" si="207"/>
        <v>0</v>
      </c>
      <c r="K1756" s="3"/>
      <c r="L1756" s="16"/>
      <c r="M1756" s="16"/>
      <c r="N1756" s="16"/>
      <c r="O1756" s="16"/>
      <c r="P1756" s="16"/>
      <c r="Q1756" s="16"/>
      <c r="R1756" s="16"/>
      <c r="S1756" s="16"/>
      <c r="T1756" s="16"/>
      <c r="U1756" s="16"/>
      <c r="V1756" s="16"/>
      <c r="W1756" s="16"/>
      <c r="X1756" s="16"/>
      <c r="Y1756" s="16"/>
      <c r="Z1756" s="16"/>
      <c r="AA1756" s="16"/>
      <c r="AB1756" s="16"/>
      <c r="AC1756" s="16"/>
      <c r="AD1756" s="16"/>
      <c r="AE1756" s="16"/>
      <c r="AF1756" s="16"/>
      <c r="AG1756" s="16"/>
      <c r="AH1756" s="16"/>
      <c r="AI1756" s="16"/>
      <c r="AJ1756" s="16"/>
      <c r="AK1756" s="16"/>
      <c r="AL1756" s="16"/>
      <c r="AM1756" s="16"/>
      <c r="AN1756" s="16"/>
      <c r="AO1756" s="16"/>
      <c r="AP1756" s="16"/>
      <c r="AQ1756" s="16"/>
      <c r="AR1756" s="16"/>
      <c r="AS1756" s="16"/>
      <c r="AT1756" s="16"/>
      <c r="AU1756" s="16"/>
      <c r="AV1756" s="16"/>
      <c r="AW1756" s="16"/>
      <c r="AX1756" s="16"/>
      <c r="AY1756" s="16"/>
      <c r="AZ1756" s="16"/>
      <c r="BA1756" s="16"/>
      <c r="BB1756" s="16"/>
      <c r="BC1756" s="16"/>
      <c r="BD1756" s="16"/>
      <c r="BE1756" s="16"/>
      <c r="BF1756" s="16"/>
      <c r="BG1756" s="16"/>
      <c r="BH1756" s="16"/>
      <c r="BI1756" s="16"/>
      <c r="BJ1756" s="16"/>
      <c r="BK1756" s="16"/>
      <c r="BL1756" s="16"/>
      <c r="BM1756" s="16"/>
      <c r="BN1756" s="16"/>
      <c r="BO1756" s="16"/>
      <c r="BP1756" s="16"/>
      <c r="BQ1756" s="16"/>
      <c r="BR1756" s="16"/>
      <c r="BS1756" s="16"/>
      <c r="BT1756" s="16"/>
      <c r="BU1756" s="16"/>
      <c r="BV1756" s="16"/>
      <c r="BW1756" s="16"/>
      <c r="BX1756" s="16"/>
      <c r="BY1756" s="16"/>
      <c r="BZ1756" s="16"/>
      <c r="CA1756" s="16"/>
      <c r="CB1756" s="16"/>
      <c r="CC1756" s="16"/>
      <c r="CD1756" s="16"/>
      <c r="CE1756" s="16"/>
      <c r="CF1756" s="16"/>
      <c r="CG1756" s="16"/>
      <c r="CH1756" s="16"/>
      <c r="CI1756" s="16"/>
      <c r="CJ1756" s="16"/>
      <c r="CK1756" s="16"/>
      <c r="CL1756" s="16"/>
      <c r="CM1756" s="16"/>
      <c r="CN1756" s="16"/>
      <c r="CO1756" s="16"/>
      <c r="CP1756" s="16"/>
      <c r="CQ1756" s="16"/>
      <c r="CR1756" s="16"/>
      <c r="CS1756" s="16"/>
      <c r="CT1756" s="16"/>
      <c r="CU1756" s="16"/>
      <c r="CV1756" s="16"/>
      <c r="CW1756" s="16"/>
      <c r="CX1756" s="16"/>
      <c r="CY1756" s="16"/>
      <c r="CZ1756" s="16"/>
      <c r="DA1756" s="16"/>
      <c r="DB1756" s="16"/>
      <c r="DC1756" s="16"/>
      <c r="DD1756" s="16"/>
      <c r="DE1756" s="16"/>
      <c r="DF1756" s="16"/>
    </row>
    <row r="1757" spans="8:110" x14ac:dyDescent="0.3">
      <c r="H1757" s="10">
        <f t="shared" si="207"/>
        <v>0</v>
      </c>
      <c r="K1757" s="3"/>
      <c r="L1757" s="16"/>
      <c r="M1757" s="16"/>
      <c r="N1757" s="16"/>
      <c r="O1757" s="16"/>
      <c r="P1757" s="16"/>
      <c r="Q1757" s="16"/>
      <c r="R1757" s="16"/>
      <c r="S1757" s="16"/>
      <c r="T1757" s="16"/>
      <c r="U1757" s="16"/>
      <c r="V1757" s="16"/>
      <c r="W1757" s="16"/>
      <c r="X1757" s="16"/>
      <c r="Y1757" s="16"/>
      <c r="Z1757" s="16"/>
      <c r="AA1757" s="16"/>
      <c r="AB1757" s="16"/>
      <c r="AC1757" s="16"/>
      <c r="AD1757" s="16"/>
      <c r="AE1757" s="16"/>
      <c r="AF1757" s="16"/>
      <c r="AG1757" s="16"/>
      <c r="AH1757" s="16"/>
      <c r="AI1757" s="16"/>
      <c r="AJ1757" s="16"/>
      <c r="AK1757" s="16"/>
      <c r="AL1757" s="16"/>
      <c r="AM1757" s="16"/>
      <c r="AN1757" s="16"/>
      <c r="AO1757" s="16"/>
      <c r="AP1757" s="16"/>
      <c r="AQ1757" s="16"/>
      <c r="AR1757" s="16"/>
      <c r="AS1757" s="16"/>
      <c r="AT1757" s="16"/>
      <c r="AU1757" s="16"/>
      <c r="AV1757" s="16"/>
      <c r="AW1757" s="16"/>
      <c r="AX1757" s="16"/>
      <c r="AY1757" s="16"/>
      <c r="AZ1757" s="16"/>
      <c r="BA1757" s="16"/>
      <c r="BB1757" s="16"/>
      <c r="BC1757" s="16"/>
      <c r="BD1757" s="16"/>
      <c r="BE1757" s="16"/>
      <c r="BF1757" s="16"/>
      <c r="BG1757" s="16"/>
      <c r="BH1757" s="16"/>
      <c r="BI1757" s="16"/>
      <c r="BJ1757" s="16"/>
      <c r="BK1757" s="16"/>
      <c r="BL1757" s="16"/>
      <c r="BM1757" s="16"/>
      <c r="BN1757" s="16"/>
      <c r="BO1757" s="16"/>
      <c r="BP1757" s="16"/>
      <c r="BQ1757" s="16"/>
      <c r="BR1757" s="16"/>
      <c r="BS1757" s="16"/>
      <c r="BT1757" s="16"/>
      <c r="BU1757" s="16"/>
      <c r="BV1757" s="16"/>
      <c r="BW1757" s="16"/>
      <c r="BX1757" s="16"/>
      <c r="BY1757" s="16"/>
      <c r="BZ1757" s="16"/>
      <c r="CA1757" s="16"/>
      <c r="CB1757" s="16"/>
      <c r="CC1757" s="16"/>
      <c r="CD1757" s="16"/>
      <c r="CE1757" s="16"/>
      <c r="CF1757" s="16"/>
      <c r="CG1757" s="16"/>
      <c r="CH1757" s="16"/>
      <c r="CI1757" s="16"/>
      <c r="CJ1757" s="16"/>
      <c r="CK1757" s="16"/>
      <c r="CL1757" s="16"/>
      <c r="CM1757" s="16"/>
      <c r="CN1757" s="16"/>
      <c r="CO1757" s="16"/>
      <c r="CP1757" s="16"/>
      <c r="CQ1757" s="16"/>
      <c r="CR1757" s="16"/>
      <c r="CS1757" s="16"/>
      <c r="CT1757" s="16"/>
      <c r="CU1757" s="16"/>
      <c r="CV1757" s="16"/>
      <c r="CW1757" s="16"/>
      <c r="CX1757" s="16"/>
      <c r="CY1757" s="16"/>
      <c r="CZ1757" s="16"/>
      <c r="DA1757" s="16"/>
      <c r="DB1757" s="16"/>
      <c r="DC1757" s="16"/>
      <c r="DD1757" s="16"/>
      <c r="DE1757" s="16"/>
      <c r="DF1757" s="16"/>
    </row>
    <row r="1758" spans="8:110" x14ac:dyDescent="0.3">
      <c r="H1758" s="10">
        <f t="shared" si="207"/>
        <v>0</v>
      </c>
      <c r="K1758" s="3"/>
      <c r="L1758" s="16"/>
      <c r="M1758" s="16"/>
      <c r="N1758" s="16"/>
      <c r="O1758" s="16"/>
      <c r="P1758" s="16"/>
      <c r="Q1758" s="16"/>
      <c r="R1758" s="16"/>
      <c r="S1758" s="16"/>
      <c r="T1758" s="16"/>
      <c r="U1758" s="16"/>
      <c r="V1758" s="16"/>
      <c r="W1758" s="16"/>
      <c r="X1758" s="16"/>
      <c r="Y1758" s="16"/>
      <c r="Z1758" s="16"/>
      <c r="AA1758" s="16"/>
      <c r="AB1758" s="16"/>
      <c r="AC1758" s="16"/>
      <c r="AD1758" s="16"/>
      <c r="AE1758" s="16"/>
      <c r="AF1758" s="16"/>
      <c r="AG1758" s="16"/>
      <c r="AH1758" s="16"/>
      <c r="AI1758" s="16"/>
      <c r="AJ1758" s="16"/>
      <c r="AK1758" s="16"/>
      <c r="AL1758" s="16"/>
      <c r="AM1758" s="16"/>
      <c r="AN1758" s="16"/>
      <c r="AO1758" s="16"/>
      <c r="AP1758" s="16"/>
      <c r="AQ1758" s="16"/>
      <c r="AR1758" s="16"/>
      <c r="AS1758" s="16"/>
      <c r="AT1758" s="16"/>
      <c r="AU1758" s="16"/>
      <c r="AV1758" s="16"/>
      <c r="AW1758" s="16"/>
      <c r="AX1758" s="16"/>
      <c r="AY1758" s="16"/>
      <c r="AZ1758" s="16"/>
      <c r="BA1758" s="16"/>
      <c r="BB1758" s="16"/>
      <c r="BC1758" s="16"/>
      <c r="BD1758" s="16"/>
      <c r="BE1758" s="16"/>
      <c r="BF1758" s="16"/>
      <c r="BG1758" s="16"/>
      <c r="BH1758" s="16"/>
      <c r="BI1758" s="16"/>
      <c r="BJ1758" s="16"/>
      <c r="BK1758" s="16"/>
      <c r="BL1758" s="16"/>
      <c r="BM1758" s="16"/>
      <c r="BN1758" s="16"/>
      <c r="BO1758" s="16"/>
      <c r="BP1758" s="16"/>
      <c r="BQ1758" s="16"/>
      <c r="BR1758" s="16"/>
      <c r="BS1758" s="16"/>
      <c r="BT1758" s="16"/>
      <c r="BU1758" s="16"/>
      <c r="BV1758" s="16"/>
      <c r="BW1758" s="16"/>
      <c r="BX1758" s="16"/>
      <c r="BY1758" s="16"/>
      <c r="BZ1758" s="16"/>
      <c r="CA1758" s="16"/>
      <c r="CB1758" s="16"/>
      <c r="CC1758" s="16"/>
      <c r="CD1758" s="16"/>
      <c r="CE1758" s="16"/>
      <c r="CF1758" s="16"/>
      <c r="CG1758" s="16"/>
      <c r="CH1758" s="16"/>
      <c r="CI1758" s="16"/>
      <c r="CJ1758" s="16"/>
      <c r="CK1758" s="16"/>
      <c r="CL1758" s="16"/>
      <c r="CM1758" s="16"/>
      <c r="CN1758" s="16"/>
      <c r="CO1758" s="16"/>
      <c r="CP1758" s="16"/>
      <c r="CQ1758" s="16"/>
      <c r="CR1758" s="16"/>
      <c r="CS1758" s="16"/>
      <c r="CT1758" s="16"/>
      <c r="CU1758" s="16"/>
      <c r="CV1758" s="16"/>
      <c r="CW1758" s="16"/>
      <c r="CX1758" s="16"/>
      <c r="CY1758" s="16"/>
      <c r="CZ1758" s="16"/>
      <c r="DA1758" s="16"/>
      <c r="DB1758" s="16"/>
      <c r="DC1758" s="16"/>
      <c r="DD1758" s="16"/>
      <c r="DE1758" s="16"/>
      <c r="DF1758" s="16"/>
    </row>
    <row r="1759" spans="8:110" x14ac:dyDescent="0.3">
      <c r="H1759" s="10">
        <f t="shared" si="207"/>
        <v>0</v>
      </c>
      <c r="K1759" s="3"/>
      <c r="L1759" s="16"/>
      <c r="M1759" s="16"/>
      <c r="N1759" s="16"/>
      <c r="O1759" s="16"/>
      <c r="P1759" s="16"/>
      <c r="Q1759" s="16"/>
      <c r="R1759" s="16"/>
      <c r="S1759" s="16"/>
      <c r="T1759" s="16"/>
      <c r="U1759" s="16"/>
      <c r="V1759" s="16"/>
      <c r="W1759" s="16"/>
      <c r="X1759" s="16"/>
      <c r="Y1759" s="16"/>
      <c r="Z1759" s="16"/>
      <c r="AA1759" s="16"/>
      <c r="AB1759" s="16"/>
      <c r="AC1759" s="16"/>
      <c r="AD1759" s="16"/>
      <c r="AE1759" s="16"/>
      <c r="AF1759" s="16"/>
      <c r="AG1759" s="16"/>
      <c r="AH1759" s="16"/>
      <c r="AI1759" s="16"/>
      <c r="AJ1759" s="16"/>
      <c r="AK1759" s="16"/>
      <c r="AL1759" s="16"/>
      <c r="AM1759" s="16"/>
      <c r="AN1759" s="16"/>
      <c r="AO1759" s="16"/>
      <c r="AP1759" s="16"/>
      <c r="AQ1759" s="16"/>
      <c r="AR1759" s="16"/>
      <c r="AS1759" s="16"/>
      <c r="AT1759" s="16"/>
      <c r="AU1759" s="16"/>
      <c r="AV1759" s="16"/>
      <c r="AW1759" s="16"/>
      <c r="AX1759" s="16"/>
      <c r="AY1759" s="16"/>
      <c r="AZ1759" s="16"/>
      <c r="BA1759" s="16"/>
      <c r="BB1759" s="16"/>
      <c r="BC1759" s="16"/>
      <c r="BD1759" s="16"/>
      <c r="BE1759" s="16"/>
      <c r="BF1759" s="16"/>
      <c r="BG1759" s="16"/>
      <c r="BH1759" s="16"/>
      <c r="BI1759" s="16"/>
      <c r="BJ1759" s="16"/>
      <c r="BK1759" s="16"/>
      <c r="BL1759" s="16"/>
      <c r="BM1759" s="16"/>
      <c r="BN1759" s="16"/>
      <c r="BO1759" s="16"/>
      <c r="BP1759" s="16"/>
      <c r="BQ1759" s="16"/>
      <c r="BR1759" s="16"/>
      <c r="BS1759" s="16"/>
      <c r="BT1759" s="16"/>
      <c r="BU1759" s="16"/>
      <c r="BV1759" s="16"/>
      <c r="BW1759" s="16"/>
      <c r="BX1759" s="16"/>
      <c r="BY1759" s="16"/>
      <c r="BZ1759" s="16"/>
      <c r="CA1759" s="16"/>
      <c r="CB1759" s="16"/>
      <c r="CC1759" s="16"/>
      <c r="CD1759" s="16"/>
      <c r="CE1759" s="16"/>
      <c r="CF1759" s="16"/>
      <c r="CG1759" s="16"/>
      <c r="CH1759" s="16"/>
      <c r="CI1759" s="16"/>
      <c r="CJ1759" s="16"/>
      <c r="CK1759" s="16"/>
      <c r="CL1759" s="16"/>
      <c r="CM1759" s="16"/>
      <c r="CN1759" s="16"/>
      <c r="CO1759" s="16"/>
      <c r="CP1759" s="16"/>
      <c r="CQ1759" s="16"/>
      <c r="CR1759" s="16"/>
      <c r="CS1759" s="16"/>
      <c r="CT1759" s="16"/>
      <c r="CU1759" s="16"/>
      <c r="CV1759" s="16"/>
      <c r="CW1759" s="16"/>
      <c r="CX1759" s="16"/>
      <c r="CY1759" s="16"/>
      <c r="CZ1759" s="16"/>
      <c r="DA1759" s="16"/>
      <c r="DB1759" s="16"/>
      <c r="DC1759" s="16"/>
      <c r="DD1759" s="16"/>
      <c r="DE1759" s="16"/>
      <c r="DF1759" s="16"/>
    </row>
    <row r="1760" spans="8:110" x14ac:dyDescent="0.3">
      <c r="H1760" s="10">
        <f t="shared" si="207"/>
        <v>0</v>
      </c>
      <c r="K1760" s="3"/>
      <c r="L1760" s="16"/>
      <c r="M1760" s="16"/>
      <c r="N1760" s="16"/>
      <c r="O1760" s="16"/>
      <c r="P1760" s="16"/>
      <c r="Q1760" s="16"/>
      <c r="R1760" s="16"/>
      <c r="S1760" s="16"/>
      <c r="T1760" s="16"/>
      <c r="U1760" s="16"/>
      <c r="V1760" s="16"/>
      <c r="W1760" s="16"/>
      <c r="X1760" s="16"/>
      <c r="Y1760" s="16"/>
      <c r="Z1760" s="16"/>
      <c r="AA1760" s="16"/>
      <c r="AB1760" s="16"/>
      <c r="AC1760" s="16"/>
      <c r="AD1760" s="16"/>
      <c r="AE1760" s="16"/>
      <c r="AF1760" s="16"/>
      <c r="AG1760" s="16"/>
      <c r="AH1760" s="16"/>
      <c r="AI1760" s="16"/>
      <c r="AJ1760" s="16"/>
      <c r="AK1760" s="16"/>
      <c r="AL1760" s="16"/>
      <c r="AM1760" s="16"/>
      <c r="AN1760" s="16"/>
      <c r="AO1760" s="16"/>
      <c r="AP1760" s="16"/>
      <c r="AQ1760" s="16"/>
      <c r="AR1760" s="16"/>
      <c r="AS1760" s="16"/>
      <c r="AT1760" s="16"/>
      <c r="AU1760" s="16"/>
      <c r="AV1760" s="16"/>
      <c r="AW1760" s="16"/>
      <c r="AX1760" s="16"/>
      <c r="AY1760" s="16"/>
      <c r="AZ1760" s="16"/>
      <c r="BA1760" s="16"/>
      <c r="BB1760" s="16"/>
      <c r="BC1760" s="16"/>
      <c r="BD1760" s="16"/>
      <c r="BE1760" s="16"/>
      <c r="BF1760" s="16"/>
      <c r="BG1760" s="16"/>
      <c r="BH1760" s="16"/>
      <c r="BI1760" s="16"/>
      <c r="BJ1760" s="16"/>
      <c r="BK1760" s="16"/>
      <c r="BL1760" s="16"/>
      <c r="BM1760" s="16"/>
      <c r="BN1760" s="16"/>
      <c r="BO1760" s="16"/>
      <c r="BP1760" s="16"/>
      <c r="BQ1760" s="16"/>
      <c r="BR1760" s="16"/>
      <c r="BS1760" s="16"/>
      <c r="BT1760" s="16"/>
      <c r="BU1760" s="16"/>
      <c r="BV1760" s="16"/>
      <c r="BW1760" s="16"/>
      <c r="BX1760" s="16"/>
      <c r="BY1760" s="16"/>
      <c r="BZ1760" s="16"/>
      <c r="CA1760" s="16"/>
      <c r="CB1760" s="16"/>
      <c r="CC1760" s="16"/>
      <c r="CD1760" s="16"/>
      <c r="CE1760" s="16"/>
      <c r="CF1760" s="16"/>
      <c r="CG1760" s="16"/>
      <c r="CH1760" s="16"/>
      <c r="CI1760" s="16"/>
      <c r="CJ1760" s="16"/>
      <c r="CK1760" s="16"/>
      <c r="CL1760" s="16"/>
      <c r="CM1760" s="16"/>
      <c r="CN1760" s="16"/>
      <c r="CO1760" s="16"/>
      <c r="CP1760" s="16"/>
      <c r="CQ1760" s="16"/>
      <c r="CR1760" s="16"/>
      <c r="CS1760" s="16"/>
      <c r="CT1760" s="16"/>
      <c r="CU1760" s="16"/>
      <c r="CV1760" s="16"/>
      <c r="CW1760" s="16"/>
      <c r="CX1760" s="16"/>
      <c r="CY1760" s="16"/>
      <c r="CZ1760" s="16"/>
      <c r="DA1760" s="16"/>
      <c r="DB1760" s="16"/>
      <c r="DC1760" s="16"/>
      <c r="DD1760" s="16"/>
      <c r="DE1760" s="16"/>
      <c r="DF1760" s="16"/>
    </row>
    <row r="1761" spans="8:110" x14ac:dyDescent="0.3">
      <c r="H1761" s="10">
        <f t="shared" si="207"/>
        <v>0</v>
      </c>
      <c r="K1761" s="3"/>
      <c r="L1761" s="16"/>
      <c r="M1761" s="16"/>
      <c r="N1761" s="16"/>
      <c r="O1761" s="16"/>
      <c r="P1761" s="16"/>
      <c r="Q1761" s="16"/>
      <c r="R1761" s="16"/>
      <c r="S1761" s="16"/>
      <c r="T1761" s="16"/>
      <c r="U1761" s="16"/>
      <c r="V1761" s="16"/>
      <c r="W1761" s="16"/>
      <c r="X1761" s="16"/>
      <c r="Y1761" s="16"/>
      <c r="Z1761" s="16"/>
      <c r="AA1761" s="16"/>
      <c r="AB1761" s="16"/>
      <c r="AC1761" s="16"/>
      <c r="AD1761" s="16"/>
      <c r="AE1761" s="16"/>
      <c r="AF1761" s="16"/>
      <c r="AG1761" s="16"/>
      <c r="AH1761" s="16"/>
      <c r="AI1761" s="16"/>
      <c r="AJ1761" s="16"/>
      <c r="AK1761" s="16"/>
      <c r="AL1761" s="16"/>
      <c r="AM1761" s="16"/>
      <c r="AN1761" s="16"/>
      <c r="AO1761" s="16"/>
      <c r="AP1761" s="16"/>
      <c r="AQ1761" s="16"/>
      <c r="AR1761" s="16"/>
      <c r="AS1761" s="16"/>
      <c r="AT1761" s="16"/>
      <c r="AU1761" s="16"/>
      <c r="AV1761" s="16"/>
      <c r="AW1761" s="16"/>
      <c r="AX1761" s="16"/>
      <c r="AY1761" s="16"/>
      <c r="AZ1761" s="16"/>
      <c r="BA1761" s="16"/>
      <c r="BB1761" s="16"/>
      <c r="BC1761" s="16"/>
      <c r="BD1761" s="16"/>
      <c r="BE1761" s="16"/>
      <c r="BF1761" s="16"/>
      <c r="BG1761" s="16"/>
      <c r="BH1761" s="16"/>
      <c r="BI1761" s="16"/>
      <c r="BJ1761" s="16"/>
      <c r="BK1761" s="16"/>
      <c r="BL1761" s="16"/>
      <c r="BM1761" s="16"/>
      <c r="BN1761" s="16"/>
      <c r="BO1761" s="16"/>
      <c r="BP1761" s="16"/>
      <c r="BQ1761" s="16"/>
      <c r="BR1761" s="16"/>
      <c r="BS1761" s="16"/>
      <c r="BT1761" s="16"/>
      <c r="BU1761" s="16"/>
      <c r="BV1761" s="16"/>
      <c r="BW1761" s="16"/>
      <c r="BX1761" s="16"/>
      <c r="BY1761" s="16"/>
      <c r="BZ1761" s="16"/>
      <c r="CA1761" s="16"/>
      <c r="CB1761" s="16"/>
      <c r="CC1761" s="16"/>
      <c r="CD1761" s="16"/>
      <c r="CE1761" s="16"/>
      <c r="CF1761" s="16"/>
      <c r="CG1761" s="16"/>
      <c r="CH1761" s="16"/>
      <c r="CI1761" s="16"/>
      <c r="CJ1761" s="16"/>
      <c r="CK1761" s="16"/>
      <c r="CL1761" s="16"/>
      <c r="CM1761" s="16"/>
      <c r="CN1761" s="16"/>
      <c r="CO1761" s="16"/>
      <c r="CP1761" s="16"/>
      <c r="CQ1761" s="16"/>
      <c r="CR1761" s="16"/>
      <c r="CS1761" s="16"/>
      <c r="CT1761" s="16"/>
      <c r="CU1761" s="16"/>
      <c r="CV1761" s="16"/>
      <c r="CW1761" s="16"/>
      <c r="CX1761" s="16"/>
      <c r="CY1761" s="16"/>
      <c r="CZ1761" s="16"/>
      <c r="DA1761" s="16"/>
      <c r="DB1761" s="16"/>
      <c r="DC1761" s="16"/>
      <c r="DD1761" s="16"/>
      <c r="DE1761" s="16"/>
      <c r="DF1761" s="16"/>
    </row>
    <row r="1762" spans="8:110" x14ac:dyDescent="0.3">
      <c r="H1762" s="10">
        <f t="shared" si="207"/>
        <v>0</v>
      </c>
    </row>
    <row r="1763" spans="8:110" x14ac:dyDescent="0.3">
      <c r="H1763" s="10">
        <f t="shared" si="207"/>
        <v>0</v>
      </c>
    </row>
    <row r="1764" spans="8:110" x14ac:dyDescent="0.3">
      <c r="H1764" s="10">
        <f t="shared" si="207"/>
        <v>0</v>
      </c>
    </row>
    <row r="1765" spans="8:110" x14ac:dyDescent="0.3">
      <c r="H1765" s="10">
        <f t="shared" si="207"/>
        <v>0</v>
      </c>
    </row>
    <row r="1766" spans="8:110" x14ac:dyDescent="0.3">
      <c r="H1766" s="10">
        <f t="shared" si="207"/>
        <v>0</v>
      </c>
    </row>
    <row r="1767" spans="8:110" x14ac:dyDescent="0.3">
      <c r="H1767" s="10">
        <f t="shared" si="207"/>
        <v>0</v>
      </c>
    </row>
    <row r="1768" spans="8:110" x14ac:dyDescent="0.3">
      <c r="H1768" s="10">
        <f t="shared" si="207"/>
        <v>0</v>
      </c>
    </row>
    <row r="1769" spans="8:110" x14ac:dyDescent="0.3">
      <c r="H1769" s="10">
        <f t="shared" si="207"/>
        <v>0</v>
      </c>
    </row>
    <row r="1770" spans="8:110" x14ac:dyDescent="0.3">
      <c r="H1770" s="10">
        <f t="shared" si="207"/>
        <v>0</v>
      </c>
    </row>
    <row r="1771" spans="8:110" x14ac:dyDescent="0.3">
      <c r="H1771" s="10">
        <f t="shared" si="207"/>
        <v>0</v>
      </c>
    </row>
    <row r="1772" spans="8:110" x14ac:dyDescent="0.3">
      <c r="H1772" s="10">
        <f t="shared" si="207"/>
        <v>0</v>
      </c>
    </row>
    <row r="1773" spans="8:110" x14ac:dyDescent="0.3">
      <c r="H1773" s="10">
        <f t="shared" si="207"/>
        <v>0</v>
      </c>
    </row>
    <row r="1774" spans="8:110" x14ac:dyDescent="0.3">
      <c r="H1774" s="10">
        <f t="shared" si="207"/>
        <v>0</v>
      </c>
    </row>
    <row r="1775" spans="8:110" x14ac:dyDescent="0.3">
      <c r="H1775" s="10">
        <f t="shared" si="207"/>
        <v>0</v>
      </c>
    </row>
    <row r="1776" spans="8:110" x14ac:dyDescent="0.3">
      <c r="H1776" s="10">
        <f t="shared" si="207"/>
        <v>0</v>
      </c>
    </row>
    <row r="1777" spans="8:8" x14ac:dyDescent="0.3">
      <c r="H1777" s="10">
        <f t="shared" si="207"/>
        <v>0</v>
      </c>
    </row>
    <row r="1778" spans="8:8" x14ac:dyDescent="0.3">
      <c r="H1778" s="10">
        <f t="shared" si="207"/>
        <v>0</v>
      </c>
    </row>
    <row r="1779" spans="8:8" x14ac:dyDescent="0.3">
      <c r="H1779" s="10">
        <f t="shared" si="207"/>
        <v>0</v>
      </c>
    </row>
    <row r="1780" spans="8:8" x14ac:dyDescent="0.3">
      <c r="H1780" s="10">
        <f t="shared" si="207"/>
        <v>0</v>
      </c>
    </row>
    <row r="1781" spans="8:8" x14ac:dyDescent="0.3">
      <c r="H1781" s="10">
        <f t="shared" si="207"/>
        <v>0</v>
      </c>
    </row>
    <row r="1782" spans="8:8" x14ac:dyDescent="0.3">
      <c r="H1782" s="10">
        <f t="shared" si="207"/>
        <v>0</v>
      </c>
    </row>
    <row r="1783" spans="8:8" x14ac:dyDescent="0.3">
      <c r="H1783" s="10">
        <f t="shared" si="207"/>
        <v>0</v>
      </c>
    </row>
    <row r="1784" spans="8:8" x14ac:dyDescent="0.3">
      <c r="H1784" s="10">
        <f t="shared" si="207"/>
        <v>0</v>
      </c>
    </row>
    <row r="1785" spans="8:8" x14ac:dyDescent="0.3">
      <c r="H1785" s="10">
        <f t="shared" si="207"/>
        <v>0</v>
      </c>
    </row>
    <row r="1786" spans="8:8" x14ac:dyDescent="0.3">
      <c r="H1786" s="10">
        <f t="shared" si="207"/>
        <v>0</v>
      </c>
    </row>
    <row r="1787" spans="8:8" x14ac:dyDescent="0.3">
      <c r="H1787" s="10">
        <f t="shared" si="207"/>
        <v>0</v>
      </c>
    </row>
    <row r="1788" spans="8:8" x14ac:dyDescent="0.3">
      <c r="H1788" s="10">
        <f t="shared" si="207"/>
        <v>0</v>
      </c>
    </row>
    <row r="1789" spans="8:8" x14ac:dyDescent="0.3">
      <c r="H1789" s="10">
        <f t="shared" si="207"/>
        <v>0</v>
      </c>
    </row>
    <row r="1790" spans="8:8" x14ac:dyDescent="0.3">
      <c r="H1790" s="10">
        <f t="shared" ref="H1790:H1853" si="208">D1790-C1790</f>
        <v>0</v>
      </c>
    </row>
    <row r="1791" spans="8:8" x14ac:dyDescent="0.3">
      <c r="H1791" s="10">
        <f t="shared" si="208"/>
        <v>0</v>
      </c>
    </row>
    <row r="1792" spans="8:8" x14ac:dyDescent="0.3">
      <c r="H1792" s="10">
        <f t="shared" si="208"/>
        <v>0</v>
      </c>
    </row>
    <row r="1793" spans="8:8" x14ac:dyDescent="0.3">
      <c r="H1793" s="10">
        <f t="shared" si="208"/>
        <v>0</v>
      </c>
    </row>
    <row r="1794" spans="8:8" x14ac:dyDescent="0.3">
      <c r="H1794" s="10">
        <f t="shared" si="208"/>
        <v>0</v>
      </c>
    </row>
    <row r="1795" spans="8:8" x14ac:dyDescent="0.3">
      <c r="H1795" s="10">
        <f t="shared" si="208"/>
        <v>0</v>
      </c>
    </row>
    <row r="1796" spans="8:8" x14ac:dyDescent="0.3">
      <c r="H1796" s="10">
        <f t="shared" si="208"/>
        <v>0</v>
      </c>
    </row>
    <row r="1797" spans="8:8" x14ac:dyDescent="0.3">
      <c r="H1797" s="10">
        <f t="shared" si="208"/>
        <v>0</v>
      </c>
    </row>
    <row r="1798" spans="8:8" x14ac:dyDescent="0.3">
      <c r="H1798" s="10">
        <f t="shared" si="208"/>
        <v>0</v>
      </c>
    </row>
    <row r="1799" spans="8:8" x14ac:dyDescent="0.3">
      <c r="H1799" s="10">
        <f t="shared" si="208"/>
        <v>0</v>
      </c>
    </row>
    <row r="1800" spans="8:8" x14ac:dyDescent="0.3">
      <c r="H1800" s="10">
        <f t="shared" si="208"/>
        <v>0</v>
      </c>
    </row>
    <row r="1801" spans="8:8" x14ac:dyDescent="0.3">
      <c r="H1801" s="10">
        <f t="shared" si="208"/>
        <v>0</v>
      </c>
    </row>
    <row r="1802" spans="8:8" x14ac:dyDescent="0.3">
      <c r="H1802" s="10">
        <f t="shared" si="208"/>
        <v>0</v>
      </c>
    </row>
    <row r="1803" spans="8:8" x14ac:dyDescent="0.3">
      <c r="H1803" s="10">
        <f t="shared" si="208"/>
        <v>0</v>
      </c>
    </row>
    <row r="1804" spans="8:8" x14ac:dyDescent="0.3">
      <c r="H1804" s="10">
        <f t="shared" si="208"/>
        <v>0</v>
      </c>
    </row>
    <row r="1805" spans="8:8" x14ac:dyDescent="0.3">
      <c r="H1805" s="10">
        <f t="shared" si="208"/>
        <v>0</v>
      </c>
    </row>
    <row r="1806" spans="8:8" x14ac:dyDescent="0.3">
      <c r="H1806" s="10">
        <f t="shared" si="208"/>
        <v>0</v>
      </c>
    </row>
    <row r="1807" spans="8:8" x14ac:dyDescent="0.3">
      <c r="H1807" s="10">
        <f t="shared" si="208"/>
        <v>0</v>
      </c>
    </row>
    <row r="1808" spans="8:8" x14ac:dyDescent="0.3">
      <c r="H1808" s="10">
        <f t="shared" si="208"/>
        <v>0</v>
      </c>
    </row>
    <row r="1809" spans="8:8" x14ac:dyDescent="0.3">
      <c r="H1809" s="10">
        <f t="shared" si="208"/>
        <v>0</v>
      </c>
    </row>
    <row r="1810" spans="8:8" x14ac:dyDescent="0.3">
      <c r="H1810" s="10">
        <f t="shared" si="208"/>
        <v>0</v>
      </c>
    </row>
    <row r="1811" spans="8:8" x14ac:dyDescent="0.3">
      <c r="H1811" s="10">
        <f t="shared" si="208"/>
        <v>0</v>
      </c>
    </row>
    <row r="1812" spans="8:8" x14ac:dyDescent="0.3">
      <c r="H1812" s="10">
        <f t="shared" si="208"/>
        <v>0</v>
      </c>
    </row>
    <row r="1813" spans="8:8" x14ac:dyDescent="0.3">
      <c r="H1813" s="10">
        <f t="shared" si="208"/>
        <v>0</v>
      </c>
    </row>
    <row r="1814" spans="8:8" x14ac:dyDescent="0.3">
      <c r="H1814" s="10">
        <f t="shared" si="208"/>
        <v>0</v>
      </c>
    </row>
    <row r="1815" spans="8:8" x14ac:dyDescent="0.3">
      <c r="H1815" s="10">
        <f t="shared" si="208"/>
        <v>0</v>
      </c>
    </row>
    <row r="1816" spans="8:8" x14ac:dyDescent="0.3">
      <c r="H1816" s="10">
        <f t="shared" si="208"/>
        <v>0</v>
      </c>
    </row>
    <row r="1817" spans="8:8" x14ac:dyDescent="0.3">
      <c r="H1817" s="10">
        <f t="shared" si="208"/>
        <v>0</v>
      </c>
    </row>
    <row r="1818" spans="8:8" x14ac:dyDescent="0.3">
      <c r="H1818" s="10">
        <f t="shared" si="208"/>
        <v>0</v>
      </c>
    </row>
    <row r="1819" spans="8:8" x14ac:dyDescent="0.3">
      <c r="H1819" s="10">
        <f t="shared" si="208"/>
        <v>0</v>
      </c>
    </row>
    <row r="1820" spans="8:8" x14ac:dyDescent="0.3">
      <c r="H1820" s="10">
        <f t="shared" si="208"/>
        <v>0</v>
      </c>
    </row>
    <row r="1821" spans="8:8" x14ac:dyDescent="0.3">
      <c r="H1821" s="10">
        <f t="shared" si="208"/>
        <v>0</v>
      </c>
    </row>
    <row r="1822" spans="8:8" x14ac:dyDescent="0.3">
      <c r="H1822" s="10">
        <f t="shared" si="208"/>
        <v>0</v>
      </c>
    </row>
    <row r="1823" spans="8:8" x14ac:dyDescent="0.3">
      <c r="H1823" s="10">
        <f t="shared" si="208"/>
        <v>0</v>
      </c>
    </row>
    <row r="1824" spans="8:8" x14ac:dyDescent="0.3">
      <c r="H1824" s="10">
        <f t="shared" si="208"/>
        <v>0</v>
      </c>
    </row>
    <row r="1825" spans="8:8" x14ac:dyDescent="0.3">
      <c r="H1825" s="10">
        <f t="shared" si="208"/>
        <v>0</v>
      </c>
    </row>
    <row r="1826" spans="8:8" x14ac:dyDescent="0.3">
      <c r="H1826" s="10">
        <f t="shared" si="208"/>
        <v>0</v>
      </c>
    </row>
    <row r="1827" spans="8:8" x14ac:dyDescent="0.3">
      <c r="H1827" s="10">
        <f t="shared" si="208"/>
        <v>0</v>
      </c>
    </row>
    <row r="1828" spans="8:8" x14ac:dyDescent="0.3">
      <c r="H1828" s="10">
        <f t="shared" si="208"/>
        <v>0</v>
      </c>
    </row>
    <row r="1829" spans="8:8" x14ac:dyDescent="0.3">
      <c r="H1829" s="10">
        <f t="shared" si="208"/>
        <v>0</v>
      </c>
    </row>
    <row r="1830" spans="8:8" x14ac:dyDescent="0.3">
      <c r="H1830" s="10">
        <f t="shared" si="208"/>
        <v>0</v>
      </c>
    </row>
    <row r="1831" spans="8:8" x14ac:dyDescent="0.3">
      <c r="H1831" s="10">
        <f t="shared" si="208"/>
        <v>0</v>
      </c>
    </row>
    <row r="1832" spans="8:8" x14ac:dyDescent="0.3">
      <c r="H1832" s="10">
        <f t="shared" si="208"/>
        <v>0</v>
      </c>
    </row>
    <row r="1833" spans="8:8" x14ac:dyDescent="0.3">
      <c r="H1833" s="10">
        <f t="shared" si="208"/>
        <v>0</v>
      </c>
    </row>
    <row r="1834" spans="8:8" x14ac:dyDescent="0.3">
      <c r="H1834" s="10">
        <f t="shared" si="208"/>
        <v>0</v>
      </c>
    </row>
    <row r="1835" spans="8:8" x14ac:dyDescent="0.3">
      <c r="H1835" s="10">
        <f t="shared" si="208"/>
        <v>0</v>
      </c>
    </row>
    <row r="1836" spans="8:8" x14ac:dyDescent="0.3">
      <c r="H1836" s="10">
        <f t="shared" si="208"/>
        <v>0</v>
      </c>
    </row>
    <row r="1837" spans="8:8" x14ac:dyDescent="0.3">
      <c r="H1837" s="10">
        <f t="shared" si="208"/>
        <v>0</v>
      </c>
    </row>
    <row r="1838" spans="8:8" x14ac:dyDescent="0.3">
      <c r="H1838" s="10">
        <f t="shared" si="208"/>
        <v>0</v>
      </c>
    </row>
    <row r="1839" spans="8:8" x14ac:dyDescent="0.3">
      <c r="H1839" s="10">
        <f t="shared" si="208"/>
        <v>0</v>
      </c>
    </row>
    <row r="1840" spans="8:8" x14ac:dyDescent="0.3">
      <c r="H1840" s="10">
        <f t="shared" si="208"/>
        <v>0</v>
      </c>
    </row>
    <row r="1841" spans="8:8" x14ac:dyDescent="0.3">
      <c r="H1841" s="10">
        <f t="shared" si="208"/>
        <v>0</v>
      </c>
    </row>
    <row r="1842" spans="8:8" x14ac:dyDescent="0.3">
      <c r="H1842" s="10">
        <f t="shared" si="208"/>
        <v>0</v>
      </c>
    </row>
    <row r="1843" spans="8:8" x14ac:dyDescent="0.3">
      <c r="H1843" s="10">
        <f t="shared" si="208"/>
        <v>0</v>
      </c>
    </row>
    <row r="1844" spans="8:8" x14ac:dyDescent="0.3">
      <c r="H1844" s="10">
        <f t="shared" si="208"/>
        <v>0</v>
      </c>
    </row>
    <row r="1845" spans="8:8" x14ac:dyDescent="0.3">
      <c r="H1845" s="10">
        <f t="shared" si="208"/>
        <v>0</v>
      </c>
    </row>
    <row r="1846" spans="8:8" x14ac:dyDescent="0.3">
      <c r="H1846" s="10">
        <f t="shared" si="208"/>
        <v>0</v>
      </c>
    </row>
    <row r="1847" spans="8:8" x14ac:dyDescent="0.3">
      <c r="H1847" s="10">
        <f t="shared" si="208"/>
        <v>0</v>
      </c>
    </row>
    <row r="1848" spans="8:8" x14ac:dyDescent="0.3">
      <c r="H1848" s="10">
        <f t="shared" si="208"/>
        <v>0</v>
      </c>
    </row>
    <row r="1849" spans="8:8" x14ac:dyDescent="0.3">
      <c r="H1849" s="10">
        <f t="shared" si="208"/>
        <v>0</v>
      </c>
    </row>
    <row r="1850" spans="8:8" x14ac:dyDescent="0.3">
      <c r="H1850" s="10">
        <f t="shared" si="208"/>
        <v>0</v>
      </c>
    </row>
    <row r="1851" spans="8:8" x14ac:dyDescent="0.3">
      <c r="H1851" s="10">
        <f t="shared" si="208"/>
        <v>0</v>
      </c>
    </row>
    <row r="1852" spans="8:8" x14ac:dyDescent="0.3">
      <c r="H1852" s="10">
        <f t="shared" si="208"/>
        <v>0</v>
      </c>
    </row>
    <row r="1853" spans="8:8" x14ac:dyDescent="0.3">
      <c r="H1853" s="10">
        <f t="shared" si="208"/>
        <v>0</v>
      </c>
    </row>
    <row r="1854" spans="8:8" x14ac:dyDescent="0.3">
      <c r="H1854" s="10">
        <f t="shared" ref="H1854:H1917" si="209">D1854-C1854</f>
        <v>0</v>
      </c>
    </row>
    <row r="1855" spans="8:8" x14ac:dyDescent="0.3">
      <c r="H1855" s="10">
        <f t="shared" si="209"/>
        <v>0</v>
      </c>
    </row>
    <row r="1856" spans="8:8" x14ac:dyDescent="0.3">
      <c r="H1856" s="10">
        <f t="shared" si="209"/>
        <v>0</v>
      </c>
    </row>
    <row r="1857" spans="8:8" x14ac:dyDescent="0.3">
      <c r="H1857" s="10">
        <f t="shared" si="209"/>
        <v>0</v>
      </c>
    </row>
    <row r="1858" spans="8:8" x14ac:dyDescent="0.3">
      <c r="H1858" s="10">
        <f t="shared" si="209"/>
        <v>0</v>
      </c>
    </row>
    <row r="1859" spans="8:8" x14ac:dyDescent="0.3">
      <c r="H1859" s="10">
        <f t="shared" si="209"/>
        <v>0</v>
      </c>
    </row>
    <row r="1860" spans="8:8" x14ac:dyDescent="0.3">
      <c r="H1860" s="10">
        <f t="shared" si="209"/>
        <v>0</v>
      </c>
    </row>
    <row r="1861" spans="8:8" x14ac:dyDescent="0.3">
      <c r="H1861" s="10">
        <f t="shared" si="209"/>
        <v>0</v>
      </c>
    </row>
    <row r="1862" spans="8:8" x14ac:dyDescent="0.3">
      <c r="H1862" s="10">
        <f t="shared" si="209"/>
        <v>0</v>
      </c>
    </row>
    <row r="1863" spans="8:8" x14ac:dyDescent="0.3">
      <c r="H1863" s="10">
        <f t="shared" si="209"/>
        <v>0</v>
      </c>
    </row>
    <row r="1864" spans="8:8" x14ac:dyDescent="0.3">
      <c r="H1864" s="10">
        <f t="shared" si="209"/>
        <v>0</v>
      </c>
    </row>
    <row r="1865" spans="8:8" x14ac:dyDescent="0.3">
      <c r="H1865" s="10">
        <f t="shared" si="209"/>
        <v>0</v>
      </c>
    </row>
    <row r="1866" spans="8:8" x14ac:dyDescent="0.3">
      <c r="H1866" s="10">
        <f t="shared" si="209"/>
        <v>0</v>
      </c>
    </row>
    <row r="1867" spans="8:8" x14ac:dyDescent="0.3">
      <c r="H1867" s="10">
        <f t="shared" si="209"/>
        <v>0</v>
      </c>
    </row>
    <row r="1868" spans="8:8" x14ac:dyDescent="0.3">
      <c r="H1868" s="10">
        <f t="shared" si="209"/>
        <v>0</v>
      </c>
    </row>
    <row r="1869" spans="8:8" x14ac:dyDescent="0.3">
      <c r="H1869" s="10">
        <f t="shared" si="209"/>
        <v>0</v>
      </c>
    </row>
    <row r="1870" spans="8:8" x14ac:dyDescent="0.3">
      <c r="H1870" s="10">
        <f t="shared" si="209"/>
        <v>0</v>
      </c>
    </row>
    <row r="1871" spans="8:8" x14ac:dyDescent="0.3">
      <c r="H1871" s="10">
        <f t="shared" si="209"/>
        <v>0</v>
      </c>
    </row>
    <row r="1872" spans="8:8" x14ac:dyDescent="0.3">
      <c r="H1872" s="10">
        <f t="shared" si="209"/>
        <v>0</v>
      </c>
    </row>
    <row r="1873" spans="8:8" x14ac:dyDescent="0.3">
      <c r="H1873" s="10">
        <f t="shared" si="209"/>
        <v>0</v>
      </c>
    </row>
    <row r="1874" spans="8:8" x14ac:dyDescent="0.3">
      <c r="H1874" s="10">
        <f t="shared" si="209"/>
        <v>0</v>
      </c>
    </row>
    <row r="1875" spans="8:8" x14ac:dyDescent="0.3">
      <c r="H1875" s="10">
        <f t="shared" si="209"/>
        <v>0</v>
      </c>
    </row>
    <row r="1876" spans="8:8" x14ac:dyDescent="0.3">
      <c r="H1876" s="10">
        <f t="shared" si="209"/>
        <v>0</v>
      </c>
    </row>
    <row r="1877" spans="8:8" x14ac:dyDescent="0.3">
      <c r="H1877" s="10">
        <f t="shared" si="209"/>
        <v>0</v>
      </c>
    </row>
    <row r="1878" spans="8:8" x14ac:dyDescent="0.3">
      <c r="H1878" s="10">
        <f t="shared" si="209"/>
        <v>0</v>
      </c>
    </row>
    <row r="1879" spans="8:8" x14ac:dyDescent="0.3">
      <c r="H1879" s="10">
        <f t="shared" si="209"/>
        <v>0</v>
      </c>
    </row>
    <row r="1880" spans="8:8" x14ac:dyDescent="0.3">
      <c r="H1880" s="10">
        <f t="shared" si="209"/>
        <v>0</v>
      </c>
    </row>
    <row r="1881" spans="8:8" x14ac:dyDescent="0.3">
      <c r="H1881" s="10">
        <f t="shared" si="209"/>
        <v>0</v>
      </c>
    </row>
    <row r="1882" spans="8:8" x14ac:dyDescent="0.3">
      <c r="H1882" s="10">
        <f t="shared" si="209"/>
        <v>0</v>
      </c>
    </row>
    <row r="1883" spans="8:8" x14ac:dyDescent="0.3">
      <c r="H1883" s="10">
        <f t="shared" si="209"/>
        <v>0</v>
      </c>
    </row>
    <row r="1884" spans="8:8" x14ac:dyDescent="0.3">
      <c r="H1884" s="10">
        <f t="shared" si="209"/>
        <v>0</v>
      </c>
    </row>
    <row r="1885" spans="8:8" x14ac:dyDescent="0.3">
      <c r="H1885" s="10">
        <f t="shared" si="209"/>
        <v>0</v>
      </c>
    </row>
    <row r="1886" spans="8:8" x14ac:dyDescent="0.3">
      <c r="H1886" s="10">
        <f t="shared" si="209"/>
        <v>0</v>
      </c>
    </row>
    <row r="1887" spans="8:8" x14ac:dyDescent="0.3">
      <c r="H1887" s="10">
        <f t="shared" si="209"/>
        <v>0</v>
      </c>
    </row>
    <row r="1888" spans="8:8" x14ac:dyDescent="0.3">
      <c r="H1888" s="10">
        <f t="shared" si="209"/>
        <v>0</v>
      </c>
    </row>
    <row r="1889" spans="8:8" x14ac:dyDescent="0.3">
      <c r="H1889" s="10">
        <f t="shared" si="209"/>
        <v>0</v>
      </c>
    </row>
    <row r="1890" spans="8:8" x14ac:dyDescent="0.3">
      <c r="H1890" s="10">
        <f t="shared" si="209"/>
        <v>0</v>
      </c>
    </row>
    <row r="1891" spans="8:8" x14ac:dyDescent="0.3">
      <c r="H1891" s="10">
        <f t="shared" si="209"/>
        <v>0</v>
      </c>
    </row>
    <row r="1892" spans="8:8" x14ac:dyDescent="0.3">
      <c r="H1892" s="10">
        <f t="shared" si="209"/>
        <v>0</v>
      </c>
    </row>
    <row r="1893" spans="8:8" x14ac:dyDescent="0.3">
      <c r="H1893" s="10">
        <f t="shared" si="209"/>
        <v>0</v>
      </c>
    </row>
    <row r="1894" spans="8:8" x14ac:dyDescent="0.3">
      <c r="H1894" s="10">
        <f t="shared" si="209"/>
        <v>0</v>
      </c>
    </row>
    <row r="1895" spans="8:8" x14ac:dyDescent="0.3">
      <c r="H1895" s="10">
        <f t="shared" si="209"/>
        <v>0</v>
      </c>
    </row>
    <row r="1896" spans="8:8" x14ac:dyDescent="0.3">
      <c r="H1896" s="10">
        <f t="shared" si="209"/>
        <v>0</v>
      </c>
    </row>
    <row r="1897" spans="8:8" x14ac:dyDescent="0.3">
      <c r="H1897" s="10">
        <f t="shared" si="209"/>
        <v>0</v>
      </c>
    </row>
    <row r="1898" spans="8:8" x14ac:dyDescent="0.3">
      <c r="H1898" s="10">
        <f t="shared" si="209"/>
        <v>0</v>
      </c>
    </row>
    <row r="1899" spans="8:8" x14ac:dyDescent="0.3">
      <c r="H1899" s="10">
        <f t="shared" si="209"/>
        <v>0</v>
      </c>
    </row>
    <row r="1900" spans="8:8" x14ac:dyDescent="0.3">
      <c r="H1900" s="10">
        <f t="shared" si="209"/>
        <v>0</v>
      </c>
    </row>
    <row r="1901" spans="8:8" x14ac:dyDescent="0.3">
      <c r="H1901" s="10">
        <f t="shared" si="209"/>
        <v>0</v>
      </c>
    </row>
    <row r="1902" spans="8:8" x14ac:dyDescent="0.3">
      <c r="H1902" s="10">
        <f t="shared" si="209"/>
        <v>0</v>
      </c>
    </row>
    <row r="1903" spans="8:8" x14ac:dyDescent="0.3">
      <c r="H1903" s="10">
        <f t="shared" si="209"/>
        <v>0</v>
      </c>
    </row>
    <row r="1904" spans="8:8" x14ac:dyDescent="0.3">
      <c r="H1904" s="10">
        <f t="shared" si="209"/>
        <v>0</v>
      </c>
    </row>
    <row r="1905" spans="8:8" x14ac:dyDescent="0.3">
      <c r="H1905" s="10">
        <f t="shared" si="209"/>
        <v>0</v>
      </c>
    </row>
    <row r="1906" spans="8:8" x14ac:dyDescent="0.3">
      <c r="H1906" s="10">
        <f t="shared" si="209"/>
        <v>0</v>
      </c>
    </row>
    <row r="1907" spans="8:8" x14ac:dyDescent="0.3">
      <c r="H1907" s="10">
        <f t="shared" si="209"/>
        <v>0</v>
      </c>
    </row>
    <row r="1908" spans="8:8" x14ac:dyDescent="0.3">
      <c r="H1908" s="10">
        <f t="shared" si="209"/>
        <v>0</v>
      </c>
    </row>
    <row r="1909" spans="8:8" x14ac:dyDescent="0.3">
      <c r="H1909" s="10">
        <f t="shared" si="209"/>
        <v>0</v>
      </c>
    </row>
    <row r="1910" spans="8:8" x14ac:dyDescent="0.3">
      <c r="H1910" s="10">
        <f t="shared" si="209"/>
        <v>0</v>
      </c>
    </row>
    <row r="1911" spans="8:8" x14ac:dyDescent="0.3">
      <c r="H1911" s="10">
        <f t="shared" si="209"/>
        <v>0</v>
      </c>
    </row>
    <row r="1912" spans="8:8" x14ac:dyDescent="0.3">
      <c r="H1912" s="10">
        <f t="shared" si="209"/>
        <v>0</v>
      </c>
    </row>
    <row r="1913" spans="8:8" x14ac:dyDescent="0.3">
      <c r="H1913" s="10">
        <f t="shared" si="209"/>
        <v>0</v>
      </c>
    </row>
    <row r="1914" spans="8:8" x14ac:dyDescent="0.3">
      <c r="H1914" s="10">
        <f t="shared" si="209"/>
        <v>0</v>
      </c>
    </row>
    <row r="1915" spans="8:8" x14ac:dyDescent="0.3">
      <c r="H1915" s="10">
        <f t="shared" si="209"/>
        <v>0</v>
      </c>
    </row>
    <row r="1916" spans="8:8" x14ac:dyDescent="0.3">
      <c r="H1916" s="10">
        <f t="shared" si="209"/>
        <v>0</v>
      </c>
    </row>
    <row r="1917" spans="8:8" x14ac:dyDescent="0.3">
      <c r="H1917" s="10">
        <f t="shared" si="209"/>
        <v>0</v>
      </c>
    </row>
    <row r="1918" spans="8:8" x14ac:dyDescent="0.3">
      <c r="H1918" s="10">
        <f t="shared" ref="H1918:H1981" si="210">D1918-C1918</f>
        <v>0</v>
      </c>
    </row>
    <row r="1919" spans="8:8" x14ac:dyDescent="0.3">
      <c r="H1919" s="10">
        <f t="shared" si="210"/>
        <v>0</v>
      </c>
    </row>
    <row r="1920" spans="8:8" x14ac:dyDescent="0.3">
      <c r="H1920" s="10">
        <f t="shared" si="210"/>
        <v>0</v>
      </c>
    </row>
    <row r="1921" spans="8:8" x14ac:dyDescent="0.3">
      <c r="H1921" s="10">
        <f t="shared" si="210"/>
        <v>0</v>
      </c>
    </row>
    <row r="1922" spans="8:8" x14ac:dyDescent="0.3">
      <c r="H1922" s="10">
        <f t="shared" si="210"/>
        <v>0</v>
      </c>
    </row>
    <row r="1923" spans="8:8" x14ac:dyDescent="0.3">
      <c r="H1923" s="10">
        <f t="shared" si="210"/>
        <v>0</v>
      </c>
    </row>
    <row r="1924" spans="8:8" x14ac:dyDescent="0.3">
      <c r="H1924" s="10">
        <f t="shared" si="210"/>
        <v>0</v>
      </c>
    </row>
    <row r="1925" spans="8:8" x14ac:dyDescent="0.3">
      <c r="H1925" s="10">
        <f t="shared" si="210"/>
        <v>0</v>
      </c>
    </row>
    <row r="1926" spans="8:8" x14ac:dyDescent="0.3">
      <c r="H1926" s="10">
        <f t="shared" si="210"/>
        <v>0</v>
      </c>
    </row>
    <row r="1927" spans="8:8" x14ac:dyDescent="0.3">
      <c r="H1927" s="10">
        <f t="shared" si="210"/>
        <v>0</v>
      </c>
    </row>
    <row r="1928" spans="8:8" x14ac:dyDescent="0.3">
      <c r="H1928" s="10">
        <f t="shared" si="210"/>
        <v>0</v>
      </c>
    </row>
    <row r="1929" spans="8:8" x14ac:dyDescent="0.3">
      <c r="H1929" s="10">
        <f t="shared" si="210"/>
        <v>0</v>
      </c>
    </row>
    <row r="1930" spans="8:8" x14ac:dyDescent="0.3">
      <c r="H1930" s="10">
        <f t="shared" si="210"/>
        <v>0</v>
      </c>
    </row>
    <row r="1931" spans="8:8" x14ac:dyDescent="0.3">
      <c r="H1931" s="10">
        <f t="shared" si="210"/>
        <v>0</v>
      </c>
    </row>
    <row r="1932" spans="8:8" x14ac:dyDescent="0.3">
      <c r="H1932" s="10">
        <f t="shared" si="210"/>
        <v>0</v>
      </c>
    </row>
    <row r="1933" spans="8:8" x14ac:dyDescent="0.3">
      <c r="H1933" s="10">
        <f t="shared" si="210"/>
        <v>0</v>
      </c>
    </row>
    <row r="1934" spans="8:8" x14ac:dyDescent="0.3">
      <c r="H1934" s="10">
        <f t="shared" si="210"/>
        <v>0</v>
      </c>
    </row>
    <row r="1935" spans="8:8" x14ac:dyDescent="0.3">
      <c r="H1935" s="10">
        <f t="shared" si="210"/>
        <v>0</v>
      </c>
    </row>
    <row r="1936" spans="8:8" x14ac:dyDescent="0.3">
      <c r="H1936" s="10">
        <f t="shared" si="210"/>
        <v>0</v>
      </c>
    </row>
    <row r="1937" spans="8:8" x14ac:dyDescent="0.3">
      <c r="H1937" s="10">
        <f t="shared" si="210"/>
        <v>0</v>
      </c>
    </row>
    <row r="1938" spans="8:8" x14ac:dyDescent="0.3">
      <c r="H1938" s="10">
        <f t="shared" si="210"/>
        <v>0</v>
      </c>
    </row>
    <row r="1939" spans="8:8" x14ac:dyDescent="0.3">
      <c r="H1939" s="10">
        <f t="shared" si="210"/>
        <v>0</v>
      </c>
    </row>
    <row r="1940" spans="8:8" x14ac:dyDescent="0.3">
      <c r="H1940" s="10">
        <f t="shared" si="210"/>
        <v>0</v>
      </c>
    </row>
    <row r="1941" spans="8:8" x14ac:dyDescent="0.3">
      <c r="H1941" s="10">
        <f t="shared" si="210"/>
        <v>0</v>
      </c>
    </row>
    <row r="1942" spans="8:8" x14ac:dyDescent="0.3">
      <c r="H1942" s="10">
        <f t="shared" si="210"/>
        <v>0</v>
      </c>
    </row>
    <row r="1943" spans="8:8" x14ac:dyDescent="0.3">
      <c r="H1943" s="10">
        <f t="shared" si="210"/>
        <v>0</v>
      </c>
    </row>
    <row r="1944" spans="8:8" x14ac:dyDescent="0.3">
      <c r="H1944" s="10">
        <f t="shared" si="210"/>
        <v>0</v>
      </c>
    </row>
    <row r="1945" spans="8:8" x14ac:dyDescent="0.3">
      <c r="H1945" s="10">
        <f t="shared" si="210"/>
        <v>0</v>
      </c>
    </row>
    <row r="1946" spans="8:8" x14ac:dyDescent="0.3">
      <c r="H1946" s="10">
        <f t="shared" si="210"/>
        <v>0</v>
      </c>
    </row>
    <row r="1947" spans="8:8" x14ac:dyDescent="0.3">
      <c r="H1947" s="10">
        <f t="shared" si="210"/>
        <v>0</v>
      </c>
    </row>
    <row r="1948" spans="8:8" x14ac:dyDescent="0.3">
      <c r="H1948" s="10">
        <f t="shared" si="210"/>
        <v>0</v>
      </c>
    </row>
    <row r="1949" spans="8:8" x14ac:dyDescent="0.3">
      <c r="H1949" s="10">
        <f t="shared" si="210"/>
        <v>0</v>
      </c>
    </row>
    <row r="1950" spans="8:8" x14ac:dyDescent="0.3">
      <c r="H1950" s="10">
        <f t="shared" si="210"/>
        <v>0</v>
      </c>
    </row>
    <row r="1951" spans="8:8" x14ac:dyDescent="0.3">
      <c r="H1951" s="10">
        <f t="shared" si="210"/>
        <v>0</v>
      </c>
    </row>
    <row r="1952" spans="8:8" x14ac:dyDescent="0.3">
      <c r="H1952" s="10">
        <f t="shared" si="210"/>
        <v>0</v>
      </c>
    </row>
    <row r="1953" spans="8:8" x14ac:dyDescent="0.3">
      <c r="H1953" s="10">
        <f t="shared" si="210"/>
        <v>0</v>
      </c>
    </row>
    <row r="1954" spans="8:8" x14ac:dyDescent="0.3">
      <c r="H1954" s="10">
        <f t="shared" si="210"/>
        <v>0</v>
      </c>
    </row>
    <row r="1955" spans="8:8" x14ac:dyDescent="0.3">
      <c r="H1955" s="10">
        <f t="shared" si="210"/>
        <v>0</v>
      </c>
    </row>
    <row r="1956" spans="8:8" x14ac:dyDescent="0.3">
      <c r="H1956" s="10">
        <f t="shared" si="210"/>
        <v>0</v>
      </c>
    </row>
    <row r="1957" spans="8:8" x14ac:dyDescent="0.3">
      <c r="H1957" s="10">
        <f t="shared" si="210"/>
        <v>0</v>
      </c>
    </row>
    <row r="1958" spans="8:8" x14ac:dyDescent="0.3">
      <c r="H1958" s="10">
        <f t="shared" si="210"/>
        <v>0</v>
      </c>
    </row>
    <row r="1959" spans="8:8" x14ac:dyDescent="0.3">
      <c r="H1959" s="10">
        <f t="shared" si="210"/>
        <v>0</v>
      </c>
    </row>
    <row r="1960" spans="8:8" x14ac:dyDescent="0.3">
      <c r="H1960" s="10">
        <f t="shared" si="210"/>
        <v>0</v>
      </c>
    </row>
    <row r="1961" spans="8:8" x14ac:dyDescent="0.3">
      <c r="H1961" s="10">
        <f t="shared" si="210"/>
        <v>0</v>
      </c>
    </row>
    <row r="1962" spans="8:8" x14ac:dyDescent="0.3">
      <c r="H1962" s="10">
        <f t="shared" si="210"/>
        <v>0</v>
      </c>
    </row>
    <row r="1963" spans="8:8" x14ac:dyDescent="0.3">
      <c r="H1963" s="10">
        <f t="shared" si="210"/>
        <v>0</v>
      </c>
    </row>
    <row r="1964" spans="8:8" x14ac:dyDescent="0.3">
      <c r="H1964" s="10">
        <f t="shared" si="210"/>
        <v>0</v>
      </c>
    </row>
    <row r="1965" spans="8:8" x14ac:dyDescent="0.3">
      <c r="H1965" s="10">
        <f t="shared" si="210"/>
        <v>0</v>
      </c>
    </row>
    <row r="1966" spans="8:8" x14ac:dyDescent="0.3">
      <c r="H1966" s="10">
        <f t="shared" si="210"/>
        <v>0</v>
      </c>
    </row>
    <row r="1967" spans="8:8" x14ac:dyDescent="0.3">
      <c r="H1967" s="10">
        <f t="shared" si="210"/>
        <v>0</v>
      </c>
    </row>
    <row r="1968" spans="8:8" x14ac:dyDescent="0.3">
      <c r="H1968" s="10">
        <f t="shared" si="210"/>
        <v>0</v>
      </c>
    </row>
    <row r="1969" spans="8:8" x14ac:dyDescent="0.3">
      <c r="H1969" s="10">
        <f t="shared" si="210"/>
        <v>0</v>
      </c>
    </row>
    <row r="1970" spans="8:8" x14ac:dyDescent="0.3">
      <c r="H1970" s="10">
        <f t="shared" si="210"/>
        <v>0</v>
      </c>
    </row>
    <row r="1971" spans="8:8" x14ac:dyDescent="0.3">
      <c r="H1971" s="10">
        <f t="shared" si="210"/>
        <v>0</v>
      </c>
    </row>
    <row r="1972" spans="8:8" x14ac:dyDescent="0.3">
      <c r="H1972" s="10">
        <f t="shared" si="210"/>
        <v>0</v>
      </c>
    </row>
    <row r="1973" spans="8:8" x14ac:dyDescent="0.3">
      <c r="H1973" s="10">
        <f t="shared" si="210"/>
        <v>0</v>
      </c>
    </row>
    <row r="1974" spans="8:8" x14ac:dyDescent="0.3">
      <c r="H1974" s="10">
        <f t="shared" si="210"/>
        <v>0</v>
      </c>
    </row>
    <row r="1975" spans="8:8" x14ac:dyDescent="0.3">
      <c r="H1975" s="10">
        <f t="shared" si="210"/>
        <v>0</v>
      </c>
    </row>
    <row r="1976" spans="8:8" x14ac:dyDescent="0.3">
      <c r="H1976" s="10">
        <f t="shared" si="210"/>
        <v>0</v>
      </c>
    </row>
    <row r="1977" spans="8:8" x14ac:dyDescent="0.3">
      <c r="H1977" s="10">
        <f t="shared" si="210"/>
        <v>0</v>
      </c>
    </row>
    <row r="1978" spans="8:8" x14ac:dyDescent="0.3">
      <c r="H1978" s="10">
        <f t="shared" si="210"/>
        <v>0</v>
      </c>
    </row>
    <row r="1979" spans="8:8" x14ac:dyDescent="0.3">
      <c r="H1979" s="10">
        <f t="shared" si="210"/>
        <v>0</v>
      </c>
    </row>
    <row r="1980" spans="8:8" x14ac:dyDescent="0.3">
      <c r="H1980" s="10">
        <f t="shared" si="210"/>
        <v>0</v>
      </c>
    </row>
    <row r="1981" spans="8:8" x14ac:dyDescent="0.3">
      <c r="H1981" s="10">
        <f t="shared" si="210"/>
        <v>0</v>
      </c>
    </row>
    <row r="1982" spans="8:8" x14ac:dyDescent="0.3">
      <c r="H1982" s="10">
        <f t="shared" ref="H1982:H2045" si="211">D1982-C1982</f>
        <v>0</v>
      </c>
    </row>
    <row r="1983" spans="8:8" x14ac:dyDescent="0.3">
      <c r="H1983" s="10">
        <f t="shared" si="211"/>
        <v>0</v>
      </c>
    </row>
    <row r="1984" spans="8:8" x14ac:dyDescent="0.3">
      <c r="H1984" s="10">
        <f t="shared" si="211"/>
        <v>0</v>
      </c>
    </row>
    <row r="1985" spans="8:8" x14ac:dyDescent="0.3">
      <c r="H1985" s="10">
        <f t="shared" si="211"/>
        <v>0</v>
      </c>
    </row>
    <row r="1986" spans="8:8" x14ac:dyDescent="0.3">
      <c r="H1986" s="10">
        <f t="shared" si="211"/>
        <v>0</v>
      </c>
    </row>
    <row r="1987" spans="8:8" x14ac:dyDescent="0.3">
      <c r="H1987" s="10">
        <f t="shared" si="211"/>
        <v>0</v>
      </c>
    </row>
    <row r="1988" spans="8:8" x14ac:dyDescent="0.3">
      <c r="H1988" s="10">
        <f t="shared" si="211"/>
        <v>0</v>
      </c>
    </row>
    <row r="1989" spans="8:8" x14ac:dyDescent="0.3">
      <c r="H1989" s="10">
        <f t="shared" si="211"/>
        <v>0</v>
      </c>
    </row>
    <row r="1990" spans="8:8" x14ac:dyDescent="0.3">
      <c r="H1990" s="10">
        <f t="shared" si="211"/>
        <v>0</v>
      </c>
    </row>
    <row r="1991" spans="8:8" x14ac:dyDescent="0.3">
      <c r="H1991" s="10">
        <f t="shared" si="211"/>
        <v>0</v>
      </c>
    </row>
    <row r="1992" spans="8:8" x14ac:dyDescent="0.3">
      <c r="H1992" s="10">
        <f t="shared" si="211"/>
        <v>0</v>
      </c>
    </row>
    <row r="1993" spans="8:8" x14ac:dyDescent="0.3">
      <c r="H1993" s="10">
        <f t="shared" si="211"/>
        <v>0</v>
      </c>
    </row>
    <row r="1994" spans="8:8" x14ac:dyDescent="0.3">
      <c r="H1994" s="10">
        <f t="shared" si="211"/>
        <v>0</v>
      </c>
    </row>
    <row r="1995" spans="8:8" x14ac:dyDescent="0.3">
      <c r="H1995" s="10">
        <f t="shared" si="211"/>
        <v>0</v>
      </c>
    </row>
    <row r="1996" spans="8:8" x14ac:dyDescent="0.3">
      <c r="H1996" s="10">
        <f t="shared" si="211"/>
        <v>0</v>
      </c>
    </row>
    <row r="1997" spans="8:8" x14ac:dyDescent="0.3">
      <c r="H1997" s="10">
        <f t="shared" si="211"/>
        <v>0</v>
      </c>
    </row>
    <row r="1998" spans="8:8" x14ac:dyDescent="0.3">
      <c r="H1998" s="10">
        <f t="shared" si="211"/>
        <v>0</v>
      </c>
    </row>
    <row r="1999" spans="8:8" x14ac:dyDescent="0.3">
      <c r="H1999" s="10">
        <f t="shared" si="211"/>
        <v>0</v>
      </c>
    </row>
    <row r="2000" spans="8:8" x14ac:dyDescent="0.3">
      <c r="H2000" s="10">
        <f t="shared" si="211"/>
        <v>0</v>
      </c>
    </row>
    <row r="2001" spans="8:8" x14ac:dyDescent="0.3">
      <c r="H2001" s="10">
        <f t="shared" si="211"/>
        <v>0</v>
      </c>
    </row>
    <row r="2002" spans="8:8" x14ac:dyDescent="0.3">
      <c r="H2002" s="10">
        <f t="shared" si="211"/>
        <v>0</v>
      </c>
    </row>
    <row r="2003" spans="8:8" x14ac:dyDescent="0.3">
      <c r="H2003" s="10">
        <f t="shared" si="211"/>
        <v>0</v>
      </c>
    </row>
    <row r="2004" spans="8:8" x14ac:dyDescent="0.3">
      <c r="H2004" s="10">
        <f t="shared" si="211"/>
        <v>0</v>
      </c>
    </row>
    <row r="2005" spans="8:8" x14ac:dyDescent="0.3">
      <c r="H2005" s="10">
        <f t="shared" si="211"/>
        <v>0</v>
      </c>
    </row>
    <row r="2006" spans="8:8" x14ac:dyDescent="0.3">
      <c r="H2006" s="10">
        <f t="shared" si="211"/>
        <v>0</v>
      </c>
    </row>
    <row r="2007" spans="8:8" x14ac:dyDescent="0.3">
      <c r="H2007" s="10">
        <f t="shared" si="211"/>
        <v>0</v>
      </c>
    </row>
    <row r="2008" spans="8:8" x14ac:dyDescent="0.3">
      <c r="H2008" s="10">
        <f t="shared" si="211"/>
        <v>0</v>
      </c>
    </row>
    <row r="2009" spans="8:8" x14ac:dyDescent="0.3">
      <c r="H2009" s="10">
        <f t="shared" si="211"/>
        <v>0</v>
      </c>
    </row>
    <row r="2010" spans="8:8" x14ac:dyDescent="0.3">
      <c r="H2010" s="10">
        <f t="shared" si="211"/>
        <v>0</v>
      </c>
    </row>
    <row r="2011" spans="8:8" x14ac:dyDescent="0.3">
      <c r="H2011" s="10">
        <f t="shared" si="211"/>
        <v>0</v>
      </c>
    </row>
    <row r="2012" spans="8:8" x14ac:dyDescent="0.3">
      <c r="H2012" s="10">
        <f t="shared" si="211"/>
        <v>0</v>
      </c>
    </row>
    <row r="2013" spans="8:8" x14ac:dyDescent="0.3">
      <c r="H2013" s="10">
        <f t="shared" si="211"/>
        <v>0</v>
      </c>
    </row>
    <row r="2014" spans="8:8" x14ac:dyDescent="0.3">
      <c r="H2014" s="10">
        <f t="shared" si="211"/>
        <v>0</v>
      </c>
    </row>
    <row r="2015" spans="8:8" x14ac:dyDescent="0.3">
      <c r="H2015" s="10">
        <f t="shared" si="211"/>
        <v>0</v>
      </c>
    </row>
    <row r="2016" spans="8:8" x14ac:dyDescent="0.3">
      <c r="H2016" s="10">
        <f t="shared" si="211"/>
        <v>0</v>
      </c>
    </row>
    <row r="2017" spans="8:8" x14ac:dyDescent="0.3">
      <c r="H2017" s="10">
        <f t="shared" si="211"/>
        <v>0</v>
      </c>
    </row>
    <row r="2018" spans="8:8" x14ac:dyDescent="0.3">
      <c r="H2018" s="10">
        <f t="shared" si="211"/>
        <v>0</v>
      </c>
    </row>
    <row r="2019" spans="8:8" x14ac:dyDescent="0.3">
      <c r="H2019" s="10">
        <f t="shared" si="211"/>
        <v>0</v>
      </c>
    </row>
    <row r="2020" spans="8:8" x14ac:dyDescent="0.3">
      <c r="H2020" s="10">
        <f t="shared" si="211"/>
        <v>0</v>
      </c>
    </row>
    <row r="2021" spans="8:8" x14ac:dyDescent="0.3">
      <c r="H2021" s="10">
        <f t="shared" si="211"/>
        <v>0</v>
      </c>
    </row>
    <row r="2022" spans="8:8" x14ac:dyDescent="0.3">
      <c r="H2022" s="10">
        <f t="shared" si="211"/>
        <v>0</v>
      </c>
    </row>
    <row r="2023" spans="8:8" x14ac:dyDescent="0.3">
      <c r="H2023" s="10">
        <f t="shared" si="211"/>
        <v>0</v>
      </c>
    </row>
    <row r="2024" spans="8:8" x14ac:dyDescent="0.3">
      <c r="H2024" s="10">
        <f t="shared" si="211"/>
        <v>0</v>
      </c>
    </row>
    <row r="2025" spans="8:8" x14ac:dyDescent="0.3">
      <c r="H2025" s="10">
        <f t="shared" si="211"/>
        <v>0</v>
      </c>
    </row>
    <row r="2026" spans="8:8" x14ac:dyDescent="0.3">
      <c r="H2026" s="10">
        <f t="shared" si="211"/>
        <v>0</v>
      </c>
    </row>
    <row r="2027" spans="8:8" x14ac:dyDescent="0.3">
      <c r="H2027" s="10">
        <f t="shared" si="211"/>
        <v>0</v>
      </c>
    </row>
    <row r="2028" spans="8:8" x14ac:dyDescent="0.3">
      <c r="H2028" s="10">
        <f t="shared" si="211"/>
        <v>0</v>
      </c>
    </row>
    <row r="2029" spans="8:8" x14ac:dyDescent="0.3">
      <c r="H2029" s="10">
        <f t="shared" si="211"/>
        <v>0</v>
      </c>
    </row>
    <row r="2030" spans="8:8" x14ac:dyDescent="0.3">
      <c r="H2030" s="10">
        <f t="shared" si="211"/>
        <v>0</v>
      </c>
    </row>
    <row r="2031" spans="8:8" x14ac:dyDescent="0.3">
      <c r="H2031" s="10">
        <f t="shared" si="211"/>
        <v>0</v>
      </c>
    </row>
    <row r="2032" spans="8:8" x14ac:dyDescent="0.3">
      <c r="H2032" s="10">
        <f t="shared" si="211"/>
        <v>0</v>
      </c>
    </row>
    <row r="2033" spans="8:8" x14ac:dyDescent="0.3">
      <c r="H2033" s="10">
        <f t="shared" si="211"/>
        <v>0</v>
      </c>
    </row>
    <row r="2034" spans="8:8" x14ac:dyDescent="0.3">
      <c r="H2034" s="10">
        <f t="shared" si="211"/>
        <v>0</v>
      </c>
    </row>
    <row r="2035" spans="8:8" x14ac:dyDescent="0.3">
      <c r="H2035" s="10">
        <f t="shared" si="211"/>
        <v>0</v>
      </c>
    </row>
    <row r="2036" spans="8:8" x14ac:dyDescent="0.3">
      <c r="H2036" s="10">
        <f t="shared" si="211"/>
        <v>0</v>
      </c>
    </row>
    <row r="2037" spans="8:8" x14ac:dyDescent="0.3">
      <c r="H2037" s="10">
        <f t="shared" si="211"/>
        <v>0</v>
      </c>
    </row>
    <row r="2038" spans="8:8" x14ac:dyDescent="0.3">
      <c r="H2038" s="10">
        <f t="shared" si="211"/>
        <v>0</v>
      </c>
    </row>
    <row r="2039" spans="8:8" x14ac:dyDescent="0.3">
      <c r="H2039" s="10">
        <f t="shared" si="211"/>
        <v>0</v>
      </c>
    </row>
    <row r="2040" spans="8:8" x14ac:dyDescent="0.3">
      <c r="H2040" s="10">
        <f t="shared" si="211"/>
        <v>0</v>
      </c>
    </row>
    <row r="2041" spans="8:8" x14ac:dyDescent="0.3">
      <c r="H2041" s="10">
        <f t="shared" si="211"/>
        <v>0</v>
      </c>
    </row>
    <row r="2042" spans="8:8" x14ac:dyDescent="0.3">
      <c r="H2042" s="10">
        <f t="shared" si="211"/>
        <v>0</v>
      </c>
    </row>
    <row r="2043" spans="8:8" x14ac:dyDescent="0.3">
      <c r="H2043" s="10">
        <f t="shared" si="211"/>
        <v>0</v>
      </c>
    </row>
    <row r="2044" spans="8:8" x14ac:dyDescent="0.3">
      <c r="H2044" s="10">
        <f t="shared" si="211"/>
        <v>0</v>
      </c>
    </row>
    <row r="2045" spans="8:8" x14ac:dyDescent="0.3">
      <c r="H2045" s="10">
        <f t="shared" si="211"/>
        <v>0</v>
      </c>
    </row>
    <row r="2046" spans="8:8" x14ac:dyDescent="0.3">
      <c r="H2046" s="10">
        <f t="shared" ref="H2046:H2077" si="212">D2046-C2046</f>
        <v>0</v>
      </c>
    </row>
    <row r="2047" spans="8:8" x14ac:dyDescent="0.3">
      <c r="H2047" s="10">
        <f t="shared" si="212"/>
        <v>0</v>
      </c>
    </row>
    <row r="2048" spans="8:8" x14ac:dyDescent="0.3">
      <c r="H2048" s="10">
        <f t="shared" si="212"/>
        <v>0</v>
      </c>
    </row>
    <row r="2049" spans="8:8" x14ac:dyDescent="0.3">
      <c r="H2049" s="10">
        <f t="shared" si="212"/>
        <v>0</v>
      </c>
    </row>
    <row r="2050" spans="8:8" x14ac:dyDescent="0.3">
      <c r="H2050" s="10">
        <f t="shared" si="212"/>
        <v>0</v>
      </c>
    </row>
    <row r="2051" spans="8:8" x14ac:dyDescent="0.3">
      <c r="H2051" s="10">
        <f t="shared" si="212"/>
        <v>0</v>
      </c>
    </row>
    <row r="2052" spans="8:8" x14ac:dyDescent="0.3">
      <c r="H2052" s="10">
        <f t="shared" si="212"/>
        <v>0</v>
      </c>
    </row>
    <row r="2053" spans="8:8" x14ac:dyDescent="0.3">
      <c r="H2053" s="10">
        <f t="shared" si="212"/>
        <v>0</v>
      </c>
    </row>
    <row r="2054" spans="8:8" x14ac:dyDescent="0.3">
      <c r="H2054" s="10">
        <f t="shared" si="212"/>
        <v>0</v>
      </c>
    </row>
    <row r="2055" spans="8:8" x14ac:dyDescent="0.3">
      <c r="H2055" s="10">
        <f t="shared" si="212"/>
        <v>0</v>
      </c>
    </row>
    <row r="2056" spans="8:8" x14ac:dyDescent="0.3">
      <c r="H2056" s="10">
        <f t="shared" si="212"/>
        <v>0</v>
      </c>
    </row>
    <row r="2057" spans="8:8" x14ac:dyDescent="0.3">
      <c r="H2057" s="10">
        <f t="shared" si="212"/>
        <v>0</v>
      </c>
    </row>
    <row r="2058" spans="8:8" x14ac:dyDescent="0.3">
      <c r="H2058" s="10">
        <f t="shared" si="212"/>
        <v>0</v>
      </c>
    </row>
    <row r="2059" spans="8:8" x14ac:dyDescent="0.3">
      <c r="H2059" s="10">
        <f t="shared" si="212"/>
        <v>0</v>
      </c>
    </row>
    <row r="2060" spans="8:8" x14ac:dyDescent="0.3">
      <c r="H2060" s="10">
        <f t="shared" si="212"/>
        <v>0</v>
      </c>
    </row>
    <row r="2061" spans="8:8" x14ac:dyDescent="0.3">
      <c r="H2061" s="10">
        <f t="shared" si="212"/>
        <v>0</v>
      </c>
    </row>
    <row r="2062" spans="8:8" x14ac:dyDescent="0.3">
      <c r="H2062" s="10">
        <f t="shared" si="212"/>
        <v>0</v>
      </c>
    </row>
    <row r="2063" spans="8:8" x14ac:dyDescent="0.3">
      <c r="H2063" s="10">
        <f t="shared" si="212"/>
        <v>0</v>
      </c>
    </row>
    <row r="2064" spans="8:8" x14ac:dyDescent="0.3">
      <c r="H2064" s="10">
        <f t="shared" si="212"/>
        <v>0</v>
      </c>
    </row>
    <row r="2065" spans="8:8" x14ac:dyDescent="0.3">
      <c r="H2065" s="10">
        <f t="shared" si="212"/>
        <v>0</v>
      </c>
    </row>
    <row r="2066" spans="8:8" x14ac:dyDescent="0.3">
      <c r="H2066" s="10">
        <f t="shared" si="212"/>
        <v>0</v>
      </c>
    </row>
    <row r="2067" spans="8:8" x14ac:dyDescent="0.3">
      <c r="H2067" s="10">
        <f t="shared" si="212"/>
        <v>0</v>
      </c>
    </row>
    <row r="2068" spans="8:8" x14ac:dyDescent="0.3">
      <c r="H2068" s="10">
        <f t="shared" si="212"/>
        <v>0</v>
      </c>
    </row>
    <row r="2069" spans="8:8" x14ac:dyDescent="0.3">
      <c r="H2069" s="10">
        <f t="shared" si="212"/>
        <v>0</v>
      </c>
    </row>
    <row r="2070" spans="8:8" x14ac:dyDescent="0.3">
      <c r="H2070" s="10">
        <f t="shared" si="212"/>
        <v>0</v>
      </c>
    </row>
    <row r="2071" spans="8:8" x14ac:dyDescent="0.3">
      <c r="H2071" s="10">
        <f t="shared" si="212"/>
        <v>0</v>
      </c>
    </row>
    <row r="2072" spans="8:8" x14ac:dyDescent="0.3">
      <c r="H2072" s="10">
        <f t="shared" si="212"/>
        <v>0</v>
      </c>
    </row>
    <row r="2073" spans="8:8" x14ac:dyDescent="0.3">
      <c r="H2073" s="10">
        <f t="shared" si="212"/>
        <v>0</v>
      </c>
    </row>
    <row r="2074" spans="8:8" x14ac:dyDescent="0.3">
      <c r="H2074" s="10">
        <f t="shared" si="212"/>
        <v>0</v>
      </c>
    </row>
    <row r="2075" spans="8:8" x14ac:dyDescent="0.3">
      <c r="H2075" s="10">
        <f t="shared" si="212"/>
        <v>0</v>
      </c>
    </row>
    <row r="2076" spans="8:8" x14ac:dyDescent="0.3">
      <c r="H2076" s="10">
        <f t="shared" si="212"/>
        <v>0</v>
      </c>
    </row>
    <row r="2077" spans="8:8" x14ac:dyDescent="0.3">
      <c r="H2077" s="10">
        <f t="shared" si="212"/>
        <v>0</v>
      </c>
    </row>
  </sheetData>
  <mergeCells count="23">
    <mergeCell ref="A809:H809"/>
    <mergeCell ref="A810:D810"/>
    <mergeCell ref="I817:R825"/>
    <mergeCell ref="I814:R815"/>
    <mergeCell ref="I816:R816"/>
    <mergeCell ref="F810:G810"/>
    <mergeCell ref="A812:D812"/>
    <mergeCell ref="F812:G812"/>
    <mergeCell ref="A811:C811"/>
    <mergeCell ref="A814:D814"/>
    <mergeCell ref="A815:D815"/>
    <mergeCell ref="E814:H814"/>
    <mergeCell ref="E815:H815"/>
    <mergeCell ref="A816:D821"/>
    <mergeCell ref="E816:H821"/>
    <mergeCell ref="A1:H1"/>
    <mergeCell ref="A7:B7"/>
    <mergeCell ref="A8:B8"/>
    <mergeCell ref="A2:B2"/>
    <mergeCell ref="A3:B3"/>
    <mergeCell ref="A4:B4"/>
    <mergeCell ref="A5:B5"/>
    <mergeCell ref="A6:B6"/>
  </mergeCells>
  <printOptions horizontalCentered="1"/>
  <pageMargins left="0.28740157500000002" right="0.39370078740157499" top="0.59055118110236204" bottom="0.59055118110236204" header="0.31496062992126" footer="0.31496062992126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BAO CAO</vt:lpstr>
      <vt:lpstr>'BAO CAO'!Print_Area</vt:lpstr>
      <vt:lpstr>'BAO CAO'!Print_Titles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Nhan</dc:creator>
  <cp:lastModifiedBy>khang vu</cp:lastModifiedBy>
  <cp:lastPrinted>2026-04-07T15:23:32Z</cp:lastPrinted>
  <dcterms:created xsi:type="dcterms:W3CDTF">2016-01-06T08:22:23Z</dcterms:created>
  <dcterms:modified xsi:type="dcterms:W3CDTF">2026-04-16T06:48:02Z</dcterms:modified>
</cp:coreProperties>
</file>